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TRADE_LOG" sheetId="2" state="visible" r:id="rId4"/>
    <sheet name="POSITION_CALC" sheetId="3" state="visible" r:id="rId5"/>
    <sheet name="STRATEGY_PERF" sheetId="4" state="visible" r:id="rId6"/>
    <sheet name="PAIR_PERF" sheetId="5" state="visible" r:id="rId7"/>
    <sheet name="CALENDAR" sheetId="6" state="visible" r:id="rId8"/>
    <sheet name="DASHBOARD" sheetId="7" state="visible" r:id="rId9"/>
    <sheet name="TRADE_REVIE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<sst xmlns="http://schemas.openxmlformats.org/spreadsheetml/2006/main" count="364" uniqueCount="261">
  <si>
    <t xml:space="preserve">⚡ FOREX TRADING JOURNAL — SETTINGS</t>
  </si>
  <si>
    <t xml:space="preserve">Configure all global parameters. Blue cells = user input. Do NOT edit black formula cells.</t>
  </si>
  <si>
    <t xml:space="preserve">  ACCOUNT SETTINGS</t>
  </si>
  <si>
    <t xml:space="preserve">Account Currency</t>
  </si>
  <si>
    <t xml:space="preserve">USD</t>
  </si>
  <si>
    <t xml:space="preserve">Starting Balance</t>
  </si>
  <si>
    <t xml:space="preserve">Current Balance</t>
  </si>
  <si>
    <t xml:space="preserve">Default Risk %</t>
  </si>
  <si>
    <t xml:space="preserve">Max Daily Loss %</t>
  </si>
  <si>
    <t xml:space="preserve">Max Drawdown %</t>
  </si>
  <si>
    <t xml:space="preserve">  PIP / POINT VALUE REFERENCE (Standard Lot = 100,000 units)</t>
  </si>
  <si>
    <t xml:space="preserve">Market Type</t>
  </si>
  <si>
    <t xml:space="preserve">Instrument Example</t>
  </si>
  <si>
    <t xml:space="preserve">Pip Size</t>
  </si>
  <si>
    <t xml:space="preserve">Pip Value / Std Lot (USD)</t>
  </si>
  <si>
    <t xml:space="preserve">Notes</t>
  </si>
  <si>
    <t xml:space="preserve">Forex Non-JPY</t>
  </si>
  <si>
    <t xml:space="preserve">EUR/USD, GBP/USD</t>
  </si>
  <si>
    <t xml:space="preserve">1 pip = 0.0001; $10/pip on std lot</t>
  </si>
  <si>
    <t xml:space="preserve">Forex JPY</t>
  </si>
  <si>
    <t xml:space="preserve">USD/JPY, GBP/JPY</t>
  </si>
  <si>
    <t xml:space="preserve">≈$9.09</t>
  </si>
  <si>
    <t xml:space="preserve">1 pip = 0.01; value varies w/ USD/JPY rate</t>
  </si>
  <si>
    <t xml:space="preserve">Gold XAUUSD</t>
  </si>
  <si>
    <t xml:space="preserve">XAU/USD</t>
  </si>
  <si>
    <t xml:space="preserve">$1/pip on std lot; 1 lot = 100 oz</t>
  </si>
  <si>
    <t xml:space="preserve">Indices – US</t>
  </si>
  <si>
    <t xml:space="preserve">US30, SPX500</t>
  </si>
  <si>
    <t xml:space="preserve">1 pt = $1 per mini-lot typically</t>
  </si>
  <si>
    <t xml:space="preserve">Indices – UK</t>
  </si>
  <si>
    <t xml:space="preserve">UK100</t>
  </si>
  <si>
    <t xml:space="preserve">£1</t>
  </si>
  <si>
    <t xml:space="preserve">Currency-adjusted by broker</t>
  </si>
  <si>
    <t xml:space="preserve">Crypto</t>
  </si>
  <si>
    <t xml:space="preserve">BTC/USD</t>
  </si>
  <si>
    <t xml:space="preserve">Varies by broker contract size</t>
  </si>
  <si>
    <t xml:space="preserve">  DROPDOWN SOURCE LISTS  (Named Ranges — used by TRADE_LOG validation)</t>
  </si>
  <si>
    <t xml:space="preserve">Strategies</t>
  </si>
  <si>
    <t xml:space="preserve">Timeframes</t>
  </si>
  <si>
    <t xml:space="preserve">Markets</t>
  </si>
  <si>
    <t xml:space="preserve">Sessions</t>
  </si>
  <si>
    <t xml:space="preserve">Results</t>
  </si>
  <si>
    <t xml:space="preserve">Directions</t>
  </si>
  <si>
    <t xml:space="preserve">Confluences</t>
  </si>
  <si>
    <t xml:space="preserve">Breakout</t>
  </si>
  <si>
    <t xml:space="preserve">M1</t>
  </si>
  <si>
    <t xml:space="preserve">EUR/USD</t>
  </si>
  <si>
    <t xml:space="preserve">London</t>
  </si>
  <si>
    <t xml:space="preserve">Win</t>
  </si>
  <si>
    <t xml:space="preserve">Buy</t>
  </si>
  <si>
    <t xml:space="preserve">Trend</t>
  </si>
  <si>
    <t xml:space="preserve">Trend Follow</t>
  </si>
  <si>
    <t xml:space="preserve">M5</t>
  </si>
  <si>
    <t xml:space="preserve">GBP/USD</t>
  </si>
  <si>
    <t xml:space="preserve">New York</t>
  </si>
  <si>
    <t xml:space="preserve">Loss</t>
  </si>
  <si>
    <t xml:space="preserve">Sell</t>
  </si>
  <si>
    <t xml:space="preserve">S/R Level</t>
  </si>
  <si>
    <t xml:space="preserve">Mean Reversion</t>
  </si>
  <si>
    <t xml:space="preserve">M15</t>
  </si>
  <si>
    <t xml:space="preserve">USD/JPY</t>
  </si>
  <si>
    <t xml:space="preserve">Asian</t>
  </si>
  <si>
    <t xml:space="preserve">Breakeven</t>
  </si>
  <si>
    <t xml:space="preserve">Fibonacci</t>
  </si>
  <si>
    <t xml:space="preserve">Scalp</t>
  </si>
  <si>
    <t xml:space="preserve">M30</t>
  </si>
  <si>
    <t xml:space="preserve">GBP/JPY</t>
  </si>
  <si>
    <t xml:space="preserve">London/NY Overlap</t>
  </si>
  <si>
    <t xml:space="preserve">Partial Win</t>
  </si>
  <si>
    <t xml:space="preserve">Volume</t>
  </si>
  <si>
    <t xml:space="preserve">News Trade</t>
  </si>
  <si>
    <t xml:space="preserve">H1</t>
  </si>
  <si>
    <t xml:space="preserve">AUD/USD</t>
  </si>
  <si>
    <t xml:space="preserve">Asian/London Overlap</t>
  </si>
  <si>
    <t xml:space="preserve">Open</t>
  </si>
  <si>
    <t xml:space="preserve">News</t>
  </si>
  <si>
    <t xml:space="preserve">Support/Resistance</t>
  </si>
  <si>
    <t xml:space="preserve">H4</t>
  </si>
  <si>
    <t xml:space="preserve">USD/CAD</t>
  </si>
  <si>
    <t xml:space="preserve">Divergence</t>
  </si>
  <si>
    <t xml:space="preserve">ICT/SMC</t>
  </si>
  <si>
    <t xml:space="preserve">D1</t>
  </si>
  <si>
    <t xml:space="preserve">EUR/JPY</t>
  </si>
  <si>
    <t xml:space="preserve">MA Cross</t>
  </si>
  <si>
    <t xml:space="preserve">Price Action</t>
  </si>
  <si>
    <t xml:space="preserve">W1</t>
  </si>
  <si>
    <t xml:space="preserve">Order Block</t>
  </si>
  <si>
    <t xml:space="preserve">Harmonic</t>
  </si>
  <si>
    <t xml:space="preserve">MN</t>
  </si>
  <si>
    <t xml:space="preserve">US30</t>
  </si>
  <si>
    <t xml:space="preserve">Fair Value Gap</t>
  </si>
  <si>
    <t xml:space="preserve">Other</t>
  </si>
  <si>
    <t xml:space="preserve">SPX500</t>
  </si>
  <si>
    <t xml:space="preserve">BOS/CHoCH</t>
  </si>
  <si>
    <t xml:space="preserve">NAS100</t>
  </si>
  <si>
    <t xml:space="preserve">📊 TRADE LOG — Complete Trade Record</t>
  </si>
  <si>
    <t xml:space="preserve">IDENTIFICATION</t>
  </si>
  <si>
    <t xml:space="preserve">INSTRUMENT</t>
  </si>
  <si>
    <t xml:space="preserve">SETUP</t>
  </si>
  <si>
    <t xml:space="preserve">ENTRY &amp; RISK</t>
  </si>
  <si>
    <t xml:space="preserve">PARTIAL EXITS</t>
  </si>
  <si>
    <t xml:space="preserve">RESULTS</t>
  </si>
  <si>
    <t xml:space="preserve">ANALYTICS &amp; NOTES</t>
  </si>
  <si>
    <t xml:space="preserve">Trade ID</t>
  </si>
  <si>
    <t xml:space="preserve">Date Opened</t>
  </si>
  <si>
    <t xml:space="preserve">Time Opened</t>
  </si>
  <si>
    <t xml:space="preserve">Date Closed</t>
  </si>
  <si>
    <t xml:space="preserve">Market/Pair</t>
  </si>
  <si>
    <t xml:space="preserve">Direction</t>
  </si>
  <si>
    <t xml:space="preserve">Session</t>
  </si>
  <si>
    <t xml:space="preserve">Strategy</t>
  </si>
  <si>
    <t xml:space="preserve">Timeframe</t>
  </si>
  <si>
    <t xml:space="preserve">Entry Price</t>
  </si>
  <si>
    <t xml:space="preserve">Stop Loss</t>
  </si>
  <si>
    <t xml:space="preserve">Take Profit 1</t>
  </si>
  <si>
    <t xml:space="preserve">Take Profit 2</t>
  </si>
  <si>
    <t xml:space="preserve">Risk %</t>
  </si>
  <si>
    <t xml:space="preserve">SL Pips</t>
  </si>
  <si>
    <t xml:space="preserve">Risk $</t>
  </si>
  <si>
    <t xml:space="preserve">Lot Size</t>
  </si>
  <si>
    <t xml:space="preserve">Exit 1 Price</t>
  </si>
  <si>
    <t xml:space="preserve">Exit 1 %</t>
  </si>
  <si>
    <t xml:space="preserve">Exit 1 P/L $</t>
  </si>
  <si>
    <t xml:space="preserve">Exit 2 Price</t>
  </si>
  <si>
    <t xml:space="preserve">Exit 2 %</t>
  </si>
  <si>
    <t xml:space="preserve">Exit 2 P/L $</t>
  </si>
  <si>
    <t xml:space="preserve">Exit 3 Price</t>
  </si>
  <si>
    <t xml:space="preserve">Exit 3 %</t>
  </si>
  <si>
    <t xml:space="preserve">Exit 3 P/L $</t>
  </si>
  <si>
    <t xml:space="preserve">Final Exit Price</t>
  </si>
  <si>
    <t xml:space="preserve">Final Exit %</t>
  </si>
  <si>
    <t xml:space="preserve">Wt Avg Exit</t>
  </si>
  <si>
    <t xml:space="preserve">Total P/L $</t>
  </si>
  <si>
    <t xml:space="preserve">RR Ratio</t>
  </si>
  <si>
    <t xml:space="preserve">R-Multiple</t>
  </si>
  <si>
    <t xml:space="preserve">Result</t>
  </si>
  <si>
    <t xml:space="preserve">Trade Duration</t>
  </si>
  <si>
    <t xml:space="preserve">Pips P/L</t>
  </si>
  <si>
    <t xml:space="preserve">Screenshot URL</t>
  </si>
  <si>
    <t xml:space="preserve">Mistakes</t>
  </si>
  <si>
    <t xml:space="preserve">Emotion Score</t>
  </si>
  <si>
    <t xml:space="preserve">Running Balance</t>
  </si>
  <si>
    <t xml:space="preserve">08:30</t>
  </si>
  <si>
    <t xml:space="preserve">Trend,S/R Level</t>
  </si>
  <si>
    <t xml:space="preserve">Clean breakout setup</t>
  </si>
  <si>
    <t xml:space="preserve">10:15</t>
  </si>
  <si>
    <t xml:space="preserve">S/R Level,BOS/CHoCH</t>
  </si>
  <si>
    <t xml:space="preserve">Double top rejection</t>
  </si>
  <si>
    <t xml:space="preserve">14:00</t>
  </si>
  <si>
    <t xml:space="preserve">Trend,Volume</t>
  </si>
  <si>
    <t xml:space="preserve">Gold trending strongly</t>
  </si>
  <si>
    <t xml:space="preserve">09:00</t>
  </si>
  <si>
    <t xml:space="preserve">S/R Level,Divergence</t>
  </si>
  <si>
    <t xml:space="preserve">Quick scalp at resistance</t>
  </si>
  <si>
    <t xml:space="preserve">08:45</t>
  </si>
  <si>
    <t xml:space="preserve">Order Block,Fair Value Gap</t>
  </si>
  <si>
    <t xml:space="preserve">FVG entry off London open</t>
  </si>
  <si>
    <t xml:space="preserve">🔢 POSITION SIZE CALCULATOR — Forex, Gold &amp; Indices</t>
  </si>
  <si>
    <t xml:space="preserve">BLUE cells = user input. Results update automatically. Account balance pulled from SETTINGS.</t>
  </si>
  <si>
    <t xml:space="preserve">  INPUTS</t>
  </si>
  <si>
    <t xml:space="preserve">Account Balance ($)</t>
  </si>
  <si>
    <t xml:space="preserve">Risk per Trade (%)</t>
  </si>
  <si>
    <t xml:space="preserve">Risk Amount ($)</t>
  </si>
  <si>
    <t xml:space="preserve">Instrument Type</t>
  </si>
  <si>
    <t xml:space="preserve">Instrument</t>
  </si>
  <si>
    <t xml:space="preserve">Stop Loss Price</t>
  </si>
  <si>
    <t xml:space="preserve">Stop Distance (pips/pts)</t>
  </si>
  <si>
    <t xml:space="preserve">  CALCULATED POSITION SIZES</t>
  </si>
  <si>
    <t xml:space="preserve">Pip/Pt Value (std lot)</t>
  </si>
  <si>
    <t xml:space="preserve">Mini Lots</t>
  </si>
  <si>
    <t xml:space="preserve">Units</t>
  </si>
  <si>
    <t xml:space="preserve">Risk Validation</t>
  </si>
  <si>
    <t xml:space="preserve">Indices</t>
  </si>
  <si>
    <t xml:space="preserve">  ► RECOMMENDED LOT SIZE (for selected instrument type above)</t>
  </si>
  <si>
    <t xml:space="preserve">Selected Lot Size:</t>
  </si>
  <si>
    <t xml:space="preserve">Dollar Risk:</t>
  </si>
  <si>
    <t xml:space="preserve">📐 POSITION SIZING LOGIC:
Forex Non-JPY: Lots = Risk$ ÷ (SL_pips × $10)  |  Forex JPY: Lots = Risk$ ÷ (SL_pips × $9.09)  |  Gold: Lots = Risk$ ÷ (SL_pts × $1 × 100oz)  |  Indices: Lots = Risk$ ÷ (SL_pts × $1)
NOTE: JPY pip value = 1000÷USD/JPY_rate — approximated at $9.09. Adjust the pip value reference in SETTINGS for precision.</t>
  </si>
  <si>
    <t xml:space="preserve">📈 STRATEGY PERFORMANCE ANALYTICS</t>
  </si>
  <si>
    <t xml:space="preserve">Auto-updates from TRADE_LOG. No manual input required. Formulas reference column H (Strategy) and AG (R-Multiple).</t>
  </si>
  <si>
    <t xml:space="preserve">Total Trades</t>
  </si>
  <si>
    <t xml:space="preserve">Wins</t>
  </si>
  <si>
    <t xml:space="preserve">Losses</t>
  </si>
  <si>
    <t xml:space="preserve">Win Rate</t>
  </si>
  <si>
    <t xml:space="preserve">Avg R-Multiple</t>
  </si>
  <si>
    <t xml:space="preserve">Avg Win R</t>
  </si>
  <si>
    <t xml:space="preserve">Avg Loss R</t>
  </si>
  <si>
    <t xml:space="preserve">Best Trade R</t>
  </si>
  <si>
    <t xml:space="preserve">Worst Trade R</t>
  </si>
  <si>
    <t xml:space="preserve">Avg P/L $</t>
  </si>
  <si>
    <t xml:space="preserve">Expectancy</t>
  </si>
  <si>
    <t xml:space="preserve">Profit Factor</t>
  </si>
  <si>
    <t xml:space="preserve">ALL STRATEGIES</t>
  </si>
  <si>
    <t xml:space="preserve">🌍 PAIR / INSTRUMENT PERFORMANCE</t>
  </si>
  <si>
    <t xml:space="preserve">Pair</t>
  </si>
  <si>
    <t xml:space="preserve">Net P/L $</t>
  </si>
  <si>
    <t xml:space="preserve">Avg Pips</t>
  </si>
  <si>
    <t xml:space="preserve">Total Pips</t>
  </si>
  <si>
    <t xml:space="preserve">Profitability Rank</t>
  </si>
  <si>
    <t xml:space="preserve">Long Trades</t>
  </si>
  <si>
    <t xml:space="preserve">Short Trades</t>
  </si>
  <si>
    <t xml:space="preserve">📅 CALENDAR VIEW — Daily P/L &amp; R Summary</t>
  </si>
  <si>
    <t xml:space="preserve">DAILY SUMMARY — Each row = one trading day. Conditional formatting: Green=Net Win, Red=Net Loss, Amber=Breakeven.</t>
  </si>
  <si>
    <t xml:space="preserve">Select Year:</t>
  </si>
  <si>
    <t xml:space="preserve">Select Month:</t>
  </si>
  <si>
    <t xml:space="preserve">Month Total R:</t>
  </si>
  <si>
    <t xml:space="preserve">Month P/L $:</t>
  </si>
  <si>
    <t xml:space="preserve">Month Trades:</t>
  </si>
  <si>
    <t xml:space="preserve">Win Days:</t>
  </si>
  <si>
    <t xml:space="preserve">Loss Days:</t>
  </si>
  <si>
    <t xml:space="preserve">Win Rate (Days):</t>
  </si>
  <si>
    <t xml:space="preserve">Date</t>
  </si>
  <si>
    <t xml:space="preserve">Day</t>
  </si>
  <si>
    <t xml:space="preserve">Trades</t>
  </si>
  <si>
    <t xml:space="preserve">Net R</t>
  </si>
  <si>
    <t xml:space="preserve">Best R</t>
  </si>
  <si>
    <t xml:space="preserve">Worst R</t>
  </si>
  <si>
    <t xml:space="preserve">Pips</t>
  </si>
  <si>
    <t xml:space="preserve">Day Status</t>
  </si>
  <si>
    <t xml:space="preserve">⚡ TRADING DASHBOARD — Live Performance Overview</t>
  </si>
  <si>
    <t xml:space="preserve">Total P/L</t>
  </si>
  <si>
    <t xml:space="preserve">Open Trades</t>
  </si>
  <si>
    <t xml:space="preserve">Max Consec Wins</t>
  </si>
  <si>
    <t xml:space="preserve">Total Risk Used</t>
  </si>
  <si>
    <t xml:space="preserve">Avg Trade Duration</t>
  </si>
  <si>
    <t xml:space="preserve">Return on Acct</t>
  </si>
  <si>
    <t xml:space="preserve">Loss Rate</t>
  </si>
  <si>
    <t xml:space="preserve">Total Lots Traded</t>
  </si>
  <si>
    <t xml:space="preserve">  MONTHLY RETURNS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</si>
  <si>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</si>
  <si>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</si>
  <si>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</si>
  <si>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</si>
  <si>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</si>
  <si>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</si>
  <si>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</si>
  <si>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</si>
  <si>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</si>
  <si>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</si>
  <si>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</si>
  <si>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</si>
  <si>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</si>
  <si>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</si>
  <si>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  R-MULTIPLE DISTRIBUTION</t>
  </si>
  <si>
    <t xml:space="preserve">&lt;-3R</t>
  </si>
  <si>
    <t xml:space="preserve">-3R to -2R</t>
  </si>
  <si>
    <t xml:space="preserve">-2R to -1R</t>
  </si>
  <si>
    <t xml:space="preserve">-1R to 0R</t>
  </si>
  <si>
    <t xml:space="preserve">0R to 1R</t>
  </si>
  <si>
    <t xml:space="preserve">1R to 2R</t>
  </si>
  <si>
    <t xml:space="preserve">2R to 3R</t>
  </si>
  <si>
    <t xml:space="preserve">&gt;3R</t>
  </si>
  <si>
    <t xml:space="preserve">  STREAK &amp; STREAK ANALYSIS</t>
  </si>
  <si>
    <t xml:space="preserve">Current Streak:</t>
  </si>
  <si>
    <t xml:space="preserve">Last Result:</t>
  </si>
  <si>
    <t xml:space="preserve">Total Winning Trades:</t>
  </si>
  <si>
    <t xml:space="preserve">Total Losing Trades:</t>
  </si>
  <si>
    <t xml:space="preserve">  EQUITY CURVE DATA (auto-populated from TRADE_LOG)</t>
  </si>
  <si>
    <t xml:space="preserve">Trade #</t>
  </si>
  <si>
    <t xml:space="preserve">P/L $</t>
  </si>
  <si>
    <t xml:space="preserve">🔍 TRADE REVIEW — Lookup &amp; Analyse Individual Trades</t>
  </si>
  <si>
    <t xml:space="preserve">Enter Trade ID to Review: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</si>
</sst>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\$#,##0.00"/>
    <numFmt numFmtId="167" formatCode="0.00%"/>
    <numFmt numFmtId="168" formatCode="General"/>
    <numFmt numFmtId="169" formatCode="dd\-mmm\-yy"/>
    <numFmt numFmtId="170" formatCode="0%"/>
    <numFmt numFmtId="171" formatCode="0.00000"/>
    <numFmt numFmtId="172" formatCode="0.00\R"/>
    <numFmt numFmtId="173" formatCode="[h]:mm"/>
    <numFmt numFmtId="174" formatCode="@"/>
    <numFmt numFmtId="175" formatCode="0.0"/>
    <numFmt numFmtId="176" formatCode="0.000"/>
    <numFmt numFmtId="177" formatCode="#,##0.0"/>
    <numFmt numFmtId="178" formatCode="0.0%"/>
    <numFmt numFmtId="179" formatCode="0.00"/>
    <numFmt numFmtId="180" formatCode="0"/>
    <numFmt numFmtId="181" formatCode="dd\-mmm\-yyyy"/>
    <numFmt numFmtId="182" formatCode="\$#,##0;[RED]&quot;($&quot;#,##0\)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Segoe UI"/>
      <family val="0"/>
      <charset val="1"/>
    </font>
    <font>
      <i val="true"/>
      <sz val="9"/>
      <color rgb="FF8899AA"/>
      <name val="Segoe UI"/>
      <family val="0"/>
      <charset val="1"/>
    </font>
    <font>
      <b val="true"/>
      <sz val="11"/>
      <color rgb="FFF4A261"/>
      <name val="Segoe UI"/>
      <family val="0"/>
      <charset val="1"/>
    </font>
    <font>
      <sz val="9"/>
      <color rgb="FF8899AA"/>
      <name val="Segoe UI"/>
      <family val="0"/>
      <charset val="1"/>
    </font>
    <font>
      <sz val="10"/>
      <color rgb="FF4FC3F7"/>
      <name val="Segoe UI"/>
      <family val="0"/>
      <charset val="1"/>
    </font>
    <font>
      <b val="true"/>
      <sz val="9"/>
      <color rgb="FF00B4D8"/>
      <name val="Segoe UI"/>
      <family val="0"/>
      <charset val="1"/>
    </font>
    <font>
      <sz val="9"/>
      <color rgb="FFFFFFFF"/>
      <name val="Segoe UI"/>
      <family val="0"/>
      <charset val="1"/>
    </font>
    <font>
      <sz val="9"/>
      <color rgb="FF4FC3F7"/>
      <name val="Segoe UI"/>
      <family val="0"/>
      <charset val="1"/>
    </font>
    <font>
      <b val="true"/>
      <sz val="9"/>
      <color rgb="FFF4A261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8"/>
      <color rgb="FF00B4D8"/>
      <name val="Segoe UI"/>
      <family val="0"/>
      <charset val="1"/>
    </font>
    <font>
      <b val="true"/>
      <sz val="8"/>
      <color rgb="FFF4A261"/>
      <name val="Segoe UI"/>
      <family val="0"/>
      <charset val="1"/>
    </font>
    <font>
      <sz val="10"/>
      <color rgb="FFFFFFFF"/>
      <name val="Segoe UI"/>
      <family val="0"/>
      <charset val="1"/>
    </font>
    <font>
      <sz val="10"/>
      <color rgb="FF8899AA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4"/>
      <color rgb="FF2DC653"/>
      <name val="Segoe UI"/>
      <family val="0"/>
      <charset val="1"/>
    </font>
    <font>
      <b val="true"/>
      <sz val="14"/>
      <color rgb="FFFFB703"/>
      <name val="Segoe UI"/>
      <family val="0"/>
      <charset val="1"/>
    </font>
    <font>
      <b val="true"/>
      <sz val="10"/>
      <color rgb="FFF4A261"/>
      <name val="Segoe UI"/>
      <family val="0"/>
      <charset val="1"/>
    </font>
    <font>
      <b val="true"/>
      <sz val="10"/>
      <color rgb="FF00B4D8"/>
      <name val="Segoe UI"/>
      <family val="0"/>
      <charset val="1"/>
    </font>
    <font>
      <b val="true"/>
      <sz val="12"/>
      <color rgb="FF4FC3F7"/>
      <name val="Segoe UI"/>
      <family val="0"/>
      <charset val="1"/>
    </font>
    <font>
      <sz val="8"/>
      <color rgb="FF8899AA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3"/>
      <color rgb="FFF4A261"/>
      <name val="Segoe UI"/>
      <family val="0"/>
      <charset val="1"/>
    </font>
    <font>
      <b val="true"/>
      <sz val="12"/>
      <color rgb="FF00B4D8"/>
      <name val="Segoe UI"/>
      <family val="0"/>
      <charset val="1"/>
    </font>
    <font>
      <sz val="8"/>
      <color rgb="FFFFFFFF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FFFFFF"/>
      <name val="Segoe UI"/>
      <family val="0"/>
      <charset val="1"/>
    </font>
    <font>
      <b val="true"/>
      <sz val="14"/>
      <color rgb="FF4FC3F7"/>
      <name val="Segoe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3B"/>
        <bgColor rgb="FF1E2D3D"/>
      </patternFill>
    </fill>
    <fill>
      <patternFill patternType="solid">
        <fgColor rgb="FF0D1B2A"/>
        <bgColor rgb="FF132337"/>
      </patternFill>
    </fill>
    <fill>
      <patternFill patternType="solid">
        <fgColor rgb="FF1E2D3D"/>
        <bgColor rgb="FF1B2A3B"/>
      </patternFill>
    </fill>
    <fill>
      <patternFill patternType="solid">
        <fgColor rgb="FF132337"/>
        <bgColor rgb="FF1B2A3B"/>
      </patternFill>
    </fill>
    <fill>
      <patternFill patternType="solid">
        <fgColor rgb="FF1A2E44"/>
        <bgColor rgb="FF1A2A44"/>
      </patternFill>
    </fill>
    <fill>
      <patternFill patternType="solid">
        <fgColor rgb="FF1A3A2E"/>
        <bgColor rgb="FF1E2D3D"/>
      </patternFill>
    </fill>
    <fill>
      <patternFill patternType="solid">
        <fgColor rgb="FF1A2A44"/>
        <bgColor rgb="FF1B2A3B"/>
      </patternFill>
    </fill>
    <fill>
      <patternFill patternType="solid">
        <fgColor rgb="FF2E1A44"/>
        <bgColor rgb="FF1B2A3B"/>
      </patternFill>
    </fill>
    <fill>
      <patternFill patternType="solid">
        <fgColor rgb="FF2E2A1A"/>
        <bgColor rgb="FF2B25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3F55"/>
      </left>
      <right style="thin">
        <color rgb="FF2A3F55"/>
      </right>
      <top style="thin">
        <color rgb="FF2A3F55"/>
      </top>
      <bottom style="thin">
        <color rgb="FF2A3F55"/>
      </bottom>
      <diagonal/>
    </border>
    <border diagonalUp="false" diagonalDown="false">
      <left style="medium">
        <color rgb="FF00B4D8"/>
      </left>
      <right style="medium">
        <color rgb="FF00B4D8"/>
      </right>
      <top style="medium">
        <color rgb="FF00B4D8"/>
      </top>
      <bottom style="medium">
        <color rgb="FF00B4D8"/>
      </bottom>
      <diagonal/>
    </border>
    <border diagonalUp="false" diagonalDown="false">
      <left style="thin">
        <color rgb="FF2A3F55"/>
      </left>
      <right/>
      <top style="thin">
        <color rgb="FF2A3F5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0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0" fontId="3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2DC653"/>
      </font>
      <fill>
        <patternFill>
          <bgColor rgb="FF0D2B1A"/>
        </patternFill>
      </fill>
    </dxf>
    <dxf>
      <font>
        <b val="1"/>
        <color rgb="FFE63946"/>
      </font>
      <fill>
        <patternFill>
          <bgColor rgb="FF2B0D0D"/>
        </patternFill>
      </fill>
    </dxf>
    <dxf>
      <font>
        <b val="1"/>
        <color rgb="FFFFB703"/>
      </font>
      <fill>
        <patternFill>
          <bgColor rgb="FF2B2500"/>
        </patternFill>
      </fill>
    </dxf>
    <dxf>
      <font>
        <b val="1"/>
        <color rgb="FFFFB703"/>
      </font>
      <fill>
        <patternFill>
          <bgColor rgb="FF2B2000"/>
        </patternFill>
      </fill>
    </dxf>
  </dxfs>
  <colors>
    <indexedColors>
      <rgbColor rgb="FF000000"/>
      <rgbColor rgb="FFFFFFFF"/>
      <rgbColor rgb="FFFF0000"/>
      <rgbColor rgb="FF2DC653"/>
      <rgbColor rgb="FF0000FF"/>
      <rgbColor rgb="FFFFFF00"/>
      <rgbColor rgb="FFFF00FF"/>
      <rgbColor rgb="FF00FFFF"/>
      <rgbColor rgb="FF2B0D0D"/>
      <rgbColor rgb="FF1A3A2E"/>
      <rgbColor rgb="FF0D1B2A"/>
      <rgbColor rgb="FF8AA64F"/>
      <rgbColor rgb="FF1E2D3D"/>
      <rgbColor rgb="FF008080"/>
      <rgbColor rgb="FFB8CD97"/>
      <rgbColor rgb="FF878787"/>
      <rgbColor rgb="FF93A9CE"/>
      <rgbColor rgb="FFAB4744"/>
      <rgbColor rgb="FFFFFFCC"/>
      <rgbColor rgb="FFCCFFFF"/>
      <rgbColor rgb="FF2E1A44"/>
      <rgbColor rgb="FFF4A261"/>
      <rgbColor rgb="FF1A2A44"/>
      <rgbColor rgb="FFD9D9D9"/>
      <rgbColor rgb="FF132337"/>
      <rgbColor rgb="FFFF00FF"/>
      <rgbColor rgb="FFFFFF00"/>
      <rgbColor rgb="FF00FFFF"/>
      <rgbColor rgb="FF1B2A3B"/>
      <rgbColor rgb="FF2B2000"/>
      <rgbColor rgb="FF008080"/>
      <rgbColor rgb="FF0000FF"/>
      <rgbColor rgb="FF00B4D8"/>
      <rgbColor rgb="FFCCFFFF"/>
      <rgbColor rgb="FFCCFFCC"/>
      <rgbColor rgb="FFFFFF99"/>
      <rgbColor rgb="FF92C3D5"/>
      <rgbColor rgb="FFD09493"/>
      <rgbColor rgb="FFA99BBD"/>
      <rgbColor rgb="FFF8B590"/>
      <rgbColor rgb="FF3366FF"/>
      <rgbColor rgb="FF4FC3F7"/>
      <rgbColor rgb="FF99CC00"/>
      <rgbColor rgb="FFFFB703"/>
      <rgbColor rgb="FFDC853E"/>
      <rgbColor rgb="FFFF6600"/>
      <rgbColor rgb="FF725990"/>
      <rgbColor rgb="FF8899AA"/>
      <rgbColor rgb="FF1A2E44"/>
      <rgbColor rgb="FF4299B0"/>
      <rgbColor rgb="FF0D2B1A"/>
      <rgbColor rgb="FF2B2500"/>
      <rgbColor rgb="FF993300"/>
      <rgbColor rgb="FFE63946"/>
      <rgbColor rgb="FF2A3F55"/>
      <rgbColor rgb="FF2E2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DASHBOARD!D23</c:f>
              <c:strCache>
                <c:ptCount val="1"/>
                <c:pt idx="0">
                  <c:v>Running Balance</c:v>
                </c:pt>
              </c:strCache>
            </c:strRef>
          </c:tx>
          <c:spPr>
            <a:solidFill>
              <a:srgbClr val="00b4d8"/>
            </a:solidFill>
            <a:ln w="201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DASHBOARD!$A$24:$A$123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DASHBOARD!$D$24:$D$123</c:f>
              <c:numCache>
                <c:formatCode>\$#,##0.00</c:formatCode>
                <c:ptCount val="100"/>
                <c:pt idx="0">
                  <c:v>51137.5</c:v>
                </c:pt>
                <c:pt idx="1">
                  <c:v>52054.1666666667</c:v>
                </c:pt>
                <c:pt idx="2">
                  <c:v>53849.1666666667</c:v>
                </c:pt>
                <c:pt idx="3">
                  <c:v>54467.9785478548</c:v>
                </c:pt>
                <c:pt idx="4">
                  <c:v>55217.9785478547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901056"/>
        <c:axId val="19210722"/>
      </c:lineChart>
      <c:catAx>
        <c:axId val="61901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10722"/>
        <c:crosses val="autoZero"/>
        <c:auto val="1"/>
        <c:lblAlgn val="ctr"/>
        <c:lblOffset val="100"/>
        <c:noMultiLvlLbl val="0"/>
      </c:catAx>
      <c:valAx>
        <c:axId val="19210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01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P/L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2dc65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DASHBOARD!$B$9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DASHBOARD!$C$9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DASHBOARD!$D$9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DASHBOARD!E8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DASHBOARD!$E$9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DASHBOARD!F8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DASHBOARD!$F$9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DASHBOARD!G8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DASHBOARD!$G$9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DASHBOARD!H8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DASHBOARD!$H$9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DASHBOARD!I8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DASHBOARD!$I$9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DASHBOARD!J8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DASHBOARD!$J$9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tx>
            <c:strRef>
              <c:f>DASHBOARD!K8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DASHBOARD!$K$9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DASHBOARD!L8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92c3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DASHBOARD!$L$9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tx>
            <c:strRef>
              <c:f>DASHBOARD!M8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f8b5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DASHBOARD!$M$9</c:f>
              <c:numCache>
                <c:formatCode>\$#,##0;[RED]"($"#,##0\);\-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62983245"/>
        <c:axId val="92141112"/>
      </c:barChart>
      <c:catAx>
        <c:axId val="62983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41112"/>
        <c:crosses val="autoZero"/>
        <c:auto val="1"/>
        <c:lblAlgn val="ctr"/>
        <c:lblOffset val="100"/>
        <c:noMultiLvlLbl val="0"/>
      </c:catAx>
      <c:valAx>
        <c:axId val="92141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83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21</xdr:row>
      <xdr:rowOff>0</xdr:rowOff>
    </xdr:from>
    <xdr:to>
      <xdr:col>14</xdr:col>
      <xdr:colOff>417960</xdr:colOff>
      <xdr:row>39</xdr:row>
      <xdr:rowOff>84960</xdr:rowOff>
    </xdr:to>
    <xdr:graphicFrame>
      <xdr:nvGraphicFramePr>
        <xdr:cNvPr id="0" name="Chart 1"/>
        <xdr:cNvGraphicFramePr/>
      </xdr:nvGraphicFramePr>
      <xdr:xfrm>
        <a:off x="3947040" y="49719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14</xdr:col>
      <xdr:colOff>417960</xdr:colOff>
      <xdr:row>57</xdr:row>
      <xdr:rowOff>170640</xdr:rowOff>
    </xdr:to>
    <xdr:graphicFrame>
      <xdr:nvGraphicFramePr>
        <xdr:cNvPr id="1" name="Chart 2"/>
        <xdr:cNvGraphicFramePr/>
      </xdr:nvGraphicFramePr>
      <xdr:xfrm>
        <a:off x="3947040" y="84866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7" min="5" style="0" width="18"/>
    <col collapsed="false" customWidth="true" hidden="false" outlineLevel="0" max="8" min="8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5" t="s">
        <v>3</v>
      </c>
      <c r="B5" s="6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5" t="s">
        <v>5</v>
      </c>
      <c r="B6" s="7" t="n">
        <v>50000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5" t="s">
        <v>6</v>
      </c>
      <c r="B7" s="7" t="n">
        <f aca="false">B6</f>
        <v>50000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5" t="s">
        <v>7</v>
      </c>
      <c r="B8" s="8" t="n">
        <v>0.01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5" t="s">
        <v>8</v>
      </c>
      <c r="B9" s="8" t="n">
        <v>0.03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5" t="s">
        <v>9</v>
      </c>
      <c r="B10" s="8" t="n">
        <v>0.1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21.75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9" t="s">
        <v>11</v>
      </c>
      <c r="B13" s="9" t="s">
        <v>12</v>
      </c>
      <c r="C13" s="9" t="s">
        <v>13</v>
      </c>
      <c r="D13" s="9" t="s">
        <v>14</v>
      </c>
      <c r="E13" s="9" t="s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10" t="s">
        <v>16</v>
      </c>
      <c r="B14" s="10" t="s">
        <v>17</v>
      </c>
      <c r="C14" s="11" t="n">
        <v>0.0001</v>
      </c>
      <c r="D14" s="11" t="n">
        <v>10</v>
      </c>
      <c r="E14" s="10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12" t="s">
        <v>19</v>
      </c>
      <c r="B15" s="12" t="s">
        <v>20</v>
      </c>
      <c r="C15" s="13" t="n">
        <v>0.01</v>
      </c>
      <c r="D15" s="13" t="s">
        <v>21</v>
      </c>
      <c r="E15" s="12" t="s">
        <v>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10" t="s">
        <v>23</v>
      </c>
      <c r="B16" s="10" t="s">
        <v>24</v>
      </c>
      <c r="C16" s="11" t="n">
        <v>0.01</v>
      </c>
      <c r="D16" s="11" t="n">
        <v>1</v>
      </c>
      <c r="E16" s="10" t="s">
        <v>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12" t="s">
        <v>26</v>
      </c>
      <c r="B17" s="12" t="s">
        <v>27</v>
      </c>
      <c r="C17" s="13" t="n">
        <v>1</v>
      </c>
      <c r="D17" s="13" t="n">
        <v>1</v>
      </c>
      <c r="E17" s="12" t="s">
        <v>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10" t="s">
        <v>29</v>
      </c>
      <c r="B18" s="10" t="s">
        <v>30</v>
      </c>
      <c r="C18" s="11" t="n">
        <v>1</v>
      </c>
      <c r="D18" s="11" t="s">
        <v>31</v>
      </c>
      <c r="E18" s="10" t="s">
        <v>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12" t="s">
        <v>33</v>
      </c>
      <c r="B19" s="12" t="s">
        <v>34</v>
      </c>
      <c r="C19" s="13" t="n">
        <v>1</v>
      </c>
      <c r="D19" s="13" t="n">
        <v>1</v>
      </c>
      <c r="E19" s="12" t="s">
        <v>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21.75" hidden="false" customHeight="true" outlineLevel="0" collapsed="false">
      <c r="A22" s="4" t="s">
        <v>36</v>
      </c>
      <c r="B22" s="4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14" t="s">
        <v>37</v>
      </c>
      <c r="B23" s="14" t="s">
        <v>38</v>
      </c>
      <c r="C23" s="14" t="s">
        <v>39</v>
      </c>
      <c r="D23" s="14" t="s">
        <v>40</v>
      </c>
      <c r="E23" s="14" t="s">
        <v>41</v>
      </c>
      <c r="F23" s="14" t="s">
        <v>42</v>
      </c>
      <c r="G23" s="14" t="s">
        <v>43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10" t="s">
        <v>44</v>
      </c>
      <c r="B24" s="10" t="s">
        <v>45</v>
      </c>
      <c r="C24" s="10" t="s">
        <v>46</v>
      </c>
      <c r="D24" s="10" t="s">
        <v>47</v>
      </c>
      <c r="E24" s="10" t="s">
        <v>48</v>
      </c>
      <c r="F24" s="10" t="s">
        <v>49</v>
      </c>
      <c r="G24" s="10" t="s">
        <v>50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12" t="s">
        <v>51</v>
      </c>
      <c r="B25" s="12" t="s">
        <v>52</v>
      </c>
      <c r="C25" s="12" t="s">
        <v>53</v>
      </c>
      <c r="D25" s="12" t="s">
        <v>54</v>
      </c>
      <c r="E25" s="12" t="s">
        <v>55</v>
      </c>
      <c r="F25" s="12" t="s">
        <v>56</v>
      </c>
      <c r="G25" s="12" t="s">
        <v>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10" t="s">
        <v>58</v>
      </c>
      <c r="B26" s="10" t="s">
        <v>59</v>
      </c>
      <c r="C26" s="10" t="s">
        <v>60</v>
      </c>
      <c r="D26" s="10" t="s">
        <v>61</v>
      </c>
      <c r="E26" s="10" t="s">
        <v>62</v>
      </c>
      <c r="F26" s="2"/>
      <c r="G26" s="10" t="s">
        <v>63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12" t="s">
        <v>64</v>
      </c>
      <c r="B27" s="12" t="s">
        <v>65</v>
      </c>
      <c r="C27" s="12" t="s">
        <v>66</v>
      </c>
      <c r="D27" s="12" t="s">
        <v>67</v>
      </c>
      <c r="E27" s="12" t="s">
        <v>68</v>
      </c>
      <c r="F27" s="2"/>
      <c r="G27" s="12" t="s">
        <v>69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2"/>
      <c r="G28" s="10" t="s">
        <v>75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12" t="s">
        <v>76</v>
      </c>
      <c r="B29" s="12" t="s">
        <v>77</v>
      </c>
      <c r="C29" s="12" t="s">
        <v>78</v>
      </c>
      <c r="D29" s="2"/>
      <c r="E29" s="2"/>
      <c r="F29" s="2"/>
      <c r="G29" s="12" t="s">
        <v>79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10" t="s">
        <v>80</v>
      </c>
      <c r="B30" s="10" t="s">
        <v>81</v>
      </c>
      <c r="C30" s="10" t="s">
        <v>82</v>
      </c>
      <c r="D30" s="2"/>
      <c r="E30" s="2"/>
      <c r="F30" s="2"/>
      <c r="G30" s="10" t="s">
        <v>83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12" t="s">
        <v>84</v>
      </c>
      <c r="B31" s="12" t="s">
        <v>85</v>
      </c>
      <c r="C31" s="12" t="s">
        <v>24</v>
      </c>
      <c r="D31" s="2"/>
      <c r="E31" s="2"/>
      <c r="F31" s="2"/>
      <c r="G31" s="12" t="s">
        <v>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10" t="s">
        <v>87</v>
      </c>
      <c r="B32" s="10" t="s">
        <v>88</v>
      </c>
      <c r="C32" s="10" t="s">
        <v>89</v>
      </c>
      <c r="D32" s="2"/>
      <c r="E32" s="2"/>
      <c r="F32" s="2"/>
      <c r="G32" s="10" t="s">
        <v>90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12" t="s">
        <v>91</v>
      </c>
      <c r="B33" s="2"/>
      <c r="C33" s="12" t="s">
        <v>92</v>
      </c>
      <c r="D33" s="2"/>
      <c r="E33" s="2"/>
      <c r="F33" s="2"/>
      <c r="G33" s="12" t="s">
        <v>93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/>
      <c r="B34" s="2"/>
      <c r="C34" s="10" t="s">
        <v>94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/>
      <c r="B35" s="2"/>
      <c r="C35" s="12" t="s">
        <v>30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"/>
      <c r="B36" s="2"/>
      <c r="C36" s="10" t="s">
        <v>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5">
    <mergeCell ref="A1:H1"/>
    <mergeCell ref="A2:H2"/>
    <mergeCell ref="A4:H4"/>
    <mergeCell ref="A12:H1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6" min="15" style="0" width="9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3" min="23" style="0" width="10"/>
    <col collapsed="false" customWidth="true" hidden="false" outlineLevel="0" max="25" min="24" style="0" width="12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14"/>
    <col collapsed="false" customWidth="true" hidden="false" outlineLevel="0" max="29" min="29" style="0" width="12"/>
    <col collapsed="false" customWidth="true" hidden="false" outlineLevel="0" max="31" min="30" style="0" width="13"/>
    <col collapsed="false" customWidth="true" hidden="false" outlineLevel="0" max="32" min="32" style="0" width="9"/>
    <col collapsed="false" customWidth="true" hidden="false" outlineLevel="0" max="33" min="33" style="0" width="11"/>
    <col collapsed="false" customWidth="true" hidden="false" outlineLevel="0" max="34" min="34" style="0" width="12"/>
    <col collapsed="false" customWidth="true" hidden="false" outlineLevel="0" max="35" min="35" style="0" width="14"/>
    <col collapsed="false" customWidth="true" hidden="false" outlineLevel="0" max="36" min="36" style="0" width="10"/>
    <col collapsed="false" customWidth="true" hidden="false" outlineLevel="0" max="37" min="37" style="0" width="35"/>
    <col collapsed="false" customWidth="true" hidden="false" outlineLevel="0" max="38" min="38" style="0" width="25"/>
    <col collapsed="false" customWidth="true" hidden="false" outlineLevel="0" max="39" min="39" style="0" width="30"/>
    <col collapsed="false" customWidth="true" hidden="false" outlineLevel="0" max="40" min="40" style="0" width="14"/>
    <col collapsed="false" customWidth="true" hidden="false" outlineLevel="0" max="41" min="41" style="0" width="15"/>
  </cols>
  <sheetData>
    <row r="1" customFormat="false" ht="30" hidden="false" customHeight="true" outlineLevel="0" collapsed="false">
      <c r="A1" s="15" t="s">
        <v>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2"/>
      <c r="AL1" s="2"/>
      <c r="AM1" s="2"/>
      <c r="AN1" s="2"/>
      <c r="AO1" s="2"/>
      <c r="AP1" s="2"/>
    </row>
    <row r="2" customFormat="false" ht="15.75" hidden="false" customHeight="true" outlineLevel="0" collapsed="false">
      <c r="A2" s="16" t="s">
        <v>96</v>
      </c>
      <c r="B2" s="16"/>
      <c r="C2" s="2"/>
      <c r="D2" s="2"/>
      <c r="E2" s="17" t="s">
        <v>97</v>
      </c>
      <c r="F2" s="17"/>
      <c r="G2" s="17"/>
      <c r="H2" s="18" t="s">
        <v>98</v>
      </c>
      <c r="I2" s="18"/>
      <c r="J2" s="18"/>
      <c r="K2" s="19" t="s">
        <v>99</v>
      </c>
      <c r="L2" s="19"/>
      <c r="M2" s="19"/>
      <c r="N2" s="19"/>
      <c r="O2" s="19"/>
      <c r="P2" s="19"/>
      <c r="Q2" s="19"/>
      <c r="R2" s="19"/>
      <c r="S2" s="20" t="s">
        <v>100</v>
      </c>
      <c r="T2" s="20"/>
      <c r="U2" s="20"/>
      <c r="V2" s="20"/>
      <c r="W2" s="20"/>
      <c r="X2" s="20"/>
      <c r="Y2" s="20"/>
      <c r="Z2" s="20"/>
      <c r="AA2" s="20"/>
      <c r="AB2" s="20"/>
      <c r="AC2" s="18" t="s">
        <v>101</v>
      </c>
      <c r="AD2" s="18"/>
      <c r="AE2" s="18"/>
      <c r="AF2" s="18"/>
      <c r="AG2" s="18"/>
      <c r="AH2" s="18"/>
      <c r="AI2" s="18"/>
      <c r="AJ2" s="21" t="s">
        <v>102</v>
      </c>
      <c r="AK2" s="21"/>
      <c r="AL2" s="21"/>
      <c r="AM2" s="21"/>
      <c r="AN2" s="21"/>
      <c r="AO2" s="21"/>
      <c r="AP2" s="2"/>
    </row>
    <row r="3" customFormat="false" ht="30" hidden="false" customHeight="true" outlineLevel="0" collapsed="false">
      <c r="A3" s="22" t="s">
        <v>103</v>
      </c>
      <c r="B3" s="23" t="s">
        <v>104</v>
      </c>
      <c r="C3" s="23" t="s">
        <v>105</v>
      </c>
      <c r="D3" s="23" t="s">
        <v>106</v>
      </c>
      <c r="E3" s="23" t="s">
        <v>107</v>
      </c>
      <c r="F3" s="23" t="s">
        <v>108</v>
      </c>
      <c r="G3" s="23" t="s">
        <v>109</v>
      </c>
      <c r="H3" s="23" t="s">
        <v>110</v>
      </c>
      <c r="I3" s="23" t="s">
        <v>111</v>
      </c>
      <c r="J3" s="23" t="s">
        <v>43</v>
      </c>
      <c r="K3" s="23" t="s">
        <v>112</v>
      </c>
      <c r="L3" s="23" t="s">
        <v>113</v>
      </c>
      <c r="M3" s="23" t="s">
        <v>114</v>
      </c>
      <c r="N3" s="23" t="s">
        <v>115</v>
      </c>
      <c r="O3" s="23" t="s">
        <v>116</v>
      </c>
      <c r="P3" s="22" t="s">
        <v>117</v>
      </c>
      <c r="Q3" s="22" t="s">
        <v>118</v>
      </c>
      <c r="R3" s="22" t="s">
        <v>119</v>
      </c>
      <c r="S3" s="23" t="s">
        <v>120</v>
      </c>
      <c r="T3" s="23" t="s">
        <v>121</v>
      </c>
      <c r="U3" s="22" t="s">
        <v>122</v>
      </c>
      <c r="V3" s="23" t="s">
        <v>123</v>
      </c>
      <c r="W3" s="23" t="s">
        <v>124</v>
      </c>
      <c r="X3" s="22" t="s">
        <v>125</v>
      </c>
      <c r="Y3" s="23" t="s">
        <v>126</v>
      </c>
      <c r="Z3" s="23" t="s">
        <v>127</v>
      </c>
      <c r="AA3" s="22" t="s">
        <v>128</v>
      </c>
      <c r="AB3" s="23" t="s">
        <v>129</v>
      </c>
      <c r="AC3" s="22" t="s">
        <v>130</v>
      </c>
      <c r="AD3" s="22" t="s">
        <v>131</v>
      </c>
      <c r="AE3" s="22" t="s">
        <v>132</v>
      </c>
      <c r="AF3" s="22" t="s">
        <v>133</v>
      </c>
      <c r="AG3" s="22" t="s">
        <v>134</v>
      </c>
      <c r="AH3" s="22" t="s">
        <v>135</v>
      </c>
      <c r="AI3" s="22" t="s">
        <v>136</v>
      </c>
      <c r="AJ3" s="22" t="s">
        <v>137</v>
      </c>
      <c r="AK3" s="23" t="s">
        <v>15</v>
      </c>
      <c r="AL3" s="23" t="s">
        <v>138</v>
      </c>
      <c r="AM3" s="23" t="s">
        <v>139</v>
      </c>
      <c r="AN3" s="23" t="s">
        <v>140</v>
      </c>
      <c r="AO3" s="22" t="s">
        <v>141</v>
      </c>
      <c r="AP3" s="2"/>
    </row>
    <row r="4" customFormat="false" ht="15" hidden="false" customHeight="false" outlineLevel="0" collapsed="false">
      <c r="A4" s="24" t="n">
        <f aca="false">IF(B4="","",ROW()-3)</f>
        <v>1</v>
      </c>
      <c r="B4" s="25" t="n">
        <v>45306</v>
      </c>
      <c r="C4" s="10" t="s">
        <v>142</v>
      </c>
      <c r="D4" s="25" t="n">
        <v>45306</v>
      </c>
      <c r="E4" s="10" t="s">
        <v>46</v>
      </c>
      <c r="F4" s="10" t="s">
        <v>49</v>
      </c>
      <c r="G4" s="10" t="s">
        <v>47</v>
      </c>
      <c r="H4" s="10" t="s">
        <v>51</v>
      </c>
      <c r="I4" s="10" t="s">
        <v>71</v>
      </c>
      <c r="J4" s="10" t="s">
        <v>143</v>
      </c>
      <c r="K4" s="10" t="n">
        <v>1.0852</v>
      </c>
      <c r="L4" s="10" t="n">
        <v>1.0832</v>
      </c>
      <c r="M4" s="10" t="n">
        <v>1.09</v>
      </c>
      <c r="N4" s="10" t="n">
        <v>1.095</v>
      </c>
      <c r="O4" s="26" t="n">
        <v>0.01</v>
      </c>
      <c r="P4" s="24" t="n">
        <f aca="false">IF(K4="","",IFERROR(ABS(K4-L4)/IF(ISNUMBER(SEARCH("JPY",E4)),0.01,IF(ISNUMBER(SEARCH("XAU",E4)),0.01,IF(OR(ISNUMBER(SEARCH("30",E4)),ISNUMBER(SEARCH("500",E4)),ISNUMBER(SEARCH("100",E4))),1,0.0001))),0))</f>
        <v>20</v>
      </c>
      <c r="Q4" s="27" t="n">
        <f aca="false">IF(K4="","",SETTINGS!$B$6*O4)</f>
        <v>500</v>
      </c>
      <c r="R4" s="24" t="n">
        <f aca="false">IF(K4="","",IFERROR(Q4/(P4*IF(ISNUMBER(SEARCH("JPY",E4)),9.09,IF(ISNUMBER(SEARCH("XAU",E4)),1,IF(OR(ISNUMBER(SEARCH("30",E4)),ISNUMBER(SEARCH("500",E4)),ISNUMBER(SEARCH("100",E4))),1,10)))),0))</f>
        <v>2.5</v>
      </c>
      <c r="S4" s="10" t="n">
        <v>1.0885</v>
      </c>
      <c r="T4" s="28" t="n">
        <v>0.5</v>
      </c>
      <c r="U4" s="27" t="n">
        <f aca="false">IF(OR(S4="",T4=0),"",IFERROR((S4-K4)*IF(F4="Sell",-1,1)*R4*T4*IF(ISNUMBER(SEARCH("JPY",E4)),1000,IF(ISNUMBER(SEARCH("XAU",E4)),100,IF(OR(ISNUMBER(SEARCH("30",E4)),ISNUMBER(SEARCH("500",E4)),ISNUMBER(SEARCH("100",E4))),100,100000))),0))</f>
        <v>412.50000000001</v>
      </c>
      <c r="V4" s="10"/>
      <c r="W4" s="28"/>
      <c r="X4" s="27" t="str">
        <f aca="false">IF(OR(V4="",W4=0),"",IFERROR((V4-K4)*IF(F4="Sell",-1,1)*R4*W4*IF(ISNUMBER(SEARCH("JPY",E4)),1000,IF(ISNUMBER(SEARCH("XAU",E4)),100,IF(OR(ISNUMBER(SEARCH("30",E4)),ISNUMBER(SEARCH("500",E4)),ISNUMBER(SEARCH("100",E4))),100,100000))),0))</f>
        <v/>
      </c>
      <c r="Y4" s="10"/>
      <c r="Z4" s="28"/>
      <c r="AA4" s="27" t="str">
        <f aca="false">IF(OR(Y4="",Z4=0),"",IFERROR((Y4-K4)*IF(F4="Sell",-1,1)*R4*Z4*IF(ISNUMBER(SEARCH("JPY",E4)),1000,IF(ISNUMBER(SEARCH("XAU",E4)),100,IF(OR(ISNUMBER(SEARCH("30",E4)),ISNUMBER(SEARCH("500",E4)),ISNUMBER(SEARCH("100",E4))),100,100000))),0))</f>
        <v/>
      </c>
      <c r="AB4" s="10" t="n">
        <v>1.091</v>
      </c>
      <c r="AC4" s="29" t="n">
        <f aca="false">IF(K4="","",1-IFERROR(T4,0)-IFERROR(W4,0)-IFERROR(Z4,0))</f>
        <v>0.5</v>
      </c>
      <c r="AD4" s="30" t="n">
        <f aca="false">IF(AB4="","",IFERROR((IFERROR(S4*T4,0)+IFERROR(V4*W4,0)+IFERROR(Y4*Z4,0)+AB4*AC4)/(IFERROR(T4,0)+IFERROR(W4,0)+IFERROR(Z4,0)+AC4),AB4))</f>
        <v>1.08975</v>
      </c>
      <c r="AE4" s="27" t="n">
        <f aca="false">IF(AB4="","",IF(U4="",0,U4)+IF(X4="",0,X4)+IF(AA4="",0,AA4)+IFERROR((AB4-K4)*IF(F4="Sell",-1,1)*R4*AC4*IF(ISNUMBER(SEARCH("JPY",E4)),1000,IF(ISNUMBER(SEARCH("XAU",E4)),100,IF(OR(ISNUMBER(SEARCH("30",E4)),ISNUMBER(SEARCH("500",E4)),ISNUMBER(SEARCH("100",E4))),100,100000))),0))</f>
        <v>1137.50000000001</v>
      </c>
      <c r="AF4" s="31" t="n">
        <f aca="false">IF(OR(K4="",M4="",L4=""),"",IFERROR(ABS(M4-K4)/ABS(K4-L4),0))</f>
        <v>2.40000000000007</v>
      </c>
      <c r="AG4" s="31" t="n">
        <f aca="false">IF(OR(AE4="",AE4=0,Q4=0,Q4=""),"",IFERROR(AE4/Q4,0))</f>
        <v>2.27500000000003</v>
      </c>
      <c r="AH4" s="32" t="str">
        <f aca="false">IF(AB4="","Open",IF(AG4="","Open",IF(AG4&gt;0.1,"Win",IF(AG4&lt;-0.1,"Loss","Breakeven"))))</f>
        <v>Win</v>
      </c>
      <c r="AI4" s="33" t="n">
        <f aca="false">IF(OR(B4="",D4=""),"",D4-B4)</f>
        <v>0</v>
      </c>
      <c r="AJ4" s="24" t="n">
        <f aca="false">IF(AD4="","",IFERROR((AD4-K4)*IF(F4="Sell",-1,1)/IF(ISNUMBER(SEARCH("JPY",E4)),0.01,IF(ISNUMBER(SEARCH("XAU",E4)),0.01,IF(OR(ISNUMBER(SEARCH("30",E4)),ISNUMBER(SEARCH("500",E4)),ISNUMBER(SEARCH("100",E4))),1,0.0001))),0))</f>
        <v>45.5000000000005</v>
      </c>
      <c r="AK4" s="10" t="s">
        <v>144</v>
      </c>
      <c r="AL4" s="10"/>
      <c r="AM4" s="10"/>
      <c r="AN4" s="10" t="n">
        <v>7</v>
      </c>
      <c r="AO4" s="27" t="n">
        <f aca="false">IF(AE4="","",SETTINGS!$B$6+IF(AE4="",0,AE4))</f>
        <v>51137.5</v>
      </c>
      <c r="AP4" s="2"/>
    </row>
    <row r="5" customFormat="false" ht="15" hidden="false" customHeight="false" outlineLevel="0" collapsed="false">
      <c r="A5" s="24" t="n">
        <f aca="false">IF(B5="","",ROW()-3)</f>
        <v>2</v>
      </c>
      <c r="B5" s="34" t="n">
        <v>45307</v>
      </c>
      <c r="C5" s="12" t="s">
        <v>145</v>
      </c>
      <c r="D5" s="34" t="n">
        <v>45307</v>
      </c>
      <c r="E5" s="12" t="s">
        <v>53</v>
      </c>
      <c r="F5" s="12" t="s">
        <v>56</v>
      </c>
      <c r="G5" s="12" t="s">
        <v>67</v>
      </c>
      <c r="H5" s="12" t="s">
        <v>84</v>
      </c>
      <c r="I5" s="12" t="s">
        <v>77</v>
      </c>
      <c r="J5" s="12" t="s">
        <v>146</v>
      </c>
      <c r="K5" s="12" t="n">
        <v>1.2765</v>
      </c>
      <c r="L5" s="12" t="n">
        <v>1.2795</v>
      </c>
      <c r="M5" s="12" t="n">
        <v>1.271</v>
      </c>
      <c r="N5" s="12" t="n">
        <v>1.268</v>
      </c>
      <c r="O5" s="35" t="n">
        <v>0.01</v>
      </c>
      <c r="P5" s="24" t="n">
        <f aca="false">IF(K5="","",IFERROR(ABS(K5-L5)/IF(ISNUMBER(SEARCH("JPY",E5)),0.01,IF(ISNUMBER(SEARCH("XAU",E5)),0.01,IF(OR(ISNUMBER(SEARCH("30",E5)),ISNUMBER(SEARCH("500",E5)),ISNUMBER(SEARCH("100",E5))),1,0.0001))),0))</f>
        <v>30.0000000000011</v>
      </c>
      <c r="Q5" s="27" t="n">
        <f aca="false">IF(K5="","",SETTINGS!$B$6*O5)</f>
        <v>500</v>
      </c>
      <c r="R5" s="24" t="n">
        <f aca="false">IF(K5="","",IFERROR(Q5/(P5*IF(ISNUMBER(SEARCH("JPY",E5)),9.09,IF(ISNUMBER(SEARCH("XAU",E5)),1,IF(OR(ISNUMBER(SEARCH("30",E5)),ISNUMBER(SEARCH("500",E5)),ISNUMBER(SEARCH("100",E5))),1,10)))),0))</f>
        <v>1.6666666666666</v>
      </c>
      <c r="S5" s="12"/>
      <c r="T5" s="36" t="n">
        <v>0</v>
      </c>
      <c r="U5" s="27" t="str">
        <f aca="false">IF(OR(S5="",T5=0),"",IFERROR((S5-K5)*IF(F5="Sell",-1,1)*R5*T5*IF(ISNUMBER(SEARCH("JPY",E5)),1000,IF(ISNUMBER(SEARCH("XAU",E5)),100,IF(OR(ISNUMBER(SEARCH("30",E5)),ISNUMBER(SEARCH("500",E5)),ISNUMBER(SEARCH("100",E5))),100,100000))),0))</f>
        <v/>
      </c>
      <c r="V5" s="12"/>
      <c r="W5" s="36"/>
      <c r="X5" s="27" t="str">
        <f aca="false">IF(OR(V5="",W5=0),"",IFERROR((V5-K5)*IF(F5="Sell",-1,1)*R5*W5*IF(ISNUMBER(SEARCH("JPY",E5)),1000,IF(ISNUMBER(SEARCH("XAU",E5)),100,IF(OR(ISNUMBER(SEARCH("30",E5)),ISNUMBER(SEARCH("500",E5)),ISNUMBER(SEARCH("100",E5))),100,100000))),0))</f>
        <v/>
      </c>
      <c r="Y5" s="12"/>
      <c r="Z5" s="36"/>
      <c r="AA5" s="27" t="str">
        <f aca="false">IF(OR(Y5="",Z5=0),"",IFERROR((Y5-K5)*IF(F5="Sell",-1,1)*R5*Z5*IF(ISNUMBER(SEARCH("JPY",E5)),1000,IF(ISNUMBER(SEARCH("XAU",E5)),100,IF(OR(ISNUMBER(SEARCH("30",E5)),ISNUMBER(SEARCH("500",E5)),ISNUMBER(SEARCH("100",E5))),100,100000))),0))</f>
        <v/>
      </c>
      <c r="AB5" s="12" t="n">
        <v>1.271</v>
      </c>
      <c r="AC5" s="29" t="n">
        <f aca="false">IF(K5="","",1-IFERROR(T5,0)-IFERROR(W5,0)-IFERROR(Z5,0))</f>
        <v>1</v>
      </c>
      <c r="AD5" s="30" t="n">
        <f aca="false">IF(AB5="","",IFERROR((IFERROR(S5*T5,0)+IFERROR(V5*W5,0)+IFERROR(Y5*Z5,0)+AB5*AC5)/(IFERROR(T5,0)+IFERROR(W5,0)+IFERROR(Z5,0)+AC5),AB5))</f>
        <v>1.271</v>
      </c>
      <c r="AE5" s="27" t="n">
        <f aca="false">IF(AB5="","",IF(U5="",0,U5)+IF(X5="",0,X5)+IF(AA5="",0,AA5)+IFERROR((AB5-K5)*IF(F5="Sell",-1,1)*R5*AC5*IF(ISNUMBER(SEARCH("JPY",E5)),1000,IF(ISNUMBER(SEARCH("XAU",E5)),100,IF(OR(ISNUMBER(SEARCH("30",E5)),ISNUMBER(SEARCH("500",E5)),ISNUMBER(SEARCH("100",E5))),100,100000))),0))</f>
        <v>916.666666666642</v>
      </c>
      <c r="AF5" s="31" t="n">
        <f aca="false">IF(OR(K5="",M5="",L5=""),"",IFERROR(ABS(M5-K5)/ABS(K5-L5),0))</f>
        <v>1.83333333333328</v>
      </c>
      <c r="AG5" s="31" t="n">
        <f aca="false">IF(OR(AE5="",AE5=0,Q5=0,Q5=""),"",IFERROR(AE5/Q5,0))</f>
        <v>1.83333333333328</v>
      </c>
      <c r="AH5" s="32" t="str">
        <f aca="false">IF(AB5="","Open",IF(AG5="","Open",IF(AG5&gt;0.1,"Win",IF(AG5&lt;-0.1,"Loss","Breakeven"))))</f>
        <v>Win</v>
      </c>
      <c r="AI5" s="33" t="n">
        <f aca="false">IF(OR(B5="",D5=""),"",D5-B5)</f>
        <v>0</v>
      </c>
      <c r="AJ5" s="24" t="n">
        <f aca="false">IF(AD5="","",IFERROR((AD5-K5)*IF(F5="Sell",-1,1)/IF(ISNUMBER(SEARCH("JPY",E5)),0.01,IF(ISNUMBER(SEARCH("XAU",E5)),0.01,IF(OR(ISNUMBER(SEARCH("30",E5)),ISNUMBER(SEARCH("500",E5)),ISNUMBER(SEARCH("100",E5))),1,0.0001))),0))</f>
        <v>55.0000000000006</v>
      </c>
      <c r="AK5" s="12" t="s">
        <v>147</v>
      </c>
      <c r="AL5" s="12"/>
      <c r="AM5" s="12"/>
      <c r="AN5" s="12" t="n">
        <v>6</v>
      </c>
      <c r="AO5" s="27" t="n">
        <f aca="false">IF(AE5="","",IFERROR(IF(AO4="",SETTINGS!$B$6,AO4),SETTINGS!$B$6)+IF(AE5="",0,AE5))</f>
        <v>52054.1666666667</v>
      </c>
      <c r="AP5" s="2"/>
    </row>
    <row r="6" customFormat="false" ht="15" hidden="false" customHeight="false" outlineLevel="0" collapsed="false">
      <c r="A6" s="24" t="n">
        <f aca="false">IF(B6="","",ROW()-3)</f>
        <v>3</v>
      </c>
      <c r="B6" s="25" t="n">
        <v>45308</v>
      </c>
      <c r="C6" s="10" t="s">
        <v>148</v>
      </c>
      <c r="D6" s="25" t="n">
        <v>45309</v>
      </c>
      <c r="E6" s="10" t="s">
        <v>24</v>
      </c>
      <c r="F6" s="10" t="s">
        <v>49</v>
      </c>
      <c r="G6" s="10" t="s">
        <v>54</v>
      </c>
      <c r="H6" s="10" t="s">
        <v>44</v>
      </c>
      <c r="I6" s="10" t="s">
        <v>71</v>
      </c>
      <c r="J6" s="10" t="s">
        <v>149</v>
      </c>
      <c r="K6" s="10" t="n">
        <v>2025.5</v>
      </c>
      <c r="L6" s="10" t="n">
        <v>2018</v>
      </c>
      <c r="M6" s="10" t="n">
        <v>2040</v>
      </c>
      <c r="N6" s="10" t="n">
        <v>2055</v>
      </c>
      <c r="O6" s="26" t="n">
        <v>0.015</v>
      </c>
      <c r="P6" s="24" t="n">
        <f aca="false">IF(K6="","",IFERROR(ABS(K6-L6)/IF(ISNUMBER(SEARCH("JPY",E6)),0.01,IF(ISNUMBER(SEARCH("XAU",E6)),0.01,IF(OR(ISNUMBER(SEARCH("30",E6)),ISNUMBER(SEARCH("500",E6)),ISNUMBER(SEARCH("100",E6))),1,0.0001))),0))</f>
        <v>750</v>
      </c>
      <c r="Q6" s="27" t="n">
        <f aca="false">IF(K6="","",SETTINGS!$B$6*O6)</f>
        <v>750</v>
      </c>
      <c r="R6" s="24" t="n">
        <f aca="false">IF(K6="","",IFERROR(Q6/(P6*IF(ISNUMBER(SEARCH("JPY",E6)),9.09,IF(ISNUMBER(SEARCH("XAU",E6)),1,IF(OR(ISNUMBER(SEARCH("30",E6)),ISNUMBER(SEARCH("500",E6)),ISNUMBER(SEARCH("100",E6))),1,10)))),0))</f>
        <v>1</v>
      </c>
      <c r="S6" s="10" t="n">
        <v>2038</v>
      </c>
      <c r="T6" s="28" t="n">
        <v>0.4</v>
      </c>
      <c r="U6" s="27" t="n">
        <f aca="false">IF(OR(S6="",T6=0),"",IFERROR((S6-K6)*IF(F6="Sell",-1,1)*R6*T6*IF(ISNUMBER(SEARCH("JPY",E6)),1000,IF(ISNUMBER(SEARCH("XAU",E6)),100,IF(OR(ISNUMBER(SEARCH("30",E6)),ISNUMBER(SEARCH("500",E6)),ISNUMBER(SEARCH("100",E6))),100,100000))),0))</f>
        <v>500</v>
      </c>
      <c r="V6" s="10" t="n">
        <v>2045</v>
      </c>
      <c r="W6" s="28" t="n">
        <v>0.35</v>
      </c>
      <c r="X6" s="27" t="n">
        <f aca="false">IF(OR(V6="",W6=0),"",IFERROR((V6-K6)*IF(F6="Sell",-1,1)*R6*W6*IF(ISNUMBER(SEARCH("JPY",E6)),1000,IF(ISNUMBER(SEARCH("XAU",E6)),100,IF(OR(ISNUMBER(SEARCH("30",E6)),ISNUMBER(SEARCH("500",E6)),ISNUMBER(SEARCH("100",E6))),100,100000))),0))</f>
        <v>682.5</v>
      </c>
      <c r="Y6" s="10"/>
      <c r="Z6" s="28"/>
      <c r="AA6" s="27" t="str">
        <f aca="false">IF(OR(Y6="",Z6=0),"",IFERROR((Y6-K6)*IF(F6="Sell",-1,1)*R6*Z6*IF(ISNUMBER(SEARCH("JPY",E6)),1000,IF(ISNUMBER(SEARCH("XAU",E6)),100,IF(OR(ISNUMBER(SEARCH("30",E6)),ISNUMBER(SEARCH("500",E6)),ISNUMBER(SEARCH("100",E6))),100,100000))),0))</f>
        <v/>
      </c>
      <c r="AB6" s="10" t="n">
        <v>2050</v>
      </c>
      <c r="AC6" s="29" t="n">
        <f aca="false">IF(K6="","",1-IFERROR(T6,0)-IFERROR(W6,0)-IFERROR(Z6,0))</f>
        <v>0.25</v>
      </c>
      <c r="AD6" s="30" t="n">
        <f aca="false">IF(AB6="","",IFERROR((IFERROR(S6*T6,0)+IFERROR(V6*W6,0)+IFERROR(Y6*Z6,0)+AB6*AC6)/(IFERROR(T6,0)+IFERROR(W6,0)+IFERROR(Z6,0)+AC6),AB6))</f>
        <v>2043.45</v>
      </c>
      <c r="AE6" s="27" t="n">
        <f aca="false">IF(AB6="","",IF(U6="",0,U6)+IF(X6="",0,X6)+IF(AA6="",0,AA6)+IFERROR((AB6-K6)*IF(F6="Sell",-1,1)*R6*AC6*IF(ISNUMBER(SEARCH("JPY",E6)),1000,IF(ISNUMBER(SEARCH("XAU",E6)),100,IF(OR(ISNUMBER(SEARCH("30",E6)),ISNUMBER(SEARCH("500",E6)),ISNUMBER(SEARCH("100",E6))),100,100000))),0))</f>
        <v>1795</v>
      </c>
      <c r="AF6" s="31" t="n">
        <f aca="false">IF(OR(K6="",M6="",L6=""),"",IFERROR(ABS(M6-K6)/ABS(K6-L6),0))</f>
        <v>1.93333333333333</v>
      </c>
      <c r="AG6" s="31" t="n">
        <f aca="false">IF(OR(AE6="",AE6=0,Q6=0,Q6=""),"",IFERROR(AE6/Q6,0))</f>
        <v>2.39333333333333</v>
      </c>
      <c r="AH6" s="32" t="str">
        <f aca="false">IF(AB6="","Open",IF(AG6="","Open",IF(AG6&gt;0.1,"Win",IF(AG6&lt;-0.1,"Loss","Breakeven"))))</f>
        <v>Win</v>
      </c>
      <c r="AI6" s="33" t="n">
        <f aca="false">IF(OR(B6="",D6=""),"",D6-B6)</f>
        <v>1</v>
      </c>
      <c r="AJ6" s="24" t="n">
        <f aca="false">IF(AD6="","",IFERROR((AD6-K6)*IF(F6="Sell",-1,1)/IF(ISNUMBER(SEARCH("JPY",E6)),0.01,IF(ISNUMBER(SEARCH("XAU",E6)),0.01,IF(OR(ISNUMBER(SEARCH("30",E6)),ISNUMBER(SEARCH("500",E6)),ISNUMBER(SEARCH("100",E6))),1,0.0001))),0))</f>
        <v>1795</v>
      </c>
      <c r="AK6" s="10" t="s">
        <v>150</v>
      </c>
      <c r="AL6" s="10"/>
      <c r="AM6" s="10"/>
      <c r="AN6" s="10" t="n">
        <v>8</v>
      </c>
      <c r="AO6" s="27" t="n">
        <f aca="false">IF(AE6="","",IFERROR(IF(AO5="",SETTINGS!$B$6,AO5),SETTINGS!$B$6)+IF(AE6="",0,AE6))</f>
        <v>53849.1666666667</v>
      </c>
      <c r="AP6" s="2"/>
    </row>
    <row r="7" customFormat="false" ht="15" hidden="false" customHeight="false" outlineLevel="0" collapsed="false">
      <c r="A7" s="24" t="n">
        <f aca="false">IF(B7="","",ROW()-3)</f>
        <v>4</v>
      </c>
      <c r="B7" s="34" t="n">
        <v>45309</v>
      </c>
      <c r="C7" s="12" t="s">
        <v>151</v>
      </c>
      <c r="D7" s="34" t="n">
        <v>45309</v>
      </c>
      <c r="E7" s="12" t="s">
        <v>60</v>
      </c>
      <c r="F7" s="12" t="s">
        <v>56</v>
      </c>
      <c r="G7" s="12" t="s">
        <v>61</v>
      </c>
      <c r="H7" s="12" t="s">
        <v>58</v>
      </c>
      <c r="I7" s="12" t="s">
        <v>59</v>
      </c>
      <c r="J7" s="12" t="s">
        <v>152</v>
      </c>
      <c r="K7" s="12" t="n">
        <v>148.25</v>
      </c>
      <c r="L7" s="12" t="n">
        <v>148.65</v>
      </c>
      <c r="M7" s="12" t="n">
        <v>147.5</v>
      </c>
      <c r="N7" s="12"/>
      <c r="O7" s="35" t="n">
        <v>0.01</v>
      </c>
      <c r="P7" s="24" t="n">
        <f aca="false">IF(K7="","",IFERROR(ABS(K7-L7)/IF(ISNUMBER(SEARCH("JPY",E7)),0.01,IF(ISNUMBER(SEARCH("XAU",E7)),0.01,IF(OR(ISNUMBER(SEARCH("30",E7)),ISNUMBER(SEARCH("500",E7)),ISNUMBER(SEARCH("100",E7))),1,0.0001))),0))</f>
        <v>40.0000000000006</v>
      </c>
      <c r="Q7" s="27" t="n">
        <f aca="false">IF(K7="","",SETTINGS!$B$6*O7)</f>
        <v>500</v>
      </c>
      <c r="R7" s="24" t="n">
        <f aca="false">IF(K7="","",IFERROR(Q7/(P7*IF(ISNUMBER(SEARCH("JPY",E7)),9.09,IF(ISNUMBER(SEARCH("XAU",E7)),1,IF(OR(ISNUMBER(SEARCH("30",E7)),ISNUMBER(SEARCH("500",E7)),ISNUMBER(SEARCH("100",E7))),1,10)))),0))</f>
        <v>1.37513751375136</v>
      </c>
      <c r="S7" s="12"/>
      <c r="T7" s="36" t="n">
        <v>0</v>
      </c>
      <c r="U7" s="27" t="str">
        <f aca="false">IF(OR(S7="",T7=0),"",IFERROR((S7-K7)*IF(F7="Sell",-1,1)*R7*T7*IF(ISNUMBER(SEARCH("JPY",E7)),1000,IF(ISNUMBER(SEARCH("XAU",E7)),100,IF(OR(ISNUMBER(SEARCH("30",E7)),ISNUMBER(SEARCH("500",E7)),ISNUMBER(SEARCH("100",E7))),100,100000))),0))</f>
        <v/>
      </c>
      <c r="V7" s="12"/>
      <c r="W7" s="36"/>
      <c r="X7" s="27" t="str">
        <f aca="false">IF(OR(V7="",W7=0),"",IFERROR((V7-K7)*IF(F7="Sell",-1,1)*R7*W7*IF(ISNUMBER(SEARCH("JPY",E7)),1000,IF(ISNUMBER(SEARCH("XAU",E7)),100,IF(OR(ISNUMBER(SEARCH("30",E7)),ISNUMBER(SEARCH("500",E7)),ISNUMBER(SEARCH("100",E7))),100,100000))),0))</f>
        <v/>
      </c>
      <c r="Y7" s="12"/>
      <c r="Z7" s="36"/>
      <c r="AA7" s="27" t="str">
        <f aca="false">IF(OR(Y7="",Z7=0),"",IFERROR((Y7-K7)*IF(F7="Sell",-1,1)*R7*Z7*IF(ISNUMBER(SEARCH("JPY",E7)),1000,IF(ISNUMBER(SEARCH("XAU",E7)),100,IF(OR(ISNUMBER(SEARCH("30",E7)),ISNUMBER(SEARCH("500",E7)),ISNUMBER(SEARCH("100",E7))),100,100000))),0))</f>
        <v/>
      </c>
      <c r="AB7" s="12" t="n">
        <v>147.8</v>
      </c>
      <c r="AC7" s="29" t="n">
        <f aca="false">IF(K7="","",1-IFERROR(T7,0)-IFERROR(W7,0)-IFERROR(Z7,0))</f>
        <v>1</v>
      </c>
      <c r="AD7" s="30" t="n">
        <f aca="false">IF(AB7="","",IFERROR((IFERROR(S7*T7,0)+IFERROR(V7*W7,0)+IFERROR(Y7*Z7,0)+AB7*AC7)/(IFERROR(T7,0)+IFERROR(W7,0)+IFERROR(Z7,0)+AC7),AB7))</f>
        <v>147.8</v>
      </c>
      <c r="AE7" s="27" t="n">
        <f aca="false">IF(AB7="","",IF(U7="",0,U7)+IF(X7="",0,X7)+IF(AA7="",0,AA7)+IFERROR((AB7-K7)*IF(F7="Sell",-1,1)*R7*AC7*IF(ISNUMBER(SEARCH("JPY",E7)),1000,IF(ISNUMBER(SEARCH("XAU",E7)),100,IF(OR(ISNUMBER(SEARCH("30",E7)),ISNUMBER(SEARCH("500",E7)),ISNUMBER(SEARCH("100",E7))),100,100000))),0))</f>
        <v>618.811881188095</v>
      </c>
      <c r="AF7" s="31" t="n">
        <f aca="false">IF(OR(K7="",M7="",L7=""),"",IFERROR(ABS(M7-K7)/ABS(K7-L7),0))</f>
        <v>1.87499999999997</v>
      </c>
      <c r="AG7" s="31" t="n">
        <f aca="false">IF(OR(AE7="",AE7=0,Q7=0,Q7=""),"",IFERROR(AE7/Q7,0))</f>
        <v>1.23762376237619</v>
      </c>
      <c r="AH7" s="32" t="str">
        <f aca="false">IF(AB7="","Open",IF(AG7="","Open",IF(AG7&gt;0.1,"Win",IF(AG7&lt;-0.1,"Loss","Breakeven"))))</f>
        <v>Win</v>
      </c>
      <c r="AI7" s="33" t="n">
        <f aca="false">IF(OR(B7="",D7=""),"",D7-B7)</f>
        <v>0</v>
      </c>
      <c r="AJ7" s="24" t="n">
        <f aca="false">IF(AD7="","",IFERROR((AD7-K7)*IF(F7="Sell",-1,1)/IF(ISNUMBER(SEARCH("JPY",E7)),0.01,IF(ISNUMBER(SEARCH("XAU",E7)),0.01,IF(OR(ISNUMBER(SEARCH("30",E7)),ISNUMBER(SEARCH("500",E7)),ISNUMBER(SEARCH("100",E7))),1,0.0001))),0))</f>
        <v>44.9999999999989</v>
      </c>
      <c r="AK7" s="12" t="s">
        <v>153</v>
      </c>
      <c r="AL7" s="12"/>
      <c r="AM7" s="12"/>
      <c r="AN7" s="12" t="n">
        <v>5</v>
      </c>
      <c r="AO7" s="27" t="n">
        <f aca="false">IF(AE7="","",IFERROR(IF(AO6="",SETTINGS!$B$6,AO6),SETTINGS!$B$6)+IF(AE7="",0,AE7))</f>
        <v>54467.9785478548</v>
      </c>
      <c r="AP7" s="2"/>
    </row>
    <row r="8" customFormat="false" ht="15" hidden="false" customHeight="false" outlineLevel="0" collapsed="false">
      <c r="A8" s="24" t="n">
        <f aca="false">IF(B8="","",ROW()-3)</f>
        <v>5</v>
      </c>
      <c r="B8" s="25" t="n">
        <v>45313</v>
      </c>
      <c r="C8" s="10" t="s">
        <v>154</v>
      </c>
      <c r="D8" s="25" t="n">
        <v>45313</v>
      </c>
      <c r="E8" s="10" t="s">
        <v>46</v>
      </c>
      <c r="F8" s="10" t="s">
        <v>49</v>
      </c>
      <c r="G8" s="10" t="s">
        <v>47</v>
      </c>
      <c r="H8" s="10" t="s">
        <v>80</v>
      </c>
      <c r="I8" s="10" t="s">
        <v>71</v>
      </c>
      <c r="J8" s="10" t="s">
        <v>155</v>
      </c>
      <c r="K8" s="10" t="n">
        <v>1.0879</v>
      </c>
      <c r="L8" s="10" t="n">
        <v>1.0859</v>
      </c>
      <c r="M8" s="10" t="n">
        <v>1.092</v>
      </c>
      <c r="N8" s="10"/>
      <c r="O8" s="26" t="n">
        <v>0.01</v>
      </c>
      <c r="P8" s="24" t="n">
        <f aca="false">IF(K8="","",IFERROR(ABS(K8-L8)/IF(ISNUMBER(SEARCH("JPY",E8)),0.01,IF(ISNUMBER(SEARCH("XAU",E8)),0.01,IF(OR(ISNUMBER(SEARCH("30",E8)),ISNUMBER(SEARCH("500",E8)),ISNUMBER(SEARCH("100",E8))),1,0.0001))),0))</f>
        <v>20</v>
      </c>
      <c r="Q8" s="27" t="n">
        <f aca="false">IF(K8="","",SETTINGS!$B$6*O8)</f>
        <v>500</v>
      </c>
      <c r="R8" s="24" t="n">
        <f aca="false">IF(K8="","",IFERROR(Q8/(P8*IF(ISNUMBER(SEARCH("JPY",E8)),9.09,IF(ISNUMBER(SEARCH("XAU",E8)),1,IF(OR(ISNUMBER(SEARCH("30",E8)),ISNUMBER(SEARCH("500",E8)),ISNUMBER(SEARCH("100",E8))),1,10)))),0))</f>
        <v>2.5</v>
      </c>
      <c r="S8" s="10" t="n">
        <v>1.0905</v>
      </c>
      <c r="T8" s="28" t="n">
        <v>0.6</v>
      </c>
      <c r="U8" s="27" t="n">
        <f aca="false">IF(OR(S8="",T8=0),"",IFERROR((S8-K8)*IF(F8="Sell",-1,1)*R8*T8*IF(ISNUMBER(SEARCH("JPY",E8)),1000,IF(ISNUMBER(SEARCH("XAU",E8)),100,IF(OR(ISNUMBER(SEARCH("30",E8)),ISNUMBER(SEARCH("500",E8)),ISNUMBER(SEARCH("100",E8))),100,100000))),0))</f>
        <v>389.99999999999</v>
      </c>
      <c r="V8" s="10"/>
      <c r="W8" s="28"/>
      <c r="X8" s="27" t="str">
        <f aca="false">IF(OR(V8="",W8=0),"",IFERROR((V8-K8)*IF(F8="Sell",-1,1)*R8*W8*IF(ISNUMBER(SEARCH("JPY",E8)),1000,IF(ISNUMBER(SEARCH("XAU",E8)),100,IF(OR(ISNUMBER(SEARCH("30",E8)),ISNUMBER(SEARCH("500",E8)),ISNUMBER(SEARCH("100",E8))),100,100000))),0))</f>
        <v/>
      </c>
      <c r="Y8" s="10"/>
      <c r="Z8" s="28"/>
      <c r="AA8" s="27" t="str">
        <f aca="false">IF(OR(Y8="",Z8=0),"",IFERROR((Y8-K8)*IF(F8="Sell",-1,1)*R8*Z8*IF(ISNUMBER(SEARCH("JPY",E8)),1000,IF(ISNUMBER(SEARCH("XAU",E8)),100,IF(OR(ISNUMBER(SEARCH("30",E8)),ISNUMBER(SEARCH("500",E8)),ISNUMBER(SEARCH("100",E8))),100,100000))),0))</f>
        <v/>
      </c>
      <c r="AB8" s="10" t="n">
        <v>1.0915</v>
      </c>
      <c r="AC8" s="29" t="n">
        <f aca="false">IF(K8="","",1-IFERROR(T8,0)-IFERROR(W8,0)-IFERROR(Z8,0))</f>
        <v>0.4</v>
      </c>
      <c r="AD8" s="30" t="n">
        <f aca="false">IF(AB8="","",IFERROR((IFERROR(S8*T8,0)+IFERROR(V8*W8,0)+IFERROR(Y8*Z8,0)+AB8*AC8)/(IFERROR(T8,0)+IFERROR(W8,0)+IFERROR(Z8,0)+AC8),AB8))</f>
        <v>1.0909</v>
      </c>
      <c r="AE8" s="27" t="n">
        <f aca="false">IF(AB8="","",IF(U8="",0,U8)+IF(X8="",0,X8)+IF(AA8="",0,AA8)+IFERROR((AB8-K8)*IF(F8="Sell",-1,1)*R8*AC8*IF(ISNUMBER(SEARCH("JPY",E8)),1000,IF(ISNUMBER(SEARCH("XAU",E8)),100,IF(OR(ISNUMBER(SEARCH("30",E8)),ISNUMBER(SEARCH("500",E8)),ISNUMBER(SEARCH("100",E8))),100,100000))),0))</f>
        <v>749.999999999972</v>
      </c>
      <c r="AF8" s="31" t="n">
        <f aca="false">IF(OR(K8="",M8="",L8=""),"",IFERROR(ABS(M8-K8)/ABS(K8-L8),0))</f>
        <v>2.04999999999999</v>
      </c>
      <c r="AG8" s="31" t="n">
        <f aca="false">IF(OR(AE8="",AE8=0,Q8=0,Q8=""),"",IFERROR(AE8/Q8,0))</f>
        <v>1.49999999999994</v>
      </c>
      <c r="AH8" s="32" t="str">
        <f aca="false">IF(AB8="","Open",IF(AG8="","Open",IF(AG8&gt;0.1,"Win",IF(AG8&lt;-0.1,"Loss","Breakeven"))))</f>
        <v>Win</v>
      </c>
      <c r="AI8" s="33" t="n">
        <f aca="false">IF(OR(B8="",D8=""),"",D8-B8)</f>
        <v>0</v>
      </c>
      <c r="AJ8" s="24" t="n">
        <f aca="false">IF(AD8="","",IFERROR((AD8-K8)*IF(F8="Sell",-1,1)/IF(ISNUMBER(SEARCH("JPY",E8)),0.01,IF(ISNUMBER(SEARCH("XAU",E8)),0.01,IF(OR(ISNUMBER(SEARCH("30",E8)),ISNUMBER(SEARCH("500",E8)),ISNUMBER(SEARCH("100",E8))),1,0.0001))),0))</f>
        <v>29.9999999999989</v>
      </c>
      <c r="AK8" s="10" t="s">
        <v>156</v>
      </c>
      <c r="AL8" s="10"/>
      <c r="AM8" s="10"/>
      <c r="AN8" s="10" t="n">
        <v>9</v>
      </c>
      <c r="AO8" s="27" t="n">
        <f aca="false">IF(AE8="","",IFERROR(IF(AO7="",SETTINGS!$B$6,AO7),SETTINGS!$B$6)+IF(AE8="",0,AE8))</f>
        <v>55217.9785478547</v>
      </c>
      <c r="AP8" s="2"/>
    </row>
    <row r="9" customFormat="false" ht="15" hidden="false" customHeight="false" outlineLevel="0" collapsed="false">
      <c r="A9" s="24" t="str">
        <f aca="false">IF(B9="","",ROW()-3)</f>
        <v/>
      </c>
      <c r="B9" s="34"/>
      <c r="C9" s="12"/>
      <c r="D9" s="34"/>
      <c r="E9" s="12"/>
      <c r="F9" s="12"/>
      <c r="G9" s="12"/>
      <c r="H9" s="12"/>
      <c r="I9" s="12"/>
      <c r="J9" s="12"/>
      <c r="K9" s="12"/>
      <c r="L9" s="12"/>
      <c r="M9" s="12"/>
      <c r="N9" s="12"/>
      <c r="O9" s="35"/>
      <c r="P9" s="24" t="str">
        <f aca="false">IF(K9="","",IFERROR(ABS(K9-L9)/IF(ISNUMBER(SEARCH("JPY",E9)),0.01,IF(ISNUMBER(SEARCH("XAU",E9)),0.01,IF(OR(ISNUMBER(SEARCH("30",E9)),ISNUMBER(SEARCH("500",E9)),ISNUMBER(SEARCH("100",E9))),1,0.0001))),0))</f>
        <v/>
      </c>
      <c r="Q9" s="27" t="str">
        <f aca="false">IF(K9="","",SETTINGS!$B$6*O9)</f>
        <v/>
      </c>
      <c r="R9" s="24" t="str">
        <f aca="false">IF(K9="","",IFERROR(Q9/(P9*IF(ISNUMBER(SEARCH("JPY",E9)),9.09,IF(ISNUMBER(SEARCH("XAU",E9)),1,IF(OR(ISNUMBER(SEARCH("30",E9)),ISNUMBER(SEARCH("500",E9)),ISNUMBER(SEARCH("100",E9))),1,10)))),0))</f>
        <v/>
      </c>
      <c r="S9" s="12"/>
      <c r="T9" s="36"/>
      <c r="U9" s="27" t="str">
        <f aca="false">IF(OR(S9="",T9=0),"",IFERROR((S9-K9)*IF(F9="Sell",-1,1)*R9*T9*IF(ISNUMBER(SEARCH("JPY",E9)),1000,IF(ISNUMBER(SEARCH("XAU",E9)),100,IF(OR(ISNUMBER(SEARCH("30",E9)),ISNUMBER(SEARCH("500",E9)),ISNUMBER(SEARCH("100",E9))),100,100000))),0))</f>
        <v/>
      </c>
      <c r="V9" s="12"/>
      <c r="W9" s="36"/>
      <c r="X9" s="27" t="str">
        <f aca="false">IF(OR(V9="",W9=0),"",IFERROR((V9-K9)*IF(F9="Sell",-1,1)*R9*W9*IF(ISNUMBER(SEARCH("JPY",E9)),1000,IF(ISNUMBER(SEARCH("XAU",E9)),100,IF(OR(ISNUMBER(SEARCH("30",E9)),ISNUMBER(SEARCH("500",E9)),ISNUMBER(SEARCH("100",E9))),100,100000))),0))</f>
        <v/>
      </c>
      <c r="Y9" s="12"/>
      <c r="Z9" s="36"/>
      <c r="AA9" s="27" t="str">
        <f aca="false">IF(OR(Y9="",Z9=0),"",IFERROR((Y9-K9)*IF(F9="Sell",-1,1)*R9*Z9*IF(ISNUMBER(SEARCH("JPY",E9)),1000,IF(ISNUMBER(SEARCH("XAU",E9)),100,IF(OR(ISNUMBER(SEARCH("30",E9)),ISNUMBER(SEARCH("500",E9)),ISNUMBER(SEARCH("100",E9))),100,100000))),0))</f>
        <v/>
      </c>
      <c r="AB9" s="12"/>
      <c r="AC9" s="29" t="str">
        <f aca="false">IF(K9="","",1-IFERROR(T9,0)-IFERROR(W9,0)-IFERROR(Z9,0))</f>
        <v/>
      </c>
      <c r="AD9" s="30" t="str">
        <f aca="false">IF(AB9="","",IFERROR((IFERROR(S9*T9,0)+IFERROR(V9*W9,0)+IFERROR(Y9*Z9,0)+AB9*AC9)/(IFERROR(T9,0)+IFERROR(W9,0)+IFERROR(Z9,0)+AC9),AB9))</f>
        <v/>
      </c>
      <c r="AE9" s="27" t="str">
        <f aca="false">IF(AB9="","",IF(U9="",0,U9)+IF(X9="",0,X9)+IF(AA9="",0,AA9)+IFERROR((AB9-K9)*IF(F9="Sell",-1,1)*R9*AC9*IF(ISNUMBER(SEARCH("JPY",E9)),1000,IF(ISNUMBER(SEARCH("XAU",E9)),100,IF(OR(ISNUMBER(SEARCH("30",E9)),ISNUMBER(SEARCH("500",E9)),ISNUMBER(SEARCH("100",E9))),100,100000))),0))</f>
        <v/>
      </c>
      <c r="AF9" s="31" t="str">
        <f aca="false">IF(OR(K9="",M9="",L9=""),"",IFERROR(ABS(M9-K9)/ABS(K9-L9),0))</f>
        <v/>
      </c>
      <c r="AG9" s="31" t="str">
        <f aca="false">IF(OR(AE9="",AE9=0,Q9=0,Q9=""),"",IFERROR(AE9/Q9,0))</f>
        <v/>
      </c>
      <c r="AH9" s="32" t="str">
        <f aca="false">IF(AB9="","Open",IF(AG9="","Open",IF(AG9&gt;0.1,"Win",IF(AG9&lt;-0.1,"Loss","Breakeven"))))</f>
        <v>Open</v>
      </c>
      <c r="AI9" s="33" t="str">
        <f aca="false">IF(OR(B9="",D9=""),"",D9-B9)</f>
        <v/>
      </c>
      <c r="AJ9" s="24" t="str">
        <f aca="false">IF(AD9="","",IFERROR((AD9-K9)*IF(F9="Sell",-1,1)/IF(ISNUMBER(SEARCH("JPY",E9)),0.01,IF(ISNUMBER(SEARCH("XAU",E9)),0.01,IF(OR(ISNUMBER(SEARCH("30",E9)),ISNUMBER(SEARCH("500",E9)),ISNUMBER(SEARCH("100",E9))),1,0.0001))),0))</f>
        <v/>
      </c>
      <c r="AK9" s="12"/>
      <c r="AL9" s="12"/>
      <c r="AM9" s="12"/>
      <c r="AN9" s="12"/>
      <c r="AO9" s="27" t="str">
        <f aca="false">IF(AE9="","",IFERROR(IF(AO8="",SETTINGS!$B$6,AO8),SETTINGS!$B$6)+IF(AE9="",0,AE9))</f>
        <v/>
      </c>
      <c r="AP9" s="2"/>
    </row>
    <row r="10" customFormat="false" ht="15" hidden="false" customHeight="false" outlineLevel="0" collapsed="false">
      <c r="A10" s="24" t="str">
        <f aca="false">IF(B10="","",ROW()-3)</f>
        <v/>
      </c>
      <c r="B10" s="25"/>
      <c r="C10" s="10"/>
      <c r="D10" s="2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6"/>
      <c r="P10" s="24" t="str">
        <f aca="false">IF(K10="","",IFERROR(ABS(K10-L10)/IF(ISNUMBER(SEARCH("JPY",E10)),0.01,IF(ISNUMBER(SEARCH("XAU",E10)),0.01,IF(OR(ISNUMBER(SEARCH("30",E10)),ISNUMBER(SEARCH("500",E10)),ISNUMBER(SEARCH("100",E10))),1,0.0001))),0))</f>
        <v/>
      </c>
      <c r="Q10" s="27" t="str">
        <f aca="false">IF(K10="","",SETTINGS!$B$6*O10)</f>
        <v/>
      </c>
      <c r="R10" s="24" t="str">
        <f aca="false">IF(K10="","",IFERROR(Q10/(P10*IF(ISNUMBER(SEARCH("JPY",E10)),9.09,IF(ISNUMBER(SEARCH("XAU",E10)),1,IF(OR(ISNUMBER(SEARCH("30",E10)),ISNUMBER(SEARCH("500",E10)),ISNUMBER(SEARCH("100",E10))),1,10)))),0))</f>
        <v/>
      </c>
      <c r="S10" s="10"/>
      <c r="T10" s="28"/>
      <c r="U10" s="27" t="str">
        <f aca="false">IF(OR(S10="",T10=0),"",IFERROR((S10-K10)*IF(F10="Sell",-1,1)*R10*T10*IF(ISNUMBER(SEARCH("JPY",E10)),1000,IF(ISNUMBER(SEARCH("XAU",E10)),100,IF(OR(ISNUMBER(SEARCH("30",E10)),ISNUMBER(SEARCH("500",E10)),ISNUMBER(SEARCH("100",E10))),100,100000))),0))</f>
        <v/>
      </c>
      <c r="V10" s="10"/>
      <c r="W10" s="28"/>
      <c r="X10" s="27" t="str">
        <f aca="false">IF(OR(V10="",W10=0),"",IFERROR((V10-K10)*IF(F10="Sell",-1,1)*R10*W10*IF(ISNUMBER(SEARCH("JPY",E10)),1000,IF(ISNUMBER(SEARCH("XAU",E10)),100,IF(OR(ISNUMBER(SEARCH("30",E10)),ISNUMBER(SEARCH("500",E10)),ISNUMBER(SEARCH("100",E10))),100,100000))),0))</f>
        <v/>
      </c>
      <c r="Y10" s="10"/>
      <c r="Z10" s="28"/>
      <c r="AA10" s="27" t="str">
        <f aca="false">IF(OR(Y10="",Z10=0),"",IFERROR((Y10-K10)*IF(F10="Sell",-1,1)*R10*Z10*IF(ISNUMBER(SEARCH("JPY",E10)),1000,IF(ISNUMBER(SEARCH("XAU",E10)),100,IF(OR(ISNUMBER(SEARCH("30",E10)),ISNUMBER(SEARCH("500",E10)),ISNUMBER(SEARCH("100",E10))),100,100000))),0))</f>
        <v/>
      </c>
      <c r="AB10" s="10"/>
      <c r="AC10" s="29" t="str">
        <f aca="false">IF(K10="","",1-IFERROR(T10,0)-IFERROR(W10,0)-IFERROR(Z10,0))</f>
        <v/>
      </c>
      <c r="AD10" s="30" t="str">
        <f aca="false">IF(AB10="","",IFERROR((IFERROR(S10*T10,0)+IFERROR(V10*W10,0)+IFERROR(Y10*Z10,0)+AB10*AC10)/(IFERROR(T10,0)+IFERROR(W10,0)+IFERROR(Z10,0)+AC10),AB10))</f>
        <v/>
      </c>
      <c r="AE10" s="27" t="str">
        <f aca="false">IF(AB10="","",IF(U10="",0,U10)+IF(X10="",0,X10)+IF(AA10="",0,AA10)+IFERROR((AB10-K10)*IF(F10="Sell",-1,1)*R10*AC10*IF(ISNUMBER(SEARCH("JPY",E10)),1000,IF(ISNUMBER(SEARCH("XAU",E10)),100,IF(OR(ISNUMBER(SEARCH("30",E10)),ISNUMBER(SEARCH("500",E10)),ISNUMBER(SEARCH("100",E10))),100,100000))),0))</f>
        <v/>
      </c>
      <c r="AF10" s="31" t="str">
        <f aca="false">IF(OR(K10="",M10="",L10=""),"",IFERROR(ABS(M10-K10)/ABS(K10-L10),0))</f>
        <v/>
      </c>
      <c r="AG10" s="31" t="str">
        <f aca="false">IF(OR(AE10="",AE10=0,Q10=0,Q10=""),"",IFERROR(AE10/Q10,0))</f>
        <v/>
      </c>
      <c r="AH10" s="32" t="str">
        <f aca="false">IF(AB10="","Open",IF(AG10="","Open",IF(AG10&gt;0.1,"Win",IF(AG10&lt;-0.1,"Loss","Breakeven"))))</f>
        <v>Open</v>
      </c>
      <c r="AI10" s="33" t="str">
        <f aca="false">IF(OR(B10="",D10=""),"",D10-B10)</f>
        <v/>
      </c>
      <c r="AJ10" s="24" t="str">
        <f aca="false">IF(AD10="","",IFERROR((AD10-K10)*IF(F10="Sell",-1,1)/IF(ISNUMBER(SEARCH("JPY",E10)),0.01,IF(ISNUMBER(SEARCH("XAU",E10)),0.01,IF(OR(ISNUMBER(SEARCH("30",E10)),ISNUMBER(SEARCH("500",E10)),ISNUMBER(SEARCH("100",E10))),1,0.0001))),0))</f>
        <v/>
      </c>
      <c r="AK10" s="10"/>
      <c r="AL10" s="10"/>
      <c r="AM10" s="10"/>
      <c r="AN10" s="10"/>
      <c r="AO10" s="27" t="str">
        <f aca="false">IF(AE10="","",IFERROR(IF(AO9="",SETTINGS!$B$6,AO9),SETTINGS!$B$6)+IF(AE10="",0,AE10))</f>
        <v/>
      </c>
      <c r="AP10" s="2"/>
    </row>
    <row r="11" customFormat="false" ht="15" hidden="false" customHeight="false" outlineLevel="0" collapsed="false">
      <c r="A11" s="24" t="str">
        <f aca="false">IF(B11="","",ROW()-3)</f>
        <v/>
      </c>
      <c r="B11" s="34"/>
      <c r="C11" s="12"/>
      <c r="D11" s="3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35"/>
      <c r="P11" s="24" t="str">
        <f aca="false">IF(K11="","",IFERROR(ABS(K11-L11)/IF(ISNUMBER(SEARCH("JPY",E11)),0.01,IF(ISNUMBER(SEARCH("XAU",E11)),0.01,IF(OR(ISNUMBER(SEARCH("30",E11)),ISNUMBER(SEARCH("500",E11)),ISNUMBER(SEARCH("100",E11))),1,0.0001))),0))</f>
        <v/>
      </c>
      <c r="Q11" s="27" t="str">
        <f aca="false">IF(K11="","",SETTINGS!$B$6*O11)</f>
        <v/>
      </c>
      <c r="R11" s="24" t="str">
        <f aca="false">IF(K11="","",IFERROR(Q11/(P11*IF(ISNUMBER(SEARCH("JPY",E11)),9.09,IF(ISNUMBER(SEARCH("XAU",E11)),1,IF(OR(ISNUMBER(SEARCH("30",E11)),ISNUMBER(SEARCH("500",E11)),ISNUMBER(SEARCH("100",E11))),1,10)))),0))</f>
        <v/>
      </c>
      <c r="S11" s="12"/>
      <c r="T11" s="36"/>
      <c r="U11" s="27" t="str">
        <f aca="false">IF(OR(S11="",T11=0),"",IFERROR((S11-K11)*IF(F11="Sell",-1,1)*R11*T11*IF(ISNUMBER(SEARCH("JPY",E11)),1000,IF(ISNUMBER(SEARCH("XAU",E11)),100,IF(OR(ISNUMBER(SEARCH("30",E11)),ISNUMBER(SEARCH("500",E11)),ISNUMBER(SEARCH("100",E11))),100,100000))),0))</f>
        <v/>
      </c>
      <c r="V11" s="12"/>
      <c r="W11" s="36"/>
      <c r="X11" s="27" t="str">
        <f aca="false">IF(OR(V11="",W11=0),"",IFERROR((V11-K11)*IF(F11="Sell",-1,1)*R11*W11*IF(ISNUMBER(SEARCH("JPY",E11)),1000,IF(ISNUMBER(SEARCH("XAU",E11)),100,IF(OR(ISNUMBER(SEARCH("30",E11)),ISNUMBER(SEARCH("500",E11)),ISNUMBER(SEARCH("100",E11))),100,100000))),0))</f>
        <v/>
      </c>
      <c r="Y11" s="12"/>
      <c r="Z11" s="36"/>
      <c r="AA11" s="27" t="str">
        <f aca="false">IF(OR(Y11="",Z11=0),"",IFERROR((Y11-K11)*IF(F11="Sell",-1,1)*R11*Z11*IF(ISNUMBER(SEARCH("JPY",E11)),1000,IF(ISNUMBER(SEARCH("XAU",E11)),100,IF(OR(ISNUMBER(SEARCH("30",E11)),ISNUMBER(SEARCH("500",E11)),ISNUMBER(SEARCH("100",E11))),100,100000))),0))</f>
        <v/>
      </c>
      <c r="AB11" s="12"/>
      <c r="AC11" s="29" t="str">
        <f aca="false">IF(K11="","",1-IFERROR(T11,0)-IFERROR(W11,0)-IFERROR(Z11,0))</f>
        <v/>
      </c>
      <c r="AD11" s="30" t="str">
        <f aca="false">IF(AB11="","",IFERROR((IFERROR(S11*T11,0)+IFERROR(V11*W11,0)+IFERROR(Y11*Z11,0)+AB11*AC11)/(IFERROR(T11,0)+IFERROR(W11,0)+IFERROR(Z11,0)+AC11),AB11))</f>
        <v/>
      </c>
      <c r="AE11" s="27" t="str">
        <f aca="false">IF(AB11="","",IF(U11="",0,U11)+IF(X11="",0,X11)+IF(AA11="",0,AA11)+IFERROR((AB11-K11)*IF(F11="Sell",-1,1)*R11*AC11*IF(ISNUMBER(SEARCH("JPY",E11)),1000,IF(ISNUMBER(SEARCH("XAU",E11)),100,IF(OR(ISNUMBER(SEARCH("30",E11)),ISNUMBER(SEARCH("500",E11)),ISNUMBER(SEARCH("100",E11))),100,100000))),0))</f>
        <v/>
      </c>
      <c r="AF11" s="31" t="str">
        <f aca="false">IF(OR(K11="",M11="",L11=""),"",IFERROR(ABS(M11-K11)/ABS(K11-L11),0))</f>
        <v/>
      </c>
      <c r="AG11" s="31" t="str">
        <f aca="false">IF(OR(AE11="",AE11=0,Q11=0,Q11=""),"",IFERROR(AE11/Q11,0))</f>
        <v/>
      </c>
      <c r="AH11" s="32" t="str">
        <f aca="false">IF(AB11="","Open",IF(AG11="","Open",IF(AG11&gt;0.1,"Win",IF(AG11&lt;-0.1,"Loss","Breakeven"))))</f>
        <v>Open</v>
      </c>
      <c r="AI11" s="33" t="str">
        <f aca="false">IF(OR(B11="",D11=""),"",D11-B11)</f>
        <v/>
      </c>
      <c r="AJ11" s="24" t="str">
        <f aca="false">IF(AD11="","",IFERROR((AD11-K11)*IF(F11="Sell",-1,1)/IF(ISNUMBER(SEARCH("JPY",E11)),0.01,IF(ISNUMBER(SEARCH("XAU",E11)),0.01,IF(OR(ISNUMBER(SEARCH("30",E11)),ISNUMBER(SEARCH("500",E11)),ISNUMBER(SEARCH("100",E11))),1,0.0001))),0))</f>
        <v/>
      </c>
      <c r="AK11" s="12"/>
      <c r="AL11" s="12"/>
      <c r="AM11" s="12"/>
      <c r="AN11" s="12"/>
      <c r="AO11" s="27" t="str">
        <f aca="false">IF(AE11="","",IFERROR(IF(AO10="",SETTINGS!$B$6,AO10),SETTINGS!$B$6)+IF(AE11="",0,AE11))</f>
        <v/>
      </c>
      <c r="AP11" s="2"/>
    </row>
    <row r="12" customFormat="false" ht="15" hidden="false" customHeight="false" outlineLevel="0" collapsed="false">
      <c r="A12" s="24" t="str">
        <f aca="false">IF(B12="","",ROW()-3)</f>
        <v/>
      </c>
      <c r="B12" s="25"/>
      <c r="C12" s="10"/>
      <c r="D12" s="2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6"/>
      <c r="P12" s="24" t="str">
        <f aca="false">IF(K12="","",IFERROR(ABS(K12-L12)/IF(ISNUMBER(SEARCH("JPY",E12)),0.01,IF(ISNUMBER(SEARCH("XAU",E12)),0.01,IF(OR(ISNUMBER(SEARCH("30",E12)),ISNUMBER(SEARCH("500",E12)),ISNUMBER(SEARCH("100",E12))),1,0.0001))),0))</f>
        <v/>
      </c>
      <c r="Q12" s="27" t="str">
        <f aca="false">IF(K12="","",SETTINGS!$B$6*O12)</f>
        <v/>
      </c>
      <c r="R12" s="24" t="str">
        <f aca="false">IF(K12="","",IFERROR(Q12/(P12*IF(ISNUMBER(SEARCH("JPY",E12)),9.09,IF(ISNUMBER(SEARCH("XAU",E12)),1,IF(OR(ISNUMBER(SEARCH("30",E12)),ISNUMBER(SEARCH("500",E12)),ISNUMBER(SEARCH("100",E12))),1,10)))),0))</f>
        <v/>
      </c>
      <c r="S12" s="10"/>
      <c r="T12" s="28"/>
      <c r="U12" s="27" t="str">
        <f aca="false">IF(OR(S12="",T12=0),"",IFERROR((S12-K12)*IF(F12="Sell",-1,1)*R12*T12*IF(ISNUMBER(SEARCH("JPY",E12)),1000,IF(ISNUMBER(SEARCH("XAU",E12)),100,IF(OR(ISNUMBER(SEARCH("30",E12)),ISNUMBER(SEARCH("500",E12)),ISNUMBER(SEARCH("100",E12))),100,100000))),0))</f>
        <v/>
      </c>
      <c r="V12" s="10"/>
      <c r="W12" s="28"/>
      <c r="X12" s="27" t="str">
        <f aca="false">IF(OR(V12="",W12=0),"",IFERROR((V12-K12)*IF(F12="Sell",-1,1)*R12*W12*IF(ISNUMBER(SEARCH("JPY",E12)),1000,IF(ISNUMBER(SEARCH("XAU",E12)),100,IF(OR(ISNUMBER(SEARCH("30",E12)),ISNUMBER(SEARCH("500",E12)),ISNUMBER(SEARCH("100",E12))),100,100000))),0))</f>
        <v/>
      </c>
      <c r="Y12" s="10"/>
      <c r="Z12" s="28"/>
      <c r="AA12" s="27" t="str">
        <f aca="false">IF(OR(Y12="",Z12=0),"",IFERROR((Y12-K12)*IF(F12="Sell",-1,1)*R12*Z12*IF(ISNUMBER(SEARCH("JPY",E12)),1000,IF(ISNUMBER(SEARCH("XAU",E12)),100,IF(OR(ISNUMBER(SEARCH("30",E12)),ISNUMBER(SEARCH("500",E12)),ISNUMBER(SEARCH("100",E12))),100,100000))),0))</f>
        <v/>
      </c>
      <c r="AB12" s="10"/>
      <c r="AC12" s="29" t="str">
        <f aca="false">IF(K12="","",1-IFERROR(T12,0)-IFERROR(W12,0)-IFERROR(Z12,0))</f>
        <v/>
      </c>
      <c r="AD12" s="30" t="str">
        <f aca="false">IF(AB12="","",IFERROR((IFERROR(S12*T12,0)+IFERROR(V12*W12,0)+IFERROR(Y12*Z12,0)+AB12*AC12)/(IFERROR(T12,0)+IFERROR(W12,0)+IFERROR(Z12,0)+AC12),AB12))</f>
        <v/>
      </c>
      <c r="AE12" s="27" t="str">
        <f aca="false">IF(AB12="","",IF(U12="",0,U12)+IF(X12="",0,X12)+IF(AA12="",0,AA12)+IFERROR((AB12-K12)*IF(F12="Sell",-1,1)*R12*AC12*IF(ISNUMBER(SEARCH("JPY",E12)),1000,IF(ISNUMBER(SEARCH("XAU",E12)),100,IF(OR(ISNUMBER(SEARCH("30",E12)),ISNUMBER(SEARCH("500",E12)),ISNUMBER(SEARCH("100",E12))),100,100000))),0))</f>
        <v/>
      </c>
      <c r="AF12" s="31" t="str">
        <f aca="false">IF(OR(K12="",M12="",L12=""),"",IFERROR(ABS(M12-K12)/ABS(K12-L12),0))</f>
        <v/>
      </c>
      <c r="AG12" s="31" t="str">
        <f aca="false">IF(OR(AE12="",AE12=0,Q12=0,Q12=""),"",IFERROR(AE12/Q12,0))</f>
        <v/>
      </c>
      <c r="AH12" s="32" t="str">
        <f aca="false">IF(AB12="","Open",IF(AG12="","Open",IF(AG12&gt;0.1,"Win",IF(AG12&lt;-0.1,"Loss","Breakeven"))))</f>
        <v>Open</v>
      </c>
      <c r="AI12" s="33" t="str">
        <f aca="false">IF(OR(B12="",D12=""),"",D12-B12)</f>
        <v/>
      </c>
      <c r="AJ12" s="24" t="str">
        <f aca="false">IF(AD12="","",IFERROR((AD12-K12)*IF(F12="Sell",-1,1)/IF(ISNUMBER(SEARCH("JPY",E12)),0.01,IF(ISNUMBER(SEARCH("XAU",E12)),0.01,IF(OR(ISNUMBER(SEARCH("30",E12)),ISNUMBER(SEARCH("500",E12)),ISNUMBER(SEARCH("100",E12))),1,0.0001))),0))</f>
        <v/>
      </c>
      <c r="AK12" s="10"/>
      <c r="AL12" s="10"/>
      <c r="AM12" s="10"/>
      <c r="AN12" s="10"/>
      <c r="AO12" s="27" t="str">
        <f aca="false">IF(AE12="","",IFERROR(IF(AO11="",SETTINGS!$B$6,AO11),SETTINGS!$B$6)+IF(AE12="",0,AE12))</f>
        <v/>
      </c>
      <c r="AP12" s="2"/>
    </row>
    <row r="13" customFormat="false" ht="15" hidden="false" customHeight="false" outlineLevel="0" collapsed="false">
      <c r="A13" s="24" t="str">
        <f aca="false">IF(B13="","",ROW()-3)</f>
        <v/>
      </c>
      <c r="B13" s="34"/>
      <c r="C13" s="12"/>
      <c r="D13" s="34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35"/>
      <c r="P13" s="24" t="str">
        <f aca="false">IF(K13="","",IFERROR(ABS(K13-L13)/IF(ISNUMBER(SEARCH("JPY",E13)),0.01,IF(ISNUMBER(SEARCH("XAU",E13)),0.01,IF(OR(ISNUMBER(SEARCH("30",E13)),ISNUMBER(SEARCH("500",E13)),ISNUMBER(SEARCH("100",E13))),1,0.0001))),0))</f>
        <v/>
      </c>
      <c r="Q13" s="27" t="str">
        <f aca="false">IF(K13="","",SETTINGS!$B$6*O13)</f>
        <v/>
      </c>
      <c r="R13" s="24" t="str">
        <f aca="false">IF(K13="","",IFERROR(Q13/(P13*IF(ISNUMBER(SEARCH("JPY",E13)),9.09,IF(ISNUMBER(SEARCH("XAU",E13)),1,IF(OR(ISNUMBER(SEARCH("30",E13)),ISNUMBER(SEARCH("500",E13)),ISNUMBER(SEARCH("100",E13))),1,10)))),0))</f>
        <v/>
      </c>
      <c r="S13" s="12"/>
      <c r="T13" s="36"/>
      <c r="U13" s="27" t="str">
        <f aca="false">IF(OR(S13="",T13=0),"",IFERROR((S13-K13)*IF(F13="Sell",-1,1)*R13*T13*IF(ISNUMBER(SEARCH("JPY",E13)),1000,IF(ISNUMBER(SEARCH("XAU",E13)),100,IF(OR(ISNUMBER(SEARCH("30",E13)),ISNUMBER(SEARCH("500",E13)),ISNUMBER(SEARCH("100",E13))),100,100000))),0))</f>
        <v/>
      </c>
      <c r="V13" s="12"/>
      <c r="W13" s="36"/>
      <c r="X13" s="27" t="str">
        <f aca="false">IF(OR(V13="",W13=0),"",IFERROR((V13-K13)*IF(F13="Sell",-1,1)*R13*W13*IF(ISNUMBER(SEARCH("JPY",E13)),1000,IF(ISNUMBER(SEARCH("XAU",E13)),100,IF(OR(ISNUMBER(SEARCH("30",E13)),ISNUMBER(SEARCH("500",E13)),ISNUMBER(SEARCH("100",E13))),100,100000))),0))</f>
        <v/>
      </c>
      <c r="Y13" s="12"/>
      <c r="Z13" s="36"/>
      <c r="AA13" s="27" t="str">
        <f aca="false">IF(OR(Y13="",Z13=0),"",IFERROR((Y13-K13)*IF(F13="Sell",-1,1)*R13*Z13*IF(ISNUMBER(SEARCH("JPY",E13)),1000,IF(ISNUMBER(SEARCH("XAU",E13)),100,IF(OR(ISNUMBER(SEARCH("30",E13)),ISNUMBER(SEARCH("500",E13)),ISNUMBER(SEARCH("100",E13))),100,100000))),0))</f>
        <v/>
      </c>
      <c r="AB13" s="12"/>
      <c r="AC13" s="29" t="str">
        <f aca="false">IF(K13="","",1-IFERROR(T13,0)-IFERROR(W13,0)-IFERROR(Z13,0))</f>
        <v/>
      </c>
      <c r="AD13" s="30" t="str">
        <f aca="false">IF(AB13="","",IFERROR((IFERROR(S13*T13,0)+IFERROR(V13*W13,0)+IFERROR(Y13*Z13,0)+AB13*AC13)/(IFERROR(T13,0)+IFERROR(W13,0)+IFERROR(Z13,0)+AC13),AB13))</f>
        <v/>
      </c>
      <c r="AE13" s="27" t="str">
        <f aca="false">IF(AB13="","",IF(U13="",0,U13)+IF(X13="",0,X13)+IF(AA13="",0,AA13)+IFERROR((AB13-K13)*IF(F13="Sell",-1,1)*R13*AC13*IF(ISNUMBER(SEARCH("JPY",E13)),1000,IF(ISNUMBER(SEARCH("XAU",E13)),100,IF(OR(ISNUMBER(SEARCH("30",E13)),ISNUMBER(SEARCH("500",E13)),ISNUMBER(SEARCH("100",E13))),100,100000))),0))</f>
        <v/>
      </c>
      <c r="AF13" s="31" t="str">
        <f aca="false">IF(OR(K13="",M13="",L13=""),"",IFERROR(ABS(M13-K13)/ABS(K13-L13),0))</f>
        <v/>
      </c>
      <c r="AG13" s="31" t="str">
        <f aca="false">IF(OR(AE13="",AE13=0,Q13=0,Q13=""),"",IFERROR(AE13/Q13,0))</f>
        <v/>
      </c>
      <c r="AH13" s="32" t="str">
        <f aca="false">IF(AB13="","Open",IF(AG13="","Open",IF(AG13&gt;0.1,"Win",IF(AG13&lt;-0.1,"Loss","Breakeven"))))</f>
        <v>Open</v>
      </c>
      <c r="AI13" s="33" t="str">
        <f aca="false">IF(OR(B13="",D13=""),"",D13-B13)</f>
        <v/>
      </c>
      <c r="AJ13" s="24" t="str">
        <f aca="false">IF(AD13="","",IFERROR((AD13-K13)*IF(F13="Sell",-1,1)/IF(ISNUMBER(SEARCH("JPY",E13)),0.01,IF(ISNUMBER(SEARCH("XAU",E13)),0.01,IF(OR(ISNUMBER(SEARCH("30",E13)),ISNUMBER(SEARCH("500",E13)),ISNUMBER(SEARCH("100",E13))),1,0.0001))),0))</f>
        <v/>
      </c>
      <c r="AK13" s="12"/>
      <c r="AL13" s="12"/>
      <c r="AM13" s="12"/>
      <c r="AN13" s="12"/>
      <c r="AO13" s="27" t="str">
        <f aca="false">IF(AE13="","",IFERROR(IF(AO12="",SETTINGS!$B$6,AO12),SETTINGS!$B$6)+IF(AE13="",0,AE13))</f>
        <v/>
      </c>
      <c r="AP13" s="2"/>
    </row>
    <row r="14" customFormat="false" ht="15" hidden="false" customHeight="false" outlineLevel="0" collapsed="false">
      <c r="A14" s="24" t="str">
        <f aca="false">IF(B14="","",ROW()-3)</f>
        <v/>
      </c>
      <c r="B14" s="25"/>
      <c r="C14" s="10"/>
      <c r="D14" s="25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6"/>
      <c r="P14" s="24" t="str">
        <f aca="false">IF(K14="","",IFERROR(ABS(K14-L14)/IF(ISNUMBER(SEARCH("JPY",E14)),0.01,IF(ISNUMBER(SEARCH("XAU",E14)),0.01,IF(OR(ISNUMBER(SEARCH("30",E14)),ISNUMBER(SEARCH("500",E14)),ISNUMBER(SEARCH("100",E14))),1,0.0001))),0))</f>
        <v/>
      </c>
      <c r="Q14" s="27" t="str">
        <f aca="false">IF(K14="","",SETTINGS!$B$6*O14)</f>
        <v/>
      </c>
      <c r="R14" s="24" t="str">
        <f aca="false">IF(K14="","",IFERROR(Q14/(P14*IF(ISNUMBER(SEARCH("JPY",E14)),9.09,IF(ISNUMBER(SEARCH("XAU",E14)),1,IF(OR(ISNUMBER(SEARCH("30",E14)),ISNUMBER(SEARCH("500",E14)),ISNUMBER(SEARCH("100",E14))),1,10)))),0))</f>
        <v/>
      </c>
      <c r="S14" s="10"/>
      <c r="T14" s="28"/>
      <c r="U14" s="27" t="str">
        <f aca="false">IF(OR(S14="",T14=0),"",IFERROR((S14-K14)*IF(F14="Sell",-1,1)*R14*T14*IF(ISNUMBER(SEARCH("JPY",E14)),1000,IF(ISNUMBER(SEARCH("XAU",E14)),100,IF(OR(ISNUMBER(SEARCH("30",E14)),ISNUMBER(SEARCH("500",E14)),ISNUMBER(SEARCH("100",E14))),100,100000))),0))</f>
        <v/>
      </c>
      <c r="V14" s="10"/>
      <c r="W14" s="28"/>
      <c r="X14" s="27" t="str">
        <f aca="false">IF(OR(V14="",W14=0),"",IFERROR((V14-K14)*IF(F14="Sell",-1,1)*R14*W14*IF(ISNUMBER(SEARCH("JPY",E14)),1000,IF(ISNUMBER(SEARCH("XAU",E14)),100,IF(OR(ISNUMBER(SEARCH("30",E14)),ISNUMBER(SEARCH("500",E14)),ISNUMBER(SEARCH("100",E14))),100,100000))),0))</f>
        <v/>
      </c>
      <c r="Y14" s="10"/>
      <c r="Z14" s="28"/>
      <c r="AA14" s="27" t="str">
        <f aca="false">IF(OR(Y14="",Z14=0),"",IFERROR((Y14-K14)*IF(F14="Sell",-1,1)*R14*Z14*IF(ISNUMBER(SEARCH("JPY",E14)),1000,IF(ISNUMBER(SEARCH("XAU",E14)),100,IF(OR(ISNUMBER(SEARCH("30",E14)),ISNUMBER(SEARCH("500",E14)),ISNUMBER(SEARCH("100",E14))),100,100000))),0))</f>
        <v/>
      </c>
      <c r="AB14" s="10"/>
      <c r="AC14" s="29" t="str">
        <f aca="false">IF(K14="","",1-IFERROR(T14,0)-IFERROR(W14,0)-IFERROR(Z14,0))</f>
        <v/>
      </c>
      <c r="AD14" s="30" t="str">
        <f aca="false">IF(AB14="","",IFERROR((IFERROR(S14*T14,0)+IFERROR(V14*W14,0)+IFERROR(Y14*Z14,0)+AB14*AC14)/(IFERROR(T14,0)+IFERROR(W14,0)+IFERROR(Z14,0)+AC14),AB14))</f>
        <v/>
      </c>
      <c r="AE14" s="27" t="str">
        <f aca="false">IF(AB14="","",IF(U14="",0,U14)+IF(X14="",0,X14)+IF(AA14="",0,AA14)+IFERROR((AB14-K14)*IF(F14="Sell",-1,1)*R14*AC14*IF(ISNUMBER(SEARCH("JPY",E14)),1000,IF(ISNUMBER(SEARCH("XAU",E14)),100,IF(OR(ISNUMBER(SEARCH("30",E14)),ISNUMBER(SEARCH("500",E14)),ISNUMBER(SEARCH("100",E14))),100,100000))),0))</f>
        <v/>
      </c>
      <c r="AF14" s="31" t="str">
        <f aca="false">IF(OR(K14="",M14="",L14=""),"",IFERROR(ABS(M14-K14)/ABS(K14-L14),0))</f>
        <v/>
      </c>
      <c r="AG14" s="31" t="str">
        <f aca="false">IF(OR(AE14="",AE14=0,Q14=0,Q14=""),"",IFERROR(AE14/Q14,0))</f>
        <v/>
      </c>
      <c r="AH14" s="32" t="str">
        <f aca="false">IF(AB14="","Open",IF(AG14="","Open",IF(AG14&gt;0.1,"Win",IF(AG14&lt;-0.1,"Loss","Breakeven"))))</f>
        <v>Open</v>
      </c>
      <c r="AI14" s="33" t="str">
        <f aca="false">IF(OR(B14="",D14=""),"",D14-B14)</f>
        <v/>
      </c>
      <c r="AJ14" s="24" t="str">
        <f aca="false">IF(AD14="","",IFERROR((AD14-K14)*IF(F14="Sell",-1,1)/IF(ISNUMBER(SEARCH("JPY",E14)),0.01,IF(ISNUMBER(SEARCH("XAU",E14)),0.01,IF(OR(ISNUMBER(SEARCH("30",E14)),ISNUMBER(SEARCH("500",E14)),ISNUMBER(SEARCH("100",E14))),1,0.0001))),0))</f>
        <v/>
      </c>
      <c r="AK14" s="10"/>
      <c r="AL14" s="10"/>
      <c r="AM14" s="10"/>
      <c r="AN14" s="10"/>
      <c r="AO14" s="27" t="str">
        <f aca="false">IF(AE14="","",IFERROR(IF(AO13="",SETTINGS!$B$6,AO13),SETTINGS!$B$6)+IF(AE14="",0,AE14))</f>
        <v/>
      </c>
      <c r="AP14" s="2"/>
    </row>
    <row r="15" customFormat="false" ht="15" hidden="false" customHeight="false" outlineLevel="0" collapsed="false">
      <c r="A15" s="24" t="str">
        <f aca="false">IF(B15="","",ROW()-3)</f>
        <v/>
      </c>
      <c r="B15" s="34"/>
      <c r="C15" s="12"/>
      <c r="D15" s="3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35"/>
      <c r="P15" s="24" t="str">
        <f aca="false">IF(K15="","",IFERROR(ABS(K15-L15)/IF(ISNUMBER(SEARCH("JPY",E15)),0.01,IF(ISNUMBER(SEARCH("XAU",E15)),0.01,IF(OR(ISNUMBER(SEARCH("30",E15)),ISNUMBER(SEARCH("500",E15)),ISNUMBER(SEARCH("100",E15))),1,0.0001))),0))</f>
        <v/>
      </c>
      <c r="Q15" s="27" t="str">
        <f aca="false">IF(K15="","",SETTINGS!$B$6*O15)</f>
        <v/>
      </c>
      <c r="R15" s="24" t="str">
        <f aca="false">IF(K15="","",IFERROR(Q15/(P15*IF(ISNUMBER(SEARCH("JPY",E15)),9.09,IF(ISNUMBER(SEARCH("XAU",E15)),1,IF(OR(ISNUMBER(SEARCH("30",E15)),ISNUMBER(SEARCH("500",E15)),ISNUMBER(SEARCH("100",E15))),1,10)))),0))</f>
        <v/>
      </c>
      <c r="S15" s="12"/>
      <c r="T15" s="36"/>
      <c r="U15" s="27" t="str">
        <f aca="false">IF(OR(S15="",T15=0),"",IFERROR((S15-K15)*IF(F15="Sell",-1,1)*R15*T15*IF(ISNUMBER(SEARCH("JPY",E15)),1000,IF(ISNUMBER(SEARCH("XAU",E15)),100,IF(OR(ISNUMBER(SEARCH("30",E15)),ISNUMBER(SEARCH("500",E15)),ISNUMBER(SEARCH("100",E15))),100,100000))),0))</f>
        <v/>
      </c>
      <c r="V15" s="12"/>
      <c r="W15" s="36"/>
      <c r="X15" s="27" t="str">
        <f aca="false">IF(OR(V15="",W15=0),"",IFERROR((V15-K15)*IF(F15="Sell",-1,1)*R15*W15*IF(ISNUMBER(SEARCH("JPY",E15)),1000,IF(ISNUMBER(SEARCH("XAU",E15)),100,IF(OR(ISNUMBER(SEARCH("30",E15)),ISNUMBER(SEARCH("500",E15)),ISNUMBER(SEARCH("100",E15))),100,100000))),0))</f>
        <v/>
      </c>
      <c r="Y15" s="12"/>
      <c r="Z15" s="36"/>
      <c r="AA15" s="27" t="str">
        <f aca="false">IF(OR(Y15="",Z15=0),"",IFERROR((Y15-K15)*IF(F15="Sell",-1,1)*R15*Z15*IF(ISNUMBER(SEARCH("JPY",E15)),1000,IF(ISNUMBER(SEARCH("XAU",E15)),100,IF(OR(ISNUMBER(SEARCH("30",E15)),ISNUMBER(SEARCH("500",E15)),ISNUMBER(SEARCH("100",E15))),100,100000))),0))</f>
        <v/>
      </c>
      <c r="AB15" s="12"/>
      <c r="AC15" s="29" t="str">
        <f aca="false">IF(K15="","",1-IFERROR(T15,0)-IFERROR(W15,0)-IFERROR(Z15,0))</f>
        <v/>
      </c>
      <c r="AD15" s="30" t="str">
        <f aca="false">IF(AB15="","",IFERROR((IFERROR(S15*T15,0)+IFERROR(V15*W15,0)+IFERROR(Y15*Z15,0)+AB15*AC15)/(IFERROR(T15,0)+IFERROR(W15,0)+IFERROR(Z15,0)+AC15),AB15))</f>
        <v/>
      </c>
      <c r="AE15" s="27" t="str">
        <f aca="false">IF(AB15="","",IF(U15="",0,U15)+IF(X15="",0,X15)+IF(AA15="",0,AA15)+IFERROR((AB15-K15)*IF(F15="Sell",-1,1)*R15*AC15*IF(ISNUMBER(SEARCH("JPY",E15)),1000,IF(ISNUMBER(SEARCH("XAU",E15)),100,IF(OR(ISNUMBER(SEARCH("30",E15)),ISNUMBER(SEARCH("500",E15)),ISNUMBER(SEARCH("100",E15))),100,100000))),0))</f>
        <v/>
      </c>
      <c r="AF15" s="31" t="str">
        <f aca="false">IF(OR(K15="",M15="",L15=""),"",IFERROR(ABS(M15-K15)/ABS(K15-L15),0))</f>
        <v/>
      </c>
      <c r="AG15" s="31" t="str">
        <f aca="false">IF(OR(AE15="",AE15=0,Q15=0,Q15=""),"",IFERROR(AE15/Q15,0))</f>
        <v/>
      </c>
      <c r="AH15" s="32" t="str">
        <f aca="false">IF(AB15="","Open",IF(AG15="","Open",IF(AG15&gt;0.1,"Win",IF(AG15&lt;-0.1,"Loss","Breakeven"))))</f>
        <v>Open</v>
      </c>
      <c r="AI15" s="33" t="str">
        <f aca="false">IF(OR(B15="",D15=""),"",D15-B15)</f>
        <v/>
      </c>
      <c r="AJ15" s="24" t="str">
        <f aca="false">IF(AD15="","",IFERROR((AD15-K15)*IF(F15="Sell",-1,1)/IF(ISNUMBER(SEARCH("JPY",E15)),0.01,IF(ISNUMBER(SEARCH("XAU",E15)),0.01,IF(OR(ISNUMBER(SEARCH("30",E15)),ISNUMBER(SEARCH("500",E15)),ISNUMBER(SEARCH("100",E15))),1,0.0001))),0))</f>
        <v/>
      </c>
      <c r="AK15" s="12"/>
      <c r="AL15" s="12"/>
      <c r="AM15" s="12"/>
      <c r="AN15" s="12"/>
      <c r="AO15" s="27" t="str">
        <f aca="false">IF(AE15="","",IFERROR(IF(AO14="",SETTINGS!$B$6,AO14),SETTINGS!$B$6)+IF(AE15="",0,AE15))</f>
        <v/>
      </c>
      <c r="AP15" s="2"/>
    </row>
    <row r="16" customFormat="false" ht="15" hidden="false" customHeight="false" outlineLevel="0" collapsed="false">
      <c r="A16" s="24" t="str">
        <f aca="false">IF(B16="","",ROW()-3)</f>
        <v/>
      </c>
      <c r="B16" s="25"/>
      <c r="C16" s="10"/>
      <c r="D16" s="2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6"/>
      <c r="P16" s="24" t="str">
        <f aca="false">IF(K16="","",IFERROR(ABS(K16-L16)/IF(ISNUMBER(SEARCH("JPY",E16)),0.01,IF(ISNUMBER(SEARCH("XAU",E16)),0.01,IF(OR(ISNUMBER(SEARCH("30",E16)),ISNUMBER(SEARCH("500",E16)),ISNUMBER(SEARCH("100",E16))),1,0.0001))),0))</f>
        <v/>
      </c>
      <c r="Q16" s="27" t="str">
        <f aca="false">IF(K16="","",SETTINGS!$B$6*O16)</f>
        <v/>
      </c>
      <c r="R16" s="24" t="str">
        <f aca="false">IF(K16="","",IFERROR(Q16/(P16*IF(ISNUMBER(SEARCH("JPY",E16)),9.09,IF(ISNUMBER(SEARCH("XAU",E16)),1,IF(OR(ISNUMBER(SEARCH("30",E16)),ISNUMBER(SEARCH("500",E16)),ISNUMBER(SEARCH("100",E16))),1,10)))),0))</f>
        <v/>
      </c>
      <c r="S16" s="10"/>
      <c r="T16" s="28"/>
      <c r="U16" s="27" t="str">
        <f aca="false">IF(OR(S16="",T16=0),"",IFERROR((S16-K16)*IF(F16="Sell",-1,1)*R16*T16*IF(ISNUMBER(SEARCH("JPY",E16)),1000,IF(ISNUMBER(SEARCH("XAU",E16)),100,IF(OR(ISNUMBER(SEARCH("30",E16)),ISNUMBER(SEARCH("500",E16)),ISNUMBER(SEARCH("100",E16))),100,100000))),0))</f>
        <v/>
      </c>
      <c r="V16" s="10"/>
      <c r="W16" s="28"/>
      <c r="X16" s="27" t="str">
        <f aca="false">IF(OR(V16="",W16=0),"",IFERROR((V16-K16)*IF(F16="Sell",-1,1)*R16*W16*IF(ISNUMBER(SEARCH("JPY",E16)),1000,IF(ISNUMBER(SEARCH("XAU",E16)),100,IF(OR(ISNUMBER(SEARCH("30",E16)),ISNUMBER(SEARCH("500",E16)),ISNUMBER(SEARCH("100",E16))),100,100000))),0))</f>
        <v/>
      </c>
      <c r="Y16" s="10"/>
      <c r="Z16" s="28"/>
      <c r="AA16" s="27" t="str">
        <f aca="false">IF(OR(Y16="",Z16=0),"",IFERROR((Y16-K16)*IF(F16="Sell",-1,1)*R16*Z16*IF(ISNUMBER(SEARCH("JPY",E16)),1000,IF(ISNUMBER(SEARCH("XAU",E16)),100,IF(OR(ISNUMBER(SEARCH("30",E16)),ISNUMBER(SEARCH("500",E16)),ISNUMBER(SEARCH("100",E16))),100,100000))),0))</f>
        <v/>
      </c>
      <c r="AB16" s="10"/>
      <c r="AC16" s="29" t="str">
        <f aca="false">IF(K16="","",1-IFERROR(T16,0)-IFERROR(W16,0)-IFERROR(Z16,0))</f>
        <v/>
      </c>
      <c r="AD16" s="30" t="str">
        <f aca="false">IF(AB16="","",IFERROR((IFERROR(S16*T16,0)+IFERROR(V16*W16,0)+IFERROR(Y16*Z16,0)+AB16*AC16)/(IFERROR(T16,0)+IFERROR(W16,0)+IFERROR(Z16,0)+AC16),AB16))</f>
        <v/>
      </c>
      <c r="AE16" s="27" t="str">
        <f aca="false">IF(AB16="","",IF(U16="",0,U16)+IF(X16="",0,X16)+IF(AA16="",0,AA16)+IFERROR((AB16-K16)*IF(F16="Sell",-1,1)*R16*AC16*IF(ISNUMBER(SEARCH("JPY",E16)),1000,IF(ISNUMBER(SEARCH("XAU",E16)),100,IF(OR(ISNUMBER(SEARCH("30",E16)),ISNUMBER(SEARCH("500",E16)),ISNUMBER(SEARCH("100",E16))),100,100000))),0))</f>
        <v/>
      </c>
      <c r="AF16" s="31" t="str">
        <f aca="false">IF(OR(K16="",M16="",L16=""),"",IFERROR(ABS(M16-K16)/ABS(K16-L16),0))</f>
        <v/>
      </c>
      <c r="AG16" s="31" t="str">
        <f aca="false">IF(OR(AE16="",AE16=0,Q16=0,Q16=""),"",IFERROR(AE16/Q16,0))</f>
        <v/>
      </c>
      <c r="AH16" s="32" t="str">
        <f aca="false">IF(AB16="","Open",IF(AG16="","Open",IF(AG16&gt;0.1,"Win",IF(AG16&lt;-0.1,"Loss","Breakeven"))))</f>
        <v>Open</v>
      </c>
      <c r="AI16" s="33" t="str">
        <f aca="false">IF(OR(B16="",D16=""),"",D16-B16)</f>
        <v/>
      </c>
      <c r="AJ16" s="24" t="str">
        <f aca="false">IF(AD16="","",IFERROR((AD16-K16)*IF(F16="Sell",-1,1)/IF(ISNUMBER(SEARCH("JPY",E16)),0.01,IF(ISNUMBER(SEARCH("XAU",E16)),0.01,IF(OR(ISNUMBER(SEARCH("30",E16)),ISNUMBER(SEARCH("500",E16)),ISNUMBER(SEARCH("100",E16))),1,0.0001))),0))</f>
        <v/>
      </c>
      <c r="AK16" s="10"/>
      <c r="AL16" s="10"/>
      <c r="AM16" s="10"/>
      <c r="AN16" s="10"/>
      <c r="AO16" s="27" t="str">
        <f aca="false">IF(AE16="","",IFERROR(IF(AO15="",SETTINGS!$B$6,AO15),SETTINGS!$B$6)+IF(AE16="",0,AE16))</f>
        <v/>
      </c>
      <c r="AP16" s="2"/>
    </row>
    <row r="17" customFormat="false" ht="15" hidden="false" customHeight="false" outlineLevel="0" collapsed="false">
      <c r="A17" s="24" t="str">
        <f aca="false">IF(B17="","",ROW()-3)</f>
        <v/>
      </c>
      <c r="B17" s="34"/>
      <c r="C17" s="12"/>
      <c r="D17" s="3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35"/>
      <c r="P17" s="24" t="str">
        <f aca="false">IF(K17="","",IFERROR(ABS(K17-L17)/IF(ISNUMBER(SEARCH("JPY",E17)),0.01,IF(ISNUMBER(SEARCH("XAU",E17)),0.01,IF(OR(ISNUMBER(SEARCH("30",E17)),ISNUMBER(SEARCH("500",E17)),ISNUMBER(SEARCH("100",E17))),1,0.0001))),0))</f>
        <v/>
      </c>
      <c r="Q17" s="27" t="str">
        <f aca="false">IF(K17="","",SETTINGS!$B$6*O17)</f>
        <v/>
      </c>
      <c r="R17" s="24" t="str">
        <f aca="false">IF(K17="","",IFERROR(Q17/(P17*IF(ISNUMBER(SEARCH("JPY",E17)),9.09,IF(ISNUMBER(SEARCH("XAU",E17)),1,IF(OR(ISNUMBER(SEARCH("30",E17)),ISNUMBER(SEARCH("500",E17)),ISNUMBER(SEARCH("100",E17))),1,10)))),0))</f>
        <v/>
      </c>
      <c r="S17" s="12"/>
      <c r="T17" s="36"/>
      <c r="U17" s="27" t="str">
        <f aca="false">IF(OR(S17="",T17=0),"",IFERROR((S17-K17)*IF(F17="Sell",-1,1)*R17*T17*IF(ISNUMBER(SEARCH("JPY",E17)),1000,IF(ISNUMBER(SEARCH("XAU",E17)),100,IF(OR(ISNUMBER(SEARCH("30",E17)),ISNUMBER(SEARCH("500",E17)),ISNUMBER(SEARCH("100",E17))),100,100000))),0))</f>
        <v/>
      </c>
      <c r="V17" s="12"/>
      <c r="W17" s="36"/>
      <c r="X17" s="27" t="str">
        <f aca="false">IF(OR(V17="",W17=0),"",IFERROR((V17-K17)*IF(F17="Sell",-1,1)*R17*W17*IF(ISNUMBER(SEARCH("JPY",E17)),1000,IF(ISNUMBER(SEARCH("XAU",E17)),100,IF(OR(ISNUMBER(SEARCH("30",E17)),ISNUMBER(SEARCH("500",E17)),ISNUMBER(SEARCH("100",E17))),100,100000))),0))</f>
        <v/>
      </c>
      <c r="Y17" s="12"/>
      <c r="Z17" s="36"/>
      <c r="AA17" s="27" t="str">
        <f aca="false">IF(OR(Y17="",Z17=0),"",IFERROR((Y17-K17)*IF(F17="Sell",-1,1)*R17*Z17*IF(ISNUMBER(SEARCH("JPY",E17)),1000,IF(ISNUMBER(SEARCH("XAU",E17)),100,IF(OR(ISNUMBER(SEARCH("30",E17)),ISNUMBER(SEARCH("500",E17)),ISNUMBER(SEARCH("100",E17))),100,100000))),0))</f>
        <v/>
      </c>
      <c r="AB17" s="12"/>
      <c r="AC17" s="29" t="str">
        <f aca="false">IF(K17="","",1-IFERROR(T17,0)-IFERROR(W17,0)-IFERROR(Z17,0))</f>
        <v/>
      </c>
      <c r="AD17" s="30" t="str">
        <f aca="false">IF(AB17="","",IFERROR((IFERROR(S17*T17,0)+IFERROR(V17*W17,0)+IFERROR(Y17*Z17,0)+AB17*AC17)/(IFERROR(T17,0)+IFERROR(W17,0)+IFERROR(Z17,0)+AC17),AB17))</f>
        <v/>
      </c>
      <c r="AE17" s="27" t="str">
        <f aca="false">IF(AB17="","",IF(U17="",0,U17)+IF(X17="",0,X17)+IF(AA17="",0,AA17)+IFERROR((AB17-K17)*IF(F17="Sell",-1,1)*R17*AC17*IF(ISNUMBER(SEARCH("JPY",E17)),1000,IF(ISNUMBER(SEARCH("XAU",E17)),100,IF(OR(ISNUMBER(SEARCH("30",E17)),ISNUMBER(SEARCH("500",E17)),ISNUMBER(SEARCH("100",E17))),100,100000))),0))</f>
        <v/>
      </c>
      <c r="AF17" s="31" t="str">
        <f aca="false">IF(OR(K17="",M17="",L17=""),"",IFERROR(ABS(M17-K17)/ABS(K17-L17),0))</f>
        <v/>
      </c>
      <c r="AG17" s="31" t="str">
        <f aca="false">IF(OR(AE17="",AE17=0,Q17=0,Q17=""),"",IFERROR(AE17/Q17,0))</f>
        <v/>
      </c>
      <c r="AH17" s="32" t="str">
        <f aca="false">IF(AB17="","Open",IF(AG17="","Open",IF(AG17&gt;0.1,"Win",IF(AG17&lt;-0.1,"Loss","Breakeven"))))</f>
        <v>Open</v>
      </c>
      <c r="AI17" s="33" t="str">
        <f aca="false">IF(OR(B17="",D17=""),"",D17-B17)</f>
        <v/>
      </c>
      <c r="AJ17" s="24" t="str">
        <f aca="false">IF(AD17="","",IFERROR((AD17-K17)*IF(F17="Sell",-1,1)/IF(ISNUMBER(SEARCH("JPY",E17)),0.01,IF(ISNUMBER(SEARCH("XAU",E17)),0.01,IF(OR(ISNUMBER(SEARCH("30",E17)),ISNUMBER(SEARCH("500",E17)),ISNUMBER(SEARCH("100",E17))),1,0.0001))),0))</f>
        <v/>
      </c>
      <c r="AK17" s="12"/>
      <c r="AL17" s="12"/>
      <c r="AM17" s="12"/>
      <c r="AN17" s="12"/>
      <c r="AO17" s="27" t="str">
        <f aca="false">IF(AE17="","",IFERROR(IF(AO16="",SETTINGS!$B$6,AO16),SETTINGS!$B$6)+IF(AE17="",0,AE17))</f>
        <v/>
      </c>
      <c r="AP17" s="2"/>
    </row>
    <row r="18" customFormat="false" ht="15" hidden="false" customHeight="false" outlineLevel="0" collapsed="false">
      <c r="A18" s="24" t="str">
        <f aca="false">IF(B18="","",ROW()-3)</f>
        <v/>
      </c>
      <c r="B18" s="25"/>
      <c r="C18" s="10"/>
      <c r="D18" s="2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6"/>
      <c r="P18" s="24" t="str">
        <f aca="false">IF(K18="","",IFERROR(ABS(K18-L18)/IF(ISNUMBER(SEARCH("JPY",E18)),0.01,IF(ISNUMBER(SEARCH("XAU",E18)),0.01,IF(OR(ISNUMBER(SEARCH("30",E18)),ISNUMBER(SEARCH("500",E18)),ISNUMBER(SEARCH("100",E18))),1,0.0001))),0))</f>
        <v/>
      </c>
      <c r="Q18" s="27" t="str">
        <f aca="false">IF(K18="","",SETTINGS!$B$6*O18)</f>
        <v/>
      </c>
      <c r="R18" s="24" t="str">
        <f aca="false">IF(K18="","",IFERROR(Q18/(P18*IF(ISNUMBER(SEARCH("JPY",E18)),9.09,IF(ISNUMBER(SEARCH("XAU",E18)),1,IF(OR(ISNUMBER(SEARCH("30",E18)),ISNUMBER(SEARCH("500",E18)),ISNUMBER(SEARCH("100",E18))),1,10)))),0))</f>
        <v/>
      </c>
      <c r="S18" s="10"/>
      <c r="T18" s="28"/>
      <c r="U18" s="27" t="str">
        <f aca="false">IF(OR(S18="",T18=0),"",IFERROR((S18-K18)*IF(F18="Sell",-1,1)*R18*T18*IF(ISNUMBER(SEARCH("JPY",E18)),1000,IF(ISNUMBER(SEARCH("XAU",E18)),100,IF(OR(ISNUMBER(SEARCH("30",E18)),ISNUMBER(SEARCH("500",E18)),ISNUMBER(SEARCH("100",E18))),100,100000))),0))</f>
        <v/>
      </c>
      <c r="V18" s="10"/>
      <c r="W18" s="28"/>
      <c r="X18" s="27" t="str">
        <f aca="false">IF(OR(V18="",W18=0),"",IFERROR((V18-K18)*IF(F18="Sell",-1,1)*R18*W18*IF(ISNUMBER(SEARCH("JPY",E18)),1000,IF(ISNUMBER(SEARCH("XAU",E18)),100,IF(OR(ISNUMBER(SEARCH("30",E18)),ISNUMBER(SEARCH("500",E18)),ISNUMBER(SEARCH("100",E18))),100,100000))),0))</f>
        <v/>
      </c>
      <c r="Y18" s="10"/>
      <c r="Z18" s="28"/>
      <c r="AA18" s="27" t="str">
        <f aca="false">IF(OR(Y18="",Z18=0),"",IFERROR((Y18-K18)*IF(F18="Sell",-1,1)*R18*Z18*IF(ISNUMBER(SEARCH("JPY",E18)),1000,IF(ISNUMBER(SEARCH("XAU",E18)),100,IF(OR(ISNUMBER(SEARCH("30",E18)),ISNUMBER(SEARCH("500",E18)),ISNUMBER(SEARCH("100",E18))),100,100000))),0))</f>
        <v/>
      </c>
      <c r="AB18" s="10"/>
      <c r="AC18" s="29" t="str">
        <f aca="false">IF(K18="","",1-IFERROR(T18,0)-IFERROR(W18,0)-IFERROR(Z18,0))</f>
        <v/>
      </c>
      <c r="AD18" s="30" t="str">
        <f aca="false">IF(AB18="","",IFERROR((IFERROR(S18*T18,0)+IFERROR(V18*W18,0)+IFERROR(Y18*Z18,0)+AB18*AC18)/(IFERROR(T18,0)+IFERROR(W18,0)+IFERROR(Z18,0)+AC18),AB18))</f>
        <v/>
      </c>
      <c r="AE18" s="27" t="str">
        <f aca="false">IF(AB18="","",IF(U18="",0,U18)+IF(X18="",0,X18)+IF(AA18="",0,AA18)+IFERROR((AB18-K18)*IF(F18="Sell",-1,1)*R18*AC18*IF(ISNUMBER(SEARCH("JPY",E18)),1000,IF(ISNUMBER(SEARCH("XAU",E18)),100,IF(OR(ISNUMBER(SEARCH("30",E18)),ISNUMBER(SEARCH("500",E18)),ISNUMBER(SEARCH("100",E18))),100,100000))),0))</f>
        <v/>
      </c>
      <c r="AF18" s="31" t="str">
        <f aca="false">IF(OR(K18="",M18="",L18=""),"",IFERROR(ABS(M18-K18)/ABS(K18-L18),0))</f>
        <v/>
      </c>
      <c r="AG18" s="31" t="str">
        <f aca="false">IF(OR(AE18="",AE18=0,Q18=0,Q18=""),"",IFERROR(AE18/Q18,0))</f>
        <v/>
      </c>
      <c r="AH18" s="32" t="str">
        <f aca="false">IF(AB18="","Open",IF(AG18="","Open",IF(AG18&gt;0.1,"Win",IF(AG18&lt;-0.1,"Loss","Breakeven"))))</f>
        <v>Open</v>
      </c>
      <c r="AI18" s="33" t="str">
        <f aca="false">IF(OR(B18="",D18=""),"",D18-B18)</f>
        <v/>
      </c>
      <c r="AJ18" s="24" t="str">
        <f aca="false">IF(AD18="","",IFERROR((AD18-K18)*IF(F18="Sell",-1,1)/IF(ISNUMBER(SEARCH("JPY",E18)),0.01,IF(ISNUMBER(SEARCH("XAU",E18)),0.01,IF(OR(ISNUMBER(SEARCH("30",E18)),ISNUMBER(SEARCH("500",E18)),ISNUMBER(SEARCH("100",E18))),1,0.0001))),0))</f>
        <v/>
      </c>
      <c r="AK18" s="10"/>
      <c r="AL18" s="10"/>
      <c r="AM18" s="10"/>
      <c r="AN18" s="10"/>
      <c r="AO18" s="27" t="str">
        <f aca="false">IF(AE18="","",IFERROR(IF(AO17="",SETTINGS!$B$6,AO17),SETTINGS!$B$6)+IF(AE18="",0,AE18))</f>
        <v/>
      </c>
      <c r="AP18" s="2"/>
    </row>
    <row r="19" customFormat="false" ht="15" hidden="false" customHeight="false" outlineLevel="0" collapsed="false">
      <c r="A19" s="24" t="str">
        <f aca="false">IF(B19="","",ROW()-3)</f>
        <v/>
      </c>
      <c r="B19" s="34"/>
      <c r="C19" s="12"/>
      <c r="D19" s="3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35"/>
      <c r="P19" s="24" t="str">
        <f aca="false">IF(K19="","",IFERROR(ABS(K19-L19)/IF(ISNUMBER(SEARCH("JPY",E19)),0.01,IF(ISNUMBER(SEARCH("XAU",E19)),0.01,IF(OR(ISNUMBER(SEARCH("30",E19)),ISNUMBER(SEARCH("500",E19)),ISNUMBER(SEARCH("100",E19))),1,0.0001))),0))</f>
        <v/>
      </c>
      <c r="Q19" s="27" t="str">
        <f aca="false">IF(K19="","",SETTINGS!$B$6*O19)</f>
        <v/>
      </c>
      <c r="R19" s="24" t="str">
        <f aca="false">IF(K19="","",IFERROR(Q19/(P19*IF(ISNUMBER(SEARCH("JPY",E19)),9.09,IF(ISNUMBER(SEARCH("XAU",E19)),1,IF(OR(ISNUMBER(SEARCH("30",E19)),ISNUMBER(SEARCH("500",E19)),ISNUMBER(SEARCH("100",E19))),1,10)))),0))</f>
        <v/>
      </c>
      <c r="S19" s="12"/>
      <c r="T19" s="36"/>
      <c r="U19" s="27" t="str">
        <f aca="false">IF(OR(S19="",T19=0),"",IFERROR((S19-K19)*IF(F19="Sell",-1,1)*R19*T19*IF(ISNUMBER(SEARCH("JPY",E19)),1000,IF(ISNUMBER(SEARCH("XAU",E19)),100,IF(OR(ISNUMBER(SEARCH("30",E19)),ISNUMBER(SEARCH("500",E19)),ISNUMBER(SEARCH("100",E19))),100,100000))),0))</f>
        <v/>
      </c>
      <c r="V19" s="12"/>
      <c r="W19" s="36"/>
      <c r="X19" s="27" t="str">
        <f aca="false">IF(OR(V19="",W19=0),"",IFERROR((V19-K19)*IF(F19="Sell",-1,1)*R19*W19*IF(ISNUMBER(SEARCH("JPY",E19)),1000,IF(ISNUMBER(SEARCH("XAU",E19)),100,IF(OR(ISNUMBER(SEARCH("30",E19)),ISNUMBER(SEARCH("500",E19)),ISNUMBER(SEARCH("100",E19))),100,100000))),0))</f>
        <v/>
      </c>
      <c r="Y19" s="12"/>
      <c r="Z19" s="36"/>
      <c r="AA19" s="27" t="str">
        <f aca="false">IF(OR(Y19="",Z19=0),"",IFERROR((Y19-K19)*IF(F19="Sell",-1,1)*R19*Z19*IF(ISNUMBER(SEARCH("JPY",E19)),1000,IF(ISNUMBER(SEARCH("XAU",E19)),100,IF(OR(ISNUMBER(SEARCH("30",E19)),ISNUMBER(SEARCH("500",E19)),ISNUMBER(SEARCH("100",E19))),100,100000))),0))</f>
        <v/>
      </c>
      <c r="AB19" s="12"/>
      <c r="AC19" s="29" t="str">
        <f aca="false">IF(K19="","",1-IFERROR(T19,0)-IFERROR(W19,0)-IFERROR(Z19,0))</f>
        <v/>
      </c>
      <c r="AD19" s="30" t="str">
        <f aca="false">IF(AB19="","",IFERROR((IFERROR(S19*T19,0)+IFERROR(V19*W19,0)+IFERROR(Y19*Z19,0)+AB19*AC19)/(IFERROR(T19,0)+IFERROR(W19,0)+IFERROR(Z19,0)+AC19),AB19))</f>
        <v/>
      </c>
      <c r="AE19" s="27" t="str">
        <f aca="false">IF(AB19="","",IF(U19="",0,U19)+IF(X19="",0,X19)+IF(AA19="",0,AA19)+IFERROR((AB19-K19)*IF(F19="Sell",-1,1)*R19*AC19*IF(ISNUMBER(SEARCH("JPY",E19)),1000,IF(ISNUMBER(SEARCH("XAU",E19)),100,IF(OR(ISNUMBER(SEARCH("30",E19)),ISNUMBER(SEARCH("500",E19)),ISNUMBER(SEARCH("100",E19))),100,100000))),0))</f>
        <v/>
      </c>
      <c r="AF19" s="31" t="str">
        <f aca="false">IF(OR(K19="",M19="",L19=""),"",IFERROR(ABS(M19-K19)/ABS(K19-L19),0))</f>
        <v/>
      </c>
      <c r="AG19" s="31" t="str">
        <f aca="false">IF(OR(AE19="",AE19=0,Q19=0,Q19=""),"",IFERROR(AE19/Q19,0))</f>
        <v/>
      </c>
      <c r="AH19" s="32" t="str">
        <f aca="false">IF(AB19="","Open",IF(AG19="","Open",IF(AG19&gt;0.1,"Win",IF(AG19&lt;-0.1,"Loss","Breakeven"))))</f>
        <v>Open</v>
      </c>
      <c r="AI19" s="33" t="str">
        <f aca="false">IF(OR(B19="",D19=""),"",D19-B19)</f>
        <v/>
      </c>
      <c r="AJ19" s="24" t="str">
        <f aca="false">IF(AD19="","",IFERROR((AD19-K19)*IF(F19="Sell",-1,1)/IF(ISNUMBER(SEARCH("JPY",E19)),0.01,IF(ISNUMBER(SEARCH("XAU",E19)),0.01,IF(OR(ISNUMBER(SEARCH("30",E19)),ISNUMBER(SEARCH("500",E19)),ISNUMBER(SEARCH("100",E19))),1,0.0001))),0))</f>
        <v/>
      </c>
      <c r="AK19" s="12"/>
      <c r="AL19" s="12"/>
      <c r="AM19" s="12"/>
      <c r="AN19" s="12"/>
      <c r="AO19" s="27" t="str">
        <f aca="false">IF(AE19="","",IFERROR(IF(AO18="",SETTINGS!$B$6,AO18),SETTINGS!$B$6)+IF(AE19="",0,AE19))</f>
        <v/>
      </c>
      <c r="AP19" s="2"/>
    </row>
    <row r="20" customFormat="false" ht="15" hidden="false" customHeight="false" outlineLevel="0" collapsed="false">
      <c r="A20" s="24" t="str">
        <f aca="false">IF(B20="","",ROW()-3)</f>
        <v/>
      </c>
      <c r="B20" s="25"/>
      <c r="C20" s="10"/>
      <c r="D20" s="25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6"/>
      <c r="P20" s="24" t="str">
        <f aca="false">IF(K20="","",IFERROR(ABS(K20-L20)/IF(ISNUMBER(SEARCH("JPY",E20)),0.01,IF(ISNUMBER(SEARCH("XAU",E20)),0.01,IF(OR(ISNUMBER(SEARCH("30",E20)),ISNUMBER(SEARCH("500",E20)),ISNUMBER(SEARCH("100",E20))),1,0.0001))),0))</f>
        <v/>
      </c>
      <c r="Q20" s="27" t="str">
        <f aca="false">IF(K20="","",SETTINGS!$B$6*O20)</f>
        <v/>
      </c>
      <c r="R20" s="24" t="str">
        <f aca="false">IF(K20="","",IFERROR(Q20/(P20*IF(ISNUMBER(SEARCH("JPY",E20)),9.09,IF(ISNUMBER(SEARCH("XAU",E20)),1,IF(OR(ISNUMBER(SEARCH("30",E20)),ISNUMBER(SEARCH("500",E20)),ISNUMBER(SEARCH("100",E20))),1,10)))),0))</f>
        <v/>
      </c>
      <c r="S20" s="10"/>
      <c r="T20" s="28"/>
      <c r="U20" s="27" t="str">
        <f aca="false">IF(OR(S20="",T20=0),"",IFERROR((S20-K20)*IF(F20="Sell",-1,1)*R20*T20*IF(ISNUMBER(SEARCH("JPY",E20)),1000,IF(ISNUMBER(SEARCH("XAU",E20)),100,IF(OR(ISNUMBER(SEARCH("30",E20)),ISNUMBER(SEARCH("500",E20)),ISNUMBER(SEARCH("100",E20))),100,100000))),0))</f>
        <v/>
      </c>
      <c r="V20" s="10"/>
      <c r="W20" s="28"/>
      <c r="X20" s="27" t="str">
        <f aca="false">IF(OR(V20="",W20=0),"",IFERROR((V20-K20)*IF(F20="Sell",-1,1)*R20*W20*IF(ISNUMBER(SEARCH("JPY",E20)),1000,IF(ISNUMBER(SEARCH("XAU",E20)),100,IF(OR(ISNUMBER(SEARCH("30",E20)),ISNUMBER(SEARCH("500",E20)),ISNUMBER(SEARCH("100",E20))),100,100000))),0))</f>
        <v/>
      </c>
      <c r="Y20" s="10"/>
      <c r="Z20" s="28"/>
      <c r="AA20" s="27" t="str">
        <f aca="false">IF(OR(Y20="",Z20=0),"",IFERROR((Y20-K20)*IF(F20="Sell",-1,1)*R20*Z20*IF(ISNUMBER(SEARCH("JPY",E20)),1000,IF(ISNUMBER(SEARCH("XAU",E20)),100,IF(OR(ISNUMBER(SEARCH("30",E20)),ISNUMBER(SEARCH("500",E20)),ISNUMBER(SEARCH("100",E20))),100,100000))),0))</f>
        <v/>
      </c>
      <c r="AB20" s="10"/>
      <c r="AC20" s="29" t="str">
        <f aca="false">IF(K20="","",1-IFERROR(T20,0)-IFERROR(W20,0)-IFERROR(Z20,0))</f>
        <v/>
      </c>
      <c r="AD20" s="30" t="str">
        <f aca="false">IF(AB20="","",IFERROR((IFERROR(S20*T20,0)+IFERROR(V20*W20,0)+IFERROR(Y20*Z20,0)+AB20*AC20)/(IFERROR(T20,0)+IFERROR(W20,0)+IFERROR(Z20,0)+AC20),AB20))</f>
        <v/>
      </c>
      <c r="AE20" s="27" t="str">
        <f aca="false">IF(AB20="","",IF(U20="",0,U20)+IF(X20="",0,X20)+IF(AA20="",0,AA20)+IFERROR((AB20-K20)*IF(F20="Sell",-1,1)*R20*AC20*IF(ISNUMBER(SEARCH("JPY",E20)),1000,IF(ISNUMBER(SEARCH("XAU",E20)),100,IF(OR(ISNUMBER(SEARCH("30",E20)),ISNUMBER(SEARCH("500",E20)),ISNUMBER(SEARCH("100",E20))),100,100000))),0))</f>
        <v/>
      </c>
      <c r="AF20" s="31" t="str">
        <f aca="false">IF(OR(K20="",M20="",L20=""),"",IFERROR(ABS(M20-K20)/ABS(K20-L20),0))</f>
        <v/>
      </c>
      <c r="AG20" s="31" t="str">
        <f aca="false">IF(OR(AE20="",AE20=0,Q20=0,Q20=""),"",IFERROR(AE20/Q20,0))</f>
        <v/>
      </c>
      <c r="AH20" s="32" t="str">
        <f aca="false">IF(AB20="","Open",IF(AG20="","Open",IF(AG20&gt;0.1,"Win",IF(AG20&lt;-0.1,"Loss","Breakeven"))))</f>
        <v>Open</v>
      </c>
      <c r="AI20" s="33" t="str">
        <f aca="false">IF(OR(B20="",D20=""),"",D20-B20)</f>
        <v/>
      </c>
      <c r="AJ20" s="24" t="str">
        <f aca="false">IF(AD20="","",IFERROR((AD20-K20)*IF(F20="Sell",-1,1)/IF(ISNUMBER(SEARCH("JPY",E20)),0.01,IF(ISNUMBER(SEARCH("XAU",E20)),0.01,IF(OR(ISNUMBER(SEARCH("30",E20)),ISNUMBER(SEARCH("500",E20)),ISNUMBER(SEARCH("100",E20))),1,0.0001))),0))</f>
        <v/>
      </c>
      <c r="AK20" s="10"/>
      <c r="AL20" s="10"/>
      <c r="AM20" s="10"/>
      <c r="AN20" s="10"/>
      <c r="AO20" s="27" t="str">
        <f aca="false">IF(AE20="","",IFERROR(IF(AO19="",SETTINGS!$B$6,AO19),SETTINGS!$B$6)+IF(AE20="",0,AE20))</f>
        <v/>
      </c>
      <c r="AP20" s="2"/>
    </row>
    <row r="21" customFormat="false" ht="15" hidden="false" customHeight="false" outlineLevel="0" collapsed="false">
      <c r="A21" s="24" t="str">
        <f aca="false">IF(B21="","",ROW()-3)</f>
        <v/>
      </c>
      <c r="B21" s="34"/>
      <c r="C21" s="12"/>
      <c r="D21" s="3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35"/>
      <c r="P21" s="24" t="str">
        <f aca="false">IF(K21="","",IFERROR(ABS(K21-L21)/IF(ISNUMBER(SEARCH("JPY",E21)),0.01,IF(ISNUMBER(SEARCH("XAU",E21)),0.01,IF(OR(ISNUMBER(SEARCH("30",E21)),ISNUMBER(SEARCH("500",E21)),ISNUMBER(SEARCH("100",E21))),1,0.0001))),0))</f>
        <v/>
      </c>
      <c r="Q21" s="27" t="str">
        <f aca="false">IF(K21="","",SETTINGS!$B$6*O21)</f>
        <v/>
      </c>
      <c r="R21" s="24" t="str">
        <f aca="false">IF(K21="","",IFERROR(Q21/(P21*IF(ISNUMBER(SEARCH("JPY",E21)),9.09,IF(ISNUMBER(SEARCH("XAU",E21)),1,IF(OR(ISNUMBER(SEARCH("30",E21)),ISNUMBER(SEARCH("500",E21)),ISNUMBER(SEARCH("100",E21))),1,10)))),0))</f>
        <v/>
      </c>
      <c r="S21" s="12"/>
      <c r="T21" s="36"/>
      <c r="U21" s="27" t="str">
        <f aca="false">IF(OR(S21="",T21=0),"",IFERROR((S21-K21)*IF(F21="Sell",-1,1)*R21*T21*IF(ISNUMBER(SEARCH("JPY",E21)),1000,IF(ISNUMBER(SEARCH("XAU",E21)),100,IF(OR(ISNUMBER(SEARCH("30",E21)),ISNUMBER(SEARCH("500",E21)),ISNUMBER(SEARCH("100",E21))),100,100000))),0))</f>
        <v/>
      </c>
      <c r="V21" s="12"/>
      <c r="W21" s="36"/>
      <c r="X21" s="27" t="str">
        <f aca="false">IF(OR(V21="",W21=0),"",IFERROR((V21-K21)*IF(F21="Sell",-1,1)*R21*W21*IF(ISNUMBER(SEARCH("JPY",E21)),1000,IF(ISNUMBER(SEARCH("XAU",E21)),100,IF(OR(ISNUMBER(SEARCH("30",E21)),ISNUMBER(SEARCH("500",E21)),ISNUMBER(SEARCH("100",E21))),100,100000))),0))</f>
        <v/>
      </c>
      <c r="Y21" s="12"/>
      <c r="Z21" s="36"/>
      <c r="AA21" s="27" t="str">
        <f aca="false">IF(OR(Y21="",Z21=0),"",IFERROR((Y21-K21)*IF(F21="Sell",-1,1)*R21*Z21*IF(ISNUMBER(SEARCH("JPY",E21)),1000,IF(ISNUMBER(SEARCH("XAU",E21)),100,IF(OR(ISNUMBER(SEARCH("30",E21)),ISNUMBER(SEARCH("500",E21)),ISNUMBER(SEARCH("100",E21))),100,100000))),0))</f>
        <v/>
      </c>
      <c r="AB21" s="12"/>
      <c r="AC21" s="29" t="str">
        <f aca="false">IF(K21="","",1-IFERROR(T21,0)-IFERROR(W21,0)-IFERROR(Z21,0))</f>
        <v/>
      </c>
      <c r="AD21" s="30" t="str">
        <f aca="false">IF(AB21="","",IFERROR((IFERROR(S21*T21,0)+IFERROR(V21*W21,0)+IFERROR(Y21*Z21,0)+AB21*AC21)/(IFERROR(T21,0)+IFERROR(W21,0)+IFERROR(Z21,0)+AC21),AB21))</f>
        <v/>
      </c>
      <c r="AE21" s="27" t="str">
        <f aca="false">IF(AB21="","",IF(U21="",0,U21)+IF(X21="",0,X21)+IF(AA21="",0,AA21)+IFERROR((AB21-K21)*IF(F21="Sell",-1,1)*R21*AC21*IF(ISNUMBER(SEARCH("JPY",E21)),1000,IF(ISNUMBER(SEARCH("XAU",E21)),100,IF(OR(ISNUMBER(SEARCH("30",E21)),ISNUMBER(SEARCH("500",E21)),ISNUMBER(SEARCH("100",E21))),100,100000))),0))</f>
        <v/>
      </c>
      <c r="AF21" s="31" t="str">
        <f aca="false">IF(OR(K21="",M21="",L21=""),"",IFERROR(ABS(M21-K21)/ABS(K21-L21),0))</f>
        <v/>
      </c>
      <c r="AG21" s="31" t="str">
        <f aca="false">IF(OR(AE21="",AE21=0,Q21=0,Q21=""),"",IFERROR(AE21/Q21,0))</f>
        <v/>
      </c>
      <c r="AH21" s="32" t="str">
        <f aca="false">IF(AB21="","Open",IF(AG21="","Open",IF(AG21&gt;0.1,"Win",IF(AG21&lt;-0.1,"Loss","Breakeven"))))</f>
        <v>Open</v>
      </c>
      <c r="AI21" s="33" t="str">
        <f aca="false">IF(OR(B21="",D21=""),"",D21-B21)</f>
        <v/>
      </c>
      <c r="AJ21" s="24" t="str">
        <f aca="false">IF(AD21="","",IFERROR((AD21-K21)*IF(F21="Sell",-1,1)/IF(ISNUMBER(SEARCH("JPY",E21)),0.01,IF(ISNUMBER(SEARCH("XAU",E21)),0.01,IF(OR(ISNUMBER(SEARCH("30",E21)),ISNUMBER(SEARCH("500",E21)),ISNUMBER(SEARCH("100",E21))),1,0.0001))),0))</f>
        <v/>
      </c>
      <c r="AK21" s="12"/>
      <c r="AL21" s="12"/>
      <c r="AM21" s="12"/>
      <c r="AN21" s="12"/>
      <c r="AO21" s="27" t="str">
        <f aca="false">IF(AE21="","",IFERROR(IF(AO20="",SETTINGS!$B$6,AO20),SETTINGS!$B$6)+IF(AE21="",0,AE21))</f>
        <v/>
      </c>
      <c r="AP21" s="2"/>
    </row>
    <row r="22" customFormat="false" ht="15" hidden="false" customHeight="false" outlineLevel="0" collapsed="false">
      <c r="A22" s="24" t="str">
        <f aca="false">IF(B22="","",ROW()-3)</f>
        <v/>
      </c>
      <c r="B22" s="25"/>
      <c r="C22" s="10"/>
      <c r="D22" s="25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6"/>
      <c r="P22" s="24" t="str">
        <f aca="false">IF(K22="","",IFERROR(ABS(K22-L22)/IF(ISNUMBER(SEARCH("JPY",E22)),0.01,IF(ISNUMBER(SEARCH("XAU",E22)),0.01,IF(OR(ISNUMBER(SEARCH("30",E22)),ISNUMBER(SEARCH("500",E22)),ISNUMBER(SEARCH("100",E22))),1,0.0001))),0))</f>
        <v/>
      </c>
      <c r="Q22" s="27" t="str">
        <f aca="false">IF(K22="","",SETTINGS!$B$6*O22)</f>
        <v/>
      </c>
      <c r="R22" s="24" t="str">
        <f aca="false">IF(K22="","",IFERROR(Q22/(P22*IF(ISNUMBER(SEARCH("JPY",E22)),9.09,IF(ISNUMBER(SEARCH("XAU",E22)),1,IF(OR(ISNUMBER(SEARCH("30",E22)),ISNUMBER(SEARCH("500",E22)),ISNUMBER(SEARCH("100",E22))),1,10)))),0))</f>
        <v/>
      </c>
      <c r="S22" s="10"/>
      <c r="T22" s="28"/>
      <c r="U22" s="27" t="str">
        <f aca="false">IF(OR(S22="",T22=0),"",IFERROR((S22-K22)*IF(F22="Sell",-1,1)*R22*T22*IF(ISNUMBER(SEARCH("JPY",E22)),1000,IF(ISNUMBER(SEARCH("XAU",E22)),100,IF(OR(ISNUMBER(SEARCH("30",E22)),ISNUMBER(SEARCH("500",E22)),ISNUMBER(SEARCH("100",E22))),100,100000))),0))</f>
        <v/>
      </c>
      <c r="V22" s="10"/>
      <c r="W22" s="28"/>
      <c r="X22" s="27" t="str">
        <f aca="false">IF(OR(V22="",W22=0),"",IFERROR((V22-K22)*IF(F22="Sell",-1,1)*R22*W22*IF(ISNUMBER(SEARCH("JPY",E22)),1000,IF(ISNUMBER(SEARCH("XAU",E22)),100,IF(OR(ISNUMBER(SEARCH("30",E22)),ISNUMBER(SEARCH("500",E22)),ISNUMBER(SEARCH("100",E22))),100,100000))),0))</f>
        <v/>
      </c>
      <c r="Y22" s="10"/>
      <c r="Z22" s="28"/>
      <c r="AA22" s="27" t="str">
        <f aca="false">IF(OR(Y22="",Z22=0),"",IFERROR((Y22-K22)*IF(F22="Sell",-1,1)*R22*Z22*IF(ISNUMBER(SEARCH("JPY",E22)),1000,IF(ISNUMBER(SEARCH("XAU",E22)),100,IF(OR(ISNUMBER(SEARCH("30",E22)),ISNUMBER(SEARCH("500",E22)),ISNUMBER(SEARCH("100",E22))),100,100000))),0))</f>
        <v/>
      </c>
      <c r="AB22" s="10"/>
      <c r="AC22" s="29" t="str">
        <f aca="false">IF(K22="","",1-IFERROR(T22,0)-IFERROR(W22,0)-IFERROR(Z22,0))</f>
        <v/>
      </c>
      <c r="AD22" s="30" t="str">
        <f aca="false">IF(AB22="","",IFERROR((IFERROR(S22*T22,0)+IFERROR(V22*W22,0)+IFERROR(Y22*Z22,0)+AB22*AC22)/(IFERROR(T22,0)+IFERROR(W22,0)+IFERROR(Z22,0)+AC22),AB22))</f>
        <v/>
      </c>
      <c r="AE22" s="27" t="str">
        <f aca="false">IF(AB22="","",IF(U22="",0,U22)+IF(X22="",0,X22)+IF(AA22="",0,AA22)+IFERROR((AB22-K22)*IF(F22="Sell",-1,1)*R22*AC22*IF(ISNUMBER(SEARCH("JPY",E22)),1000,IF(ISNUMBER(SEARCH("XAU",E22)),100,IF(OR(ISNUMBER(SEARCH("30",E22)),ISNUMBER(SEARCH("500",E22)),ISNUMBER(SEARCH("100",E22))),100,100000))),0))</f>
        <v/>
      </c>
      <c r="AF22" s="31" t="str">
        <f aca="false">IF(OR(K22="",M22="",L22=""),"",IFERROR(ABS(M22-K22)/ABS(K22-L22),0))</f>
        <v/>
      </c>
      <c r="AG22" s="31" t="str">
        <f aca="false">IF(OR(AE22="",AE22=0,Q22=0,Q22=""),"",IFERROR(AE22/Q22,0))</f>
        <v/>
      </c>
      <c r="AH22" s="32" t="str">
        <f aca="false">IF(AB22="","Open",IF(AG22="","Open",IF(AG22&gt;0.1,"Win",IF(AG22&lt;-0.1,"Loss","Breakeven"))))</f>
        <v>Open</v>
      </c>
      <c r="AI22" s="33" t="str">
        <f aca="false">IF(OR(B22="",D22=""),"",D22-B22)</f>
        <v/>
      </c>
      <c r="AJ22" s="24" t="str">
        <f aca="false">IF(AD22="","",IFERROR((AD22-K22)*IF(F22="Sell",-1,1)/IF(ISNUMBER(SEARCH("JPY",E22)),0.01,IF(ISNUMBER(SEARCH("XAU",E22)),0.01,IF(OR(ISNUMBER(SEARCH("30",E22)),ISNUMBER(SEARCH("500",E22)),ISNUMBER(SEARCH("100",E22))),1,0.0001))),0))</f>
        <v/>
      </c>
      <c r="AK22" s="10"/>
      <c r="AL22" s="10"/>
      <c r="AM22" s="10"/>
      <c r="AN22" s="10"/>
      <c r="AO22" s="27" t="str">
        <f aca="false">IF(AE22="","",IFERROR(IF(AO21="",SETTINGS!$B$6,AO21),SETTINGS!$B$6)+IF(AE22="",0,AE22))</f>
        <v/>
      </c>
      <c r="AP22" s="2"/>
    </row>
    <row r="23" customFormat="false" ht="15" hidden="false" customHeight="false" outlineLevel="0" collapsed="false">
      <c r="A23" s="24" t="str">
        <f aca="false">IF(B23="","",ROW()-3)</f>
        <v/>
      </c>
      <c r="B23" s="34"/>
      <c r="C23" s="12"/>
      <c r="D23" s="34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5"/>
      <c r="P23" s="24" t="str">
        <f aca="false">IF(K23="","",IFERROR(ABS(K23-L23)/IF(ISNUMBER(SEARCH("JPY",E23)),0.01,IF(ISNUMBER(SEARCH("XAU",E23)),0.01,IF(OR(ISNUMBER(SEARCH("30",E23)),ISNUMBER(SEARCH("500",E23)),ISNUMBER(SEARCH("100",E23))),1,0.0001))),0))</f>
        <v/>
      </c>
      <c r="Q23" s="27" t="str">
        <f aca="false">IF(K23="","",SETTINGS!$B$6*O23)</f>
        <v/>
      </c>
      <c r="R23" s="24" t="str">
        <f aca="false">IF(K23="","",IFERROR(Q23/(P23*IF(ISNUMBER(SEARCH("JPY",E23)),9.09,IF(ISNUMBER(SEARCH("XAU",E23)),1,IF(OR(ISNUMBER(SEARCH("30",E23)),ISNUMBER(SEARCH("500",E23)),ISNUMBER(SEARCH("100",E23))),1,10)))),0))</f>
        <v/>
      </c>
      <c r="S23" s="12"/>
      <c r="T23" s="36"/>
      <c r="U23" s="27" t="str">
        <f aca="false">IF(OR(S23="",T23=0),"",IFERROR((S23-K23)*IF(F23="Sell",-1,1)*R23*T23*IF(ISNUMBER(SEARCH("JPY",E23)),1000,IF(ISNUMBER(SEARCH("XAU",E23)),100,IF(OR(ISNUMBER(SEARCH("30",E23)),ISNUMBER(SEARCH("500",E23)),ISNUMBER(SEARCH("100",E23))),100,100000))),0))</f>
        <v/>
      </c>
      <c r="V23" s="12"/>
      <c r="W23" s="36"/>
      <c r="X23" s="27" t="str">
        <f aca="false">IF(OR(V23="",W23=0),"",IFERROR((V23-K23)*IF(F23="Sell",-1,1)*R23*W23*IF(ISNUMBER(SEARCH("JPY",E23)),1000,IF(ISNUMBER(SEARCH("XAU",E23)),100,IF(OR(ISNUMBER(SEARCH("30",E23)),ISNUMBER(SEARCH("500",E23)),ISNUMBER(SEARCH("100",E23))),100,100000))),0))</f>
        <v/>
      </c>
      <c r="Y23" s="12"/>
      <c r="Z23" s="36"/>
      <c r="AA23" s="27" t="str">
        <f aca="false">IF(OR(Y23="",Z23=0),"",IFERROR((Y23-K23)*IF(F23="Sell",-1,1)*R23*Z23*IF(ISNUMBER(SEARCH("JPY",E23)),1000,IF(ISNUMBER(SEARCH("XAU",E23)),100,IF(OR(ISNUMBER(SEARCH("30",E23)),ISNUMBER(SEARCH("500",E23)),ISNUMBER(SEARCH("100",E23))),100,100000))),0))</f>
        <v/>
      </c>
      <c r="AB23" s="12"/>
      <c r="AC23" s="29" t="str">
        <f aca="false">IF(K23="","",1-IFERROR(T23,0)-IFERROR(W23,0)-IFERROR(Z23,0))</f>
        <v/>
      </c>
      <c r="AD23" s="30" t="str">
        <f aca="false">IF(AB23="","",IFERROR((IFERROR(S23*T23,0)+IFERROR(V23*W23,0)+IFERROR(Y23*Z23,0)+AB23*AC23)/(IFERROR(T23,0)+IFERROR(W23,0)+IFERROR(Z23,0)+AC23),AB23))</f>
        <v/>
      </c>
      <c r="AE23" s="27" t="str">
        <f aca="false">IF(AB23="","",IF(U23="",0,U23)+IF(X23="",0,X23)+IF(AA23="",0,AA23)+IFERROR((AB23-K23)*IF(F23="Sell",-1,1)*R23*AC23*IF(ISNUMBER(SEARCH("JPY",E23)),1000,IF(ISNUMBER(SEARCH("XAU",E23)),100,IF(OR(ISNUMBER(SEARCH("30",E23)),ISNUMBER(SEARCH("500",E23)),ISNUMBER(SEARCH("100",E23))),100,100000))),0))</f>
        <v/>
      </c>
      <c r="AF23" s="31" t="str">
        <f aca="false">IF(OR(K23="",M23="",L23=""),"",IFERROR(ABS(M23-K23)/ABS(K23-L23),0))</f>
        <v/>
      </c>
      <c r="AG23" s="31" t="str">
        <f aca="false">IF(OR(AE23="",AE23=0,Q23=0,Q23=""),"",IFERROR(AE23/Q23,0))</f>
        <v/>
      </c>
      <c r="AH23" s="32" t="str">
        <f aca="false">IF(AB23="","Open",IF(AG23="","Open",IF(AG23&gt;0.1,"Win",IF(AG23&lt;-0.1,"Loss","Breakeven"))))</f>
        <v>Open</v>
      </c>
      <c r="AI23" s="33" t="str">
        <f aca="false">IF(OR(B23="",D23=""),"",D23-B23)</f>
        <v/>
      </c>
      <c r="AJ23" s="24" t="str">
        <f aca="false">IF(AD23="","",IFERROR((AD23-K23)*IF(F23="Sell",-1,1)/IF(ISNUMBER(SEARCH("JPY",E23)),0.01,IF(ISNUMBER(SEARCH("XAU",E23)),0.01,IF(OR(ISNUMBER(SEARCH("30",E23)),ISNUMBER(SEARCH("500",E23)),ISNUMBER(SEARCH("100",E23))),1,0.0001))),0))</f>
        <v/>
      </c>
      <c r="AK23" s="12"/>
      <c r="AL23" s="12"/>
      <c r="AM23" s="12"/>
      <c r="AN23" s="12"/>
      <c r="AO23" s="27" t="str">
        <f aca="false">IF(AE23="","",IFERROR(IF(AO22="",SETTINGS!$B$6,AO22),SETTINGS!$B$6)+IF(AE23="",0,AE23))</f>
        <v/>
      </c>
      <c r="AP23" s="2"/>
    </row>
    <row r="24" customFormat="false" ht="15" hidden="false" customHeight="false" outlineLevel="0" collapsed="false">
      <c r="A24" s="24" t="str">
        <f aca="false">IF(B24="","",ROW()-3)</f>
        <v/>
      </c>
      <c r="B24" s="25"/>
      <c r="C24" s="10"/>
      <c r="D24" s="25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6"/>
      <c r="P24" s="24" t="str">
        <f aca="false">IF(K24="","",IFERROR(ABS(K24-L24)/IF(ISNUMBER(SEARCH("JPY",E24)),0.01,IF(ISNUMBER(SEARCH("XAU",E24)),0.01,IF(OR(ISNUMBER(SEARCH("30",E24)),ISNUMBER(SEARCH("500",E24)),ISNUMBER(SEARCH("100",E24))),1,0.0001))),0))</f>
        <v/>
      </c>
      <c r="Q24" s="27" t="str">
        <f aca="false">IF(K24="","",SETTINGS!$B$6*O24)</f>
        <v/>
      </c>
      <c r="R24" s="24" t="str">
        <f aca="false">IF(K24="","",IFERROR(Q24/(P24*IF(ISNUMBER(SEARCH("JPY",E24)),9.09,IF(ISNUMBER(SEARCH("XAU",E24)),1,IF(OR(ISNUMBER(SEARCH("30",E24)),ISNUMBER(SEARCH("500",E24)),ISNUMBER(SEARCH("100",E24))),1,10)))),0))</f>
        <v/>
      </c>
      <c r="S24" s="10"/>
      <c r="T24" s="28"/>
      <c r="U24" s="27" t="str">
        <f aca="false">IF(OR(S24="",T24=0),"",IFERROR((S24-K24)*IF(F24="Sell",-1,1)*R24*T24*IF(ISNUMBER(SEARCH("JPY",E24)),1000,IF(ISNUMBER(SEARCH("XAU",E24)),100,IF(OR(ISNUMBER(SEARCH("30",E24)),ISNUMBER(SEARCH("500",E24)),ISNUMBER(SEARCH("100",E24))),100,100000))),0))</f>
        <v/>
      </c>
      <c r="V24" s="10"/>
      <c r="W24" s="28"/>
      <c r="X24" s="27" t="str">
        <f aca="false">IF(OR(V24="",W24=0),"",IFERROR((V24-K24)*IF(F24="Sell",-1,1)*R24*W24*IF(ISNUMBER(SEARCH("JPY",E24)),1000,IF(ISNUMBER(SEARCH("XAU",E24)),100,IF(OR(ISNUMBER(SEARCH("30",E24)),ISNUMBER(SEARCH("500",E24)),ISNUMBER(SEARCH("100",E24))),100,100000))),0))</f>
        <v/>
      </c>
      <c r="Y24" s="10"/>
      <c r="Z24" s="28"/>
      <c r="AA24" s="27" t="str">
        <f aca="false">IF(OR(Y24="",Z24=0),"",IFERROR((Y24-K24)*IF(F24="Sell",-1,1)*R24*Z24*IF(ISNUMBER(SEARCH("JPY",E24)),1000,IF(ISNUMBER(SEARCH("XAU",E24)),100,IF(OR(ISNUMBER(SEARCH("30",E24)),ISNUMBER(SEARCH("500",E24)),ISNUMBER(SEARCH("100",E24))),100,100000))),0))</f>
        <v/>
      </c>
      <c r="AB24" s="10"/>
      <c r="AC24" s="29" t="str">
        <f aca="false">IF(K24="","",1-IFERROR(T24,0)-IFERROR(W24,0)-IFERROR(Z24,0))</f>
        <v/>
      </c>
      <c r="AD24" s="30" t="str">
        <f aca="false">IF(AB24="","",IFERROR((IFERROR(S24*T24,0)+IFERROR(V24*W24,0)+IFERROR(Y24*Z24,0)+AB24*AC24)/(IFERROR(T24,0)+IFERROR(W24,0)+IFERROR(Z24,0)+AC24),AB24))</f>
        <v/>
      </c>
      <c r="AE24" s="27" t="str">
        <f aca="false">IF(AB24="","",IF(U24="",0,U24)+IF(X24="",0,X24)+IF(AA24="",0,AA24)+IFERROR((AB24-K24)*IF(F24="Sell",-1,1)*R24*AC24*IF(ISNUMBER(SEARCH("JPY",E24)),1000,IF(ISNUMBER(SEARCH("XAU",E24)),100,IF(OR(ISNUMBER(SEARCH("30",E24)),ISNUMBER(SEARCH("500",E24)),ISNUMBER(SEARCH("100",E24))),100,100000))),0))</f>
        <v/>
      </c>
      <c r="AF24" s="31" t="str">
        <f aca="false">IF(OR(K24="",M24="",L24=""),"",IFERROR(ABS(M24-K24)/ABS(K24-L24),0))</f>
        <v/>
      </c>
      <c r="AG24" s="31" t="str">
        <f aca="false">IF(OR(AE24="",AE24=0,Q24=0,Q24=""),"",IFERROR(AE24/Q24,0))</f>
        <v/>
      </c>
      <c r="AH24" s="32" t="str">
        <f aca="false">IF(AB24="","Open",IF(AG24="","Open",IF(AG24&gt;0.1,"Win",IF(AG24&lt;-0.1,"Loss","Breakeven"))))</f>
        <v>Open</v>
      </c>
      <c r="AI24" s="33" t="str">
        <f aca="false">IF(OR(B24="",D24=""),"",D24-B24)</f>
        <v/>
      </c>
      <c r="AJ24" s="24" t="str">
        <f aca="false">IF(AD24="","",IFERROR((AD24-K24)*IF(F24="Sell",-1,1)/IF(ISNUMBER(SEARCH("JPY",E24)),0.01,IF(ISNUMBER(SEARCH("XAU",E24)),0.01,IF(OR(ISNUMBER(SEARCH("30",E24)),ISNUMBER(SEARCH("500",E24)),ISNUMBER(SEARCH("100",E24))),1,0.0001))),0))</f>
        <v/>
      </c>
      <c r="AK24" s="10"/>
      <c r="AL24" s="10"/>
      <c r="AM24" s="10"/>
      <c r="AN24" s="10"/>
      <c r="AO24" s="27" t="str">
        <f aca="false">IF(AE24="","",IFERROR(IF(AO23="",SETTINGS!$B$6,AO23),SETTINGS!$B$6)+IF(AE24="",0,AE24))</f>
        <v/>
      </c>
      <c r="AP24" s="2"/>
    </row>
    <row r="25" customFormat="false" ht="15" hidden="false" customHeight="false" outlineLevel="0" collapsed="false">
      <c r="A25" s="24" t="str">
        <f aca="false">IF(B25="","",ROW()-3)</f>
        <v/>
      </c>
      <c r="B25" s="34"/>
      <c r="C25" s="12"/>
      <c r="D25" s="3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35"/>
      <c r="P25" s="24" t="str">
        <f aca="false">IF(K25="","",IFERROR(ABS(K25-L25)/IF(ISNUMBER(SEARCH("JPY",E25)),0.01,IF(ISNUMBER(SEARCH("XAU",E25)),0.01,IF(OR(ISNUMBER(SEARCH("30",E25)),ISNUMBER(SEARCH("500",E25)),ISNUMBER(SEARCH("100",E25))),1,0.0001))),0))</f>
        <v/>
      </c>
      <c r="Q25" s="27" t="str">
        <f aca="false">IF(K25="","",SETTINGS!$B$6*O25)</f>
        <v/>
      </c>
      <c r="R25" s="24" t="str">
        <f aca="false">IF(K25="","",IFERROR(Q25/(P25*IF(ISNUMBER(SEARCH("JPY",E25)),9.09,IF(ISNUMBER(SEARCH("XAU",E25)),1,IF(OR(ISNUMBER(SEARCH("30",E25)),ISNUMBER(SEARCH("500",E25)),ISNUMBER(SEARCH("100",E25))),1,10)))),0))</f>
        <v/>
      </c>
      <c r="S25" s="12"/>
      <c r="T25" s="36"/>
      <c r="U25" s="27" t="str">
        <f aca="false">IF(OR(S25="",T25=0),"",IFERROR((S25-K25)*IF(F25="Sell",-1,1)*R25*T25*IF(ISNUMBER(SEARCH("JPY",E25)),1000,IF(ISNUMBER(SEARCH("XAU",E25)),100,IF(OR(ISNUMBER(SEARCH("30",E25)),ISNUMBER(SEARCH("500",E25)),ISNUMBER(SEARCH("100",E25))),100,100000))),0))</f>
        <v/>
      </c>
      <c r="V25" s="12"/>
      <c r="W25" s="36"/>
      <c r="X25" s="27" t="str">
        <f aca="false">IF(OR(V25="",W25=0),"",IFERROR((V25-K25)*IF(F25="Sell",-1,1)*R25*W25*IF(ISNUMBER(SEARCH("JPY",E25)),1000,IF(ISNUMBER(SEARCH("XAU",E25)),100,IF(OR(ISNUMBER(SEARCH("30",E25)),ISNUMBER(SEARCH("500",E25)),ISNUMBER(SEARCH("100",E25))),100,100000))),0))</f>
        <v/>
      </c>
      <c r="Y25" s="12"/>
      <c r="Z25" s="36"/>
      <c r="AA25" s="27" t="str">
        <f aca="false">IF(OR(Y25="",Z25=0),"",IFERROR((Y25-K25)*IF(F25="Sell",-1,1)*R25*Z25*IF(ISNUMBER(SEARCH("JPY",E25)),1000,IF(ISNUMBER(SEARCH("XAU",E25)),100,IF(OR(ISNUMBER(SEARCH("30",E25)),ISNUMBER(SEARCH("500",E25)),ISNUMBER(SEARCH("100",E25))),100,100000))),0))</f>
        <v/>
      </c>
      <c r="AB25" s="12"/>
      <c r="AC25" s="29" t="str">
        <f aca="false">IF(K25="","",1-IFERROR(T25,0)-IFERROR(W25,0)-IFERROR(Z25,0))</f>
        <v/>
      </c>
      <c r="AD25" s="30" t="str">
        <f aca="false">IF(AB25="","",IFERROR((IFERROR(S25*T25,0)+IFERROR(V25*W25,0)+IFERROR(Y25*Z25,0)+AB25*AC25)/(IFERROR(T25,0)+IFERROR(W25,0)+IFERROR(Z25,0)+AC25),AB25))</f>
        <v/>
      </c>
      <c r="AE25" s="27" t="str">
        <f aca="false">IF(AB25="","",IF(U25="",0,U25)+IF(X25="",0,X25)+IF(AA25="",0,AA25)+IFERROR((AB25-K25)*IF(F25="Sell",-1,1)*R25*AC25*IF(ISNUMBER(SEARCH("JPY",E25)),1000,IF(ISNUMBER(SEARCH("XAU",E25)),100,IF(OR(ISNUMBER(SEARCH("30",E25)),ISNUMBER(SEARCH("500",E25)),ISNUMBER(SEARCH("100",E25))),100,100000))),0))</f>
        <v/>
      </c>
      <c r="AF25" s="31" t="str">
        <f aca="false">IF(OR(K25="",M25="",L25=""),"",IFERROR(ABS(M25-K25)/ABS(K25-L25),0))</f>
        <v/>
      </c>
      <c r="AG25" s="31" t="str">
        <f aca="false">IF(OR(AE25="",AE25=0,Q25=0,Q25=""),"",IFERROR(AE25/Q25,0))</f>
        <v/>
      </c>
      <c r="AH25" s="32" t="str">
        <f aca="false">IF(AB25="","Open",IF(AG25="","Open",IF(AG25&gt;0.1,"Win",IF(AG25&lt;-0.1,"Loss","Breakeven"))))</f>
        <v>Open</v>
      </c>
      <c r="AI25" s="33" t="str">
        <f aca="false">IF(OR(B25="",D25=""),"",D25-B25)</f>
        <v/>
      </c>
      <c r="AJ25" s="24" t="str">
        <f aca="false">IF(AD25="","",IFERROR((AD25-K25)*IF(F25="Sell",-1,1)/IF(ISNUMBER(SEARCH("JPY",E25)),0.01,IF(ISNUMBER(SEARCH("XAU",E25)),0.01,IF(OR(ISNUMBER(SEARCH("30",E25)),ISNUMBER(SEARCH("500",E25)),ISNUMBER(SEARCH("100",E25))),1,0.0001))),0))</f>
        <v/>
      </c>
      <c r="AK25" s="12"/>
      <c r="AL25" s="12"/>
      <c r="AM25" s="12"/>
      <c r="AN25" s="12"/>
      <c r="AO25" s="27" t="str">
        <f aca="false">IF(AE25="","",IFERROR(IF(AO24="",SETTINGS!$B$6,AO24),SETTINGS!$B$6)+IF(AE25="",0,AE25))</f>
        <v/>
      </c>
      <c r="AP25" s="2"/>
    </row>
    <row r="26" customFormat="false" ht="15" hidden="false" customHeight="false" outlineLevel="0" collapsed="false">
      <c r="A26" s="24" t="str">
        <f aca="false">IF(B26="","",ROW()-3)</f>
        <v/>
      </c>
      <c r="B26" s="25"/>
      <c r="C26" s="10"/>
      <c r="D26" s="2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6"/>
      <c r="P26" s="24" t="str">
        <f aca="false">IF(K26="","",IFERROR(ABS(K26-L26)/IF(ISNUMBER(SEARCH("JPY",E26)),0.01,IF(ISNUMBER(SEARCH("XAU",E26)),0.01,IF(OR(ISNUMBER(SEARCH("30",E26)),ISNUMBER(SEARCH("500",E26)),ISNUMBER(SEARCH("100",E26))),1,0.0001))),0))</f>
        <v/>
      </c>
      <c r="Q26" s="27" t="str">
        <f aca="false">IF(K26="","",SETTINGS!$B$6*O26)</f>
        <v/>
      </c>
      <c r="R26" s="24" t="str">
        <f aca="false">IF(K26="","",IFERROR(Q26/(P26*IF(ISNUMBER(SEARCH("JPY",E26)),9.09,IF(ISNUMBER(SEARCH("XAU",E26)),1,IF(OR(ISNUMBER(SEARCH("30",E26)),ISNUMBER(SEARCH("500",E26)),ISNUMBER(SEARCH("100",E26))),1,10)))),0))</f>
        <v/>
      </c>
      <c r="S26" s="10"/>
      <c r="T26" s="28"/>
      <c r="U26" s="27" t="str">
        <f aca="false">IF(OR(S26="",T26=0),"",IFERROR((S26-K26)*IF(F26="Sell",-1,1)*R26*T26*IF(ISNUMBER(SEARCH("JPY",E26)),1000,IF(ISNUMBER(SEARCH("XAU",E26)),100,IF(OR(ISNUMBER(SEARCH("30",E26)),ISNUMBER(SEARCH("500",E26)),ISNUMBER(SEARCH("100",E26))),100,100000))),0))</f>
        <v/>
      </c>
      <c r="V26" s="10"/>
      <c r="W26" s="28"/>
      <c r="X26" s="27" t="str">
        <f aca="false">IF(OR(V26="",W26=0),"",IFERROR((V26-K26)*IF(F26="Sell",-1,1)*R26*W26*IF(ISNUMBER(SEARCH("JPY",E26)),1000,IF(ISNUMBER(SEARCH("XAU",E26)),100,IF(OR(ISNUMBER(SEARCH("30",E26)),ISNUMBER(SEARCH("500",E26)),ISNUMBER(SEARCH("100",E26))),100,100000))),0))</f>
        <v/>
      </c>
      <c r="Y26" s="10"/>
      <c r="Z26" s="28"/>
      <c r="AA26" s="27" t="str">
        <f aca="false">IF(OR(Y26="",Z26=0),"",IFERROR((Y26-K26)*IF(F26="Sell",-1,1)*R26*Z26*IF(ISNUMBER(SEARCH("JPY",E26)),1000,IF(ISNUMBER(SEARCH("XAU",E26)),100,IF(OR(ISNUMBER(SEARCH("30",E26)),ISNUMBER(SEARCH("500",E26)),ISNUMBER(SEARCH("100",E26))),100,100000))),0))</f>
        <v/>
      </c>
      <c r="AB26" s="10"/>
      <c r="AC26" s="29" t="str">
        <f aca="false">IF(K26="","",1-IFERROR(T26,0)-IFERROR(W26,0)-IFERROR(Z26,0))</f>
        <v/>
      </c>
      <c r="AD26" s="30" t="str">
        <f aca="false">IF(AB26="","",IFERROR((IFERROR(S26*T26,0)+IFERROR(V26*W26,0)+IFERROR(Y26*Z26,0)+AB26*AC26)/(IFERROR(T26,0)+IFERROR(W26,0)+IFERROR(Z26,0)+AC26),AB26))</f>
        <v/>
      </c>
      <c r="AE26" s="27" t="str">
        <f aca="false">IF(AB26="","",IF(U26="",0,U26)+IF(X26="",0,X26)+IF(AA26="",0,AA26)+IFERROR((AB26-K26)*IF(F26="Sell",-1,1)*R26*AC26*IF(ISNUMBER(SEARCH("JPY",E26)),1000,IF(ISNUMBER(SEARCH("XAU",E26)),100,IF(OR(ISNUMBER(SEARCH("30",E26)),ISNUMBER(SEARCH("500",E26)),ISNUMBER(SEARCH("100",E26))),100,100000))),0))</f>
        <v/>
      </c>
      <c r="AF26" s="31" t="str">
        <f aca="false">IF(OR(K26="",M26="",L26=""),"",IFERROR(ABS(M26-K26)/ABS(K26-L26),0))</f>
        <v/>
      </c>
      <c r="AG26" s="31" t="str">
        <f aca="false">IF(OR(AE26="",AE26=0,Q26=0,Q26=""),"",IFERROR(AE26/Q26,0))</f>
        <v/>
      </c>
      <c r="AH26" s="32" t="str">
        <f aca="false">IF(AB26="","Open",IF(AG26="","Open",IF(AG26&gt;0.1,"Win",IF(AG26&lt;-0.1,"Loss","Breakeven"))))</f>
        <v>Open</v>
      </c>
      <c r="AI26" s="33" t="str">
        <f aca="false">IF(OR(B26="",D26=""),"",D26-B26)</f>
        <v/>
      </c>
      <c r="AJ26" s="24" t="str">
        <f aca="false">IF(AD26="","",IFERROR((AD26-K26)*IF(F26="Sell",-1,1)/IF(ISNUMBER(SEARCH("JPY",E26)),0.01,IF(ISNUMBER(SEARCH("XAU",E26)),0.01,IF(OR(ISNUMBER(SEARCH("30",E26)),ISNUMBER(SEARCH("500",E26)),ISNUMBER(SEARCH("100",E26))),1,0.0001))),0))</f>
        <v/>
      </c>
      <c r="AK26" s="10"/>
      <c r="AL26" s="10"/>
      <c r="AM26" s="10"/>
      <c r="AN26" s="10"/>
      <c r="AO26" s="27" t="str">
        <f aca="false">IF(AE26="","",IFERROR(IF(AO25="",SETTINGS!$B$6,AO25),SETTINGS!$B$6)+IF(AE26="",0,AE26))</f>
        <v/>
      </c>
      <c r="AP26" s="2"/>
    </row>
    <row r="27" customFormat="false" ht="15" hidden="false" customHeight="false" outlineLevel="0" collapsed="false">
      <c r="A27" s="24" t="str">
        <f aca="false">IF(B27="","",ROW()-3)</f>
        <v/>
      </c>
      <c r="B27" s="34"/>
      <c r="C27" s="12"/>
      <c r="D27" s="34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35"/>
      <c r="P27" s="24" t="str">
        <f aca="false">IF(K27="","",IFERROR(ABS(K27-L27)/IF(ISNUMBER(SEARCH("JPY",E27)),0.01,IF(ISNUMBER(SEARCH("XAU",E27)),0.01,IF(OR(ISNUMBER(SEARCH("30",E27)),ISNUMBER(SEARCH("500",E27)),ISNUMBER(SEARCH("100",E27))),1,0.0001))),0))</f>
        <v/>
      </c>
      <c r="Q27" s="27" t="str">
        <f aca="false">IF(K27="","",SETTINGS!$B$6*O27)</f>
        <v/>
      </c>
      <c r="R27" s="24" t="str">
        <f aca="false">IF(K27="","",IFERROR(Q27/(P27*IF(ISNUMBER(SEARCH("JPY",E27)),9.09,IF(ISNUMBER(SEARCH("XAU",E27)),1,IF(OR(ISNUMBER(SEARCH("30",E27)),ISNUMBER(SEARCH("500",E27)),ISNUMBER(SEARCH("100",E27))),1,10)))),0))</f>
        <v/>
      </c>
      <c r="S27" s="12"/>
      <c r="T27" s="36"/>
      <c r="U27" s="27" t="str">
        <f aca="false">IF(OR(S27="",T27=0),"",IFERROR((S27-K27)*IF(F27="Sell",-1,1)*R27*T27*IF(ISNUMBER(SEARCH("JPY",E27)),1000,IF(ISNUMBER(SEARCH("XAU",E27)),100,IF(OR(ISNUMBER(SEARCH("30",E27)),ISNUMBER(SEARCH("500",E27)),ISNUMBER(SEARCH("100",E27))),100,100000))),0))</f>
        <v/>
      </c>
      <c r="V27" s="12"/>
      <c r="W27" s="36"/>
      <c r="X27" s="27" t="str">
        <f aca="false">IF(OR(V27="",W27=0),"",IFERROR((V27-K27)*IF(F27="Sell",-1,1)*R27*W27*IF(ISNUMBER(SEARCH("JPY",E27)),1000,IF(ISNUMBER(SEARCH("XAU",E27)),100,IF(OR(ISNUMBER(SEARCH("30",E27)),ISNUMBER(SEARCH("500",E27)),ISNUMBER(SEARCH("100",E27))),100,100000))),0))</f>
        <v/>
      </c>
      <c r="Y27" s="12"/>
      <c r="Z27" s="36"/>
      <c r="AA27" s="27" t="str">
        <f aca="false">IF(OR(Y27="",Z27=0),"",IFERROR((Y27-K27)*IF(F27="Sell",-1,1)*R27*Z27*IF(ISNUMBER(SEARCH("JPY",E27)),1000,IF(ISNUMBER(SEARCH("XAU",E27)),100,IF(OR(ISNUMBER(SEARCH("30",E27)),ISNUMBER(SEARCH("500",E27)),ISNUMBER(SEARCH("100",E27))),100,100000))),0))</f>
        <v/>
      </c>
      <c r="AB27" s="12"/>
      <c r="AC27" s="29" t="str">
        <f aca="false">IF(K27="","",1-IFERROR(T27,0)-IFERROR(W27,0)-IFERROR(Z27,0))</f>
        <v/>
      </c>
      <c r="AD27" s="30" t="str">
        <f aca="false">IF(AB27="","",IFERROR((IFERROR(S27*T27,0)+IFERROR(V27*W27,0)+IFERROR(Y27*Z27,0)+AB27*AC27)/(IFERROR(T27,0)+IFERROR(W27,0)+IFERROR(Z27,0)+AC27),AB27))</f>
        <v/>
      </c>
      <c r="AE27" s="27" t="str">
        <f aca="false">IF(AB27="","",IF(U27="",0,U27)+IF(X27="",0,X27)+IF(AA27="",0,AA27)+IFERROR((AB27-K27)*IF(F27="Sell",-1,1)*R27*AC27*IF(ISNUMBER(SEARCH("JPY",E27)),1000,IF(ISNUMBER(SEARCH("XAU",E27)),100,IF(OR(ISNUMBER(SEARCH("30",E27)),ISNUMBER(SEARCH("500",E27)),ISNUMBER(SEARCH("100",E27))),100,100000))),0))</f>
        <v/>
      </c>
      <c r="AF27" s="31" t="str">
        <f aca="false">IF(OR(K27="",M27="",L27=""),"",IFERROR(ABS(M27-K27)/ABS(K27-L27),0))</f>
        <v/>
      </c>
      <c r="AG27" s="31" t="str">
        <f aca="false">IF(OR(AE27="",AE27=0,Q27=0,Q27=""),"",IFERROR(AE27/Q27,0))</f>
        <v/>
      </c>
      <c r="AH27" s="32" t="str">
        <f aca="false">IF(AB27="","Open",IF(AG27="","Open",IF(AG27&gt;0.1,"Win",IF(AG27&lt;-0.1,"Loss","Breakeven"))))</f>
        <v>Open</v>
      </c>
      <c r="AI27" s="33" t="str">
        <f aca="false">IF(OR(B27="",D27=""),"",D27-B27)</f>
        <v/>
      </c>
      <c r="AJ27" s="24" t="str">
        <f aca="false">IF(AD27="","",IFERROR((AD27-K27)*IF(F27="Sell",-1,1)/IF(ISNUMBER(SEARCH("JPY",E27)),0.01,IF(ISNUMBER(SEARCH("XAU",E27)),0.01,IF(OR(ISNUMBER(SEARCH("30",E27)),ISNUMBER(SEARCH("500",E27)),ISNUMBER(SEARCH("100",E27))),1,0.0001))),0))</f>
        <v/>
      </c>
      <c r="AK27" s="12"/>
      <c r="AL27" s="12"/>
      <c r="AM27" s="12"/>
      <c r="AN27" s="12"/>
      <c r="AO27" s="27" t="str">
        <f aca="false">IF(AE27="","",IFERROR(IF(AO26="",SETTINGS!$B$6,AO26),SETTINGS!$B$6)+IF(AE27="",0,AE27))</f>
        <v/>
      </c>
      <c r="AP27" s="2"/>
    </row>
    <row r="28" customFormat="false" ht="15" hidden="false" customHeight="false" outlineLevel="0" collapsed="false">
      <c r="A28" s="24" t="str">
        <f aca="false">IF(B28="","",ROW()-3)</f>
        <v/>
      </c>
      <c r="B28" s="25"/>
      <c r="C28" s="10"/>
      <c r="D28" s="2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6"/>
      <c r="P28" s="24" t="str">
        <f aca="false">IF(K28="","",IFERROR(ABS(K28-L28)/IF(ISNUMBER(SEARCH("JPY",E28)),0.01,IF(ISNUMBER(SEARCH("XAU",E28)),0.01,IF(OR(ISNUMBER(SEARCH("30",E28)),ISNUMBER(SEARCH("500",E28)),ISNUMBER(SEARCH("100",E28))),1,0.0001))),0))</f>
        <v/>
      </c>
      <c r="Q28" s="27" t="str">
        <f aca="false">IF(K28="","",SETTINGS!$B$6*O28)</f>
        <v/>
      </c>
      <c r="R28" s="24" t="str">
        <f aca="false">IF(K28="","",IFERROR(Q28/(P28*IF(ISNUMBER(SEARCH("JPY",E28)),9.09,IF(ISNUMBER(SEARCH("XAU",E28)),1,IF(OR(ISNUMBER(SEARCH("30",E28)),ISNUMBER(SEARCH("500",E28)),ISNUMBER(SEARCH("100",E28))),1,10)))),0))</f>
        <v/>
      </c>
      <c r="S28" s="10"/>
      <c r="T28" s="28"/>
      <c r="U28" s="27" t="str">
        <f aca="false">IF(OR(S28="",T28=0),"",IFERROR((S28-K28)*IF(F28="Sell",-1,1)*R28*T28*IF(ISNUMBER(SEARCH("JPY",E28)),1000,IF(ISNUMBER(SEARCH("XAU",E28)),100,IF(OR(ISNUMBER(SEARCH("30",E28)),ISNUMBER(SEARCH("500",E28)),ISNUMBER(SEARCH("100",E28))),100,100000))),0))</f>
        <v/>
      </c>
      <c r="V28" s="10"/>
      <c r="W28" s="28"/>
      <c r="X28" s="27" t="str">
        <f aca="false">IF(OR(V28="",W28=0),"",IFERROR((V28-K28)*IF(F28="Sell",-1,1)*R28*W28*IF(ISNUMBER(SEARCH("JPY",E28)),1000,IF(ISNUMBER(SEARCH("XAU",E28)),100,IF(OR(ISNUMBER(SEARCH("30",E28)),ISNUMBER(SEARCH("500",E28)),ISNUMBER(SEARCH("100",E28))),100,100000))),0))</f>
        <v/>
      </c>
      <c r="Y28" s="10"/>
      <c r="Z28" s="28"/>
      <c r="AA28" s="27" t="str">
        <f aca="false">IF(OR(Y28="",Z28=0),"",IFERROR((Y28-K28)*IF(F28="Sell",-1,1)*R28*Z28*IF(ISNUMBER(SEARCH("JPY",E28)),1000,IF(ISNUMBER(SEARCH("XAU",E28)),100,IF(OR(ISNUMBER(SEARCH("30",E28)),ISNUMBER(SEARCH("500",E28)),ISNUMBER(SEARCH("100",E28))),100,100000))),0))</f>
        <v/>
      </c>
      <c r="AB28" s="10"/>
      <c r="AC28" s="29" t="str">
        <f aca="false">IF(K28="","",1-IFERROR(T28,0)-IFERROR(W28,0)-IFERROR(Z28,0))</f>
        <v/>
      </c>
      <c r="AD28" s="30" t="str">
        <f aca="false">IF(AB28="","",IFERROR((IFERROR(S28*T28,0)+IFERROR(V28*W28,0)+IFERROR(Y28*Z28,0)+AB28*AC28)/(IFERROR(T28,0)+IFERROR(W28,0)+IFERROR(Z28,0)+AC28),AB28))</f>
        <v/>
      </c>
      <c r="AE28" s="27" t="str">
        <f aca="false">IF(AB28="","",IF(U28="",0,U28)+IF(X28="",0,X28)+IF(AA28="",0,AA28)+IFERROR((AB28-K28)*IF(F28="Sell",-1,1)*R28*AC28*IF(ISNUMBER(SEARCH("JPY",E28)),1000,IF(ISNUMBER(SEARCH("XAU",E28)),100,IF(OR(ISNUMBER(SEARCH("30",E28)),ISNUMBER(SEARCH("500",E28)),ISNUMBER(SEARCH("100",E28))),100,100000))),0))</f>
        <v/>
      </c>
      <c r="AF28" s="31" t="str">
        <f aca="false">IF(OR(K28="",M28="",L28=""),"",IFERROR(ABS(M28-K28)/ABS(K28-L28),0))</f>
        <v/>
      </c>
      <c r="AG28" s="31" t="str">
        <f aca="false">IF(OR(AE28="",AE28=0,Q28=0,Q28=""),"",IFERROR(AE28/Q28,0))</f>
        <v/>
      </c>
      <c r="AH28" s="32" t="str">
        <f aca="false">IF(AB28="","Open",IF(AG28="","Open",IF(AG28&gt;0.1,"Win",IF(AG28&lt;-0.1,"Loss","Breakeven"))))</f>
        <v>Open</v>
      </c>
      <c r="AI28" s="33" t="str">
        <f aca="false">IF(OR(B28="",D28=""),"",D28-B28)</f>
        <v/>
      </c>
      <c r="AJ28" s="24" t="str">
        <f aca="false">IF(AD28="","",IFERROR((AD28-K28)*IF(F28="Sell",-1,1)/IF(ISNUMBER(SEARCH("JPY",E28)),0.01,IF(ISNUMBER(SEARCH("XAU",E28)),0.01,IF(OR(ISNUMBER(SEARCH("30",E28)),ISNUMBER(SEARCH("500",E28)),ISNUMBER(SEARCH("100",E28))),1,0.0001))),0))</f>
        <v/>
      </c>
      <c r="AK28" s="10"/>
      <c r="AL28" s="10"/>
      <c r="AM28" s="10"/>
      <c r="AN28" s="10"/>
      <c r="AO28" s="27" t="str">
        <f aca="false">IF(AE28="","",IFERROR(IF(AO27="",SETTINGS!$B$6,AO27),SETTINGS!$B$6)+IF(AE28="",0,AE28))</f>
        <v/>
      </c>
      <c r="AP28" s="2"/>
    </row>
    <row r="29" customFormat="false" ht="15" hidden="false" customHeight="false" outlineLevel="0" collapsed="false">
      <c r="A29" s="24" t="str">
        <f aca="false">IF(B29="","",ROW()-3)</f>
        <v/>
      </c>
      <c r="B29" s="34"/>
      <c r="C29" s="12"/>
      <c r="D29" s="34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35"/>
      <c r="P29" s="24" t="str">
        <f aca="false">IF(K29="","",IFERROR(ABS(K29-L29)/IF(ISNUMBER(SEARCH("JPY",E29)),0.01,IF(ISNUMBER(SEARCH("XAU",E29)),0.01,IF(OR(ISNUMBER(SEARCH("30",E29)),ISNUMBER(SEARCH("500",E29)),ISNUMBER(SEARCH("100",E29))),1,0.0001))),0))</f>
        <v/>
      </c>
      <c r="Q29" s="27" t="str">
        <f aca="false">IF(K29="","",SETTINGS!$B$6*O29)</f>
        <v/>
      </c>
      <c r="R29" s="24" t="str">
        <f aca="false">IF(K29="","",IFERROR(Q29/(P29*IF(ISNUMBER(SEARCH("JPY",E29)),9.09,IF(ISNUMBER(SEARCH("XAU",E29)),1,IF(OR(ISNUMBER(SEARCH("30",E29)),ISNUMBER(SEARCH("500",E29)),ISNUMBER(SEARCH("100",E29))),1,10)))),0))</f>
        <v/>
      </c>
      <c r="S29" s="12"/>
      <c r="T29" s="36"/>
      <c r="U29" s="27" t="str">
        <f aca="false">IF(OR(S29="",T29=0),"",IFERROR((S29-K29)*IF(F29="Sell",-1,1)*R29*T29*IF(ISNUMBER(SEARCH("JPY",E29)),1000,IF(ISNUMBER(SEARCH("XAU",E29)),100,IF(OR(ISNUMBER(SEARCH("30",E29)),ISNUMBER(SEARCH("500",E29)),ISNUMBER(SEARCH("100",E29))),100,100000))),0))</f>
        <v/>
      </c>
      <c r="V29" s="12"/>
      <c r="W29" s="36"/>
      <c r="X29" s="27" t="str">
        <f aca="false">IF(OR(V29="",W29=0),"",IFERROR((V29-K29)*IF(F29="Sell",-1,1)*R29*W29*IF(ISNUMBER(SEARCH("JPY",E29)),1000,IF(ISNUMBER(SEARCH("XAU",E29)),100,IF(OR(ISNUMBER(SEARCH("30",E29)),ISNUMBER(SEARCH("500",E29)),ISNUMBER(SEARCH("100",E29))),100,100000))),0))</f>
        <v/>
      </c>
      <c r="Y29" s="12"/>
      <c r="Z29" s="36"/>
      <c r="AA29" s="27" t="str">
        <f aca="false">IF(OR(Y29="",Z29=0),"",IFERROR((Y29-K29)*IF(F29="Sell",-1,1)*R29*Z29*IF(ISNUMBER(SEARCH("JPY",E29)),1000,IF(ISNUMBER(SEARCH("XAU",E29)),100,IF(OR(ISNUMBER(SEARCH("30",E29)),ISNUMBER(SEARCH("500",E29)),ISNUMBER(SEARCH("100",E29))),100,100000))),0))</f>
        <v/>
      </c>
      <c r="AB29" s="12"/>
      <c r="AC29" s="29" t="str">
        <f aca="false">IF(K29="","",1-IFERROR(T29,0)-IFERROR(W29,0)-IFERROR(Z29,0))</f>
        <v/>
      </c>
      <c r="AD29" s="30" t="str">
        <f aca="false">IF(AB29="","",IFERROR((IFERROR(S29*T29,0)+IFERROR(V29*W29,0)+IFERROR(Y29*Z29,0)+AB29*AC29)/(IFERROR(T29,0)+IFERROR(W29,0)+IFERROR(Z29,0)+AC29),AB29))</f>
        <v/>
      </c>
      <c r="AE29" s="27" t="str">
        <f aca="false">IF(AB29="","",IF(U29="",0,U29)+IF(X29="",0,X29)+IF(AA29="",0,AA29)+IFERROR((AB29-K29)*IF(F29="Sell",-1,1)*R29*AC29*IF(ISNUMBER(SEARCH("JPY",E29)),1000,IF(ISNUMBER(SEARCH("XAU",E29)),100,IF(OR(ISNUMBER(SEARCH("30",E29)),ISNUMBER(SEARCH("500",E29)),ISNUMBER(SEARCH("100",E29))),100,100000))),0))</f>
        <v/>
      </c>
      <c r="AF29" s="31" t="str">
        <f aca="false">IF(OR(K29="",M29="",L29=""),"",IFERROR(ABS(M29-K29)/ABS(K29-L29),0))</f>
        <v/>
      </c>
      <c r="AG29" s="31" t="str">
        <f aca="false">IF(OR(AE29="",AE29=0,Q29=0,Q29=""),"",IFERROR(AE29/Q29,0))</f>
        <v/>
      </c>
      <c r="AH29" s="32" t="str">
        <f aca="false">IF(AB29="","Open",IF(AG29="","Open",IF(AG29&gt;0.1,"Win",IF(AG29&lt;-0.1,"Loss","Breakeven"))))</f>
        <v>Open</v>
      </c>
      <c r="AI29" s="33" t="str">
        <f aca="false">IF(OR(B29="",D29=""),"",D29-B29)</f>
        <v/>
      </c>
      <c r="AJ29" s="24" t="str">
        <f aca="false">IF(AD29="","",IFERROR((AD29-K29)*IF(F29="Sell",-1,1)/IF(ISNUMBER(SEARCH("JPY",E29)),0.01,IF(ISNUMBER(SEARCH("XAU",E29)),0.01,IF(OR(ISNUMBER(SEARCH("30",E29)),ISNUMBER(SEARCH("500",E29)),ISNUMBER(SEARCH("100",E29))),1,0.0001))),0))</f>
        <v/>
      </c>
      <c r="AK29" s="12"/>
      <c r="AL29" s="12"/>
      <c r="AM29" s="12"/>
      <c r="AN29" s="12"/>
      <c r="AO29" s="27" t="str">
        <f aca="false">IF(AE29="","",IFERROR(IF(AO28="",SETTINGS!$B$6,AO28),SETTINGS!$B$6)+IF(AE29="",0,AE29))</f>
        <v/>
      </c>
      <c r="AP29" s="2"/>
    </row>
    <row r="30" customFormat="false" ht="15" hidden="false" customHeight="false" outlineLevel="0" collapsed="false">
      <c r="A30" s="24" t="str">
        <f aca="false">IF(B30="","",ROW()-3)</f>
        <v/>
      </c>
      <c r="B30" s="25"/>
      <c r="C30" s="10"/>
      <c r="D30" s="2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6"/>
      <c r="P30" s="24" t="str">
        <f aca="false">IF(K30="","",IFERROR(ABS(K30-L30)/IF(ISNUMBER(SEARCH("JPY",E30)),0.01,IF(ISNUMBER(SEARCH("XAU",E30)),0.01,IF(OR(ISNUMBER(SEARCH("30",E30)),ISNUMBER(SEARCH("500",E30)),ISNUMBER(SEARCH("100",E30))),1,0.0001))),0))</f>
        <v/>
      </c>
      <c r="Q30" s="27" t="str">
        <f aca="false">IF(K30="","",SETTINGS!$B$6*O30)</f>
        <v/>
      </c>
      <c r="R30" s="24" t="str">
        <f aca="false">IF(K30="","",IFERROR(Q30/(P30*IF(ISNUMBER(SEARCH("JPY",E30)),9.09,IF(ISNUMBER(SEARCH("XAU",E30)),1,IF(OR(ISNUMBER(SEARCH("30",E30)),ISNUMBER(SEARCH("500",E30)),ISNUMBER(SEARCH("100",E30))),1,10)))),0))</f>
        <v/>
      </c>
      <c r="S30" s="10"/>
      <c r="T30" s="28"/>
      <c r="U30" s="27" t="str">
        <f aca="false">IF(OR(S30="",T30=0),"",IFERROR((S30-K30)*IF(F30="Sell",-1,1)*R30*T30*IF(ISNUMBER(SEARCH("JPY",E30)),1000,IF(ISNUMBER(SEARCH("XAU",E30)),100,IF(OR(ISNUMBER(SEARCH("30",E30)),ISNUMBER(SEARCH("500",E30)),ISNUMBER(SEARCH("100",E30))),100,100000))),0))</f>
        <v/>
      </c>
      <c r="V30" s="10"/>
      <c r="W30" s="28"/>
      <c r="X30" s="27" t="str">
        <f aca="false">IF(OR(V30="",W30=0),"",IFERROR((V30-K30)*IF(F30="Sell",-1,1)*R30*W30*IF(ISNUMBER(SEARCH("JPY",E30)),1000,IF(ISNUMBER(SEARCH("XAU",E30)),100,IF(OR(ISNUMBER(SEARCH("30",E30)),ISNUMBER(SEARCH("500",E30)),ISNUMBER(SEARCH("100",E30))),100,100000))),0))</f>
        <v/>
      </c>
      <c r="Y30" s="10"/>
      <c r="Z30" s="28"/>
      <c r="AA30" s="27" t="str">
        <f aca="false">IF(OR(Y30="",Z30=0),"",IFERROR((Y30-K30)*IF(F30="Sell",-1,1)*R30*Z30*IF(ISNUMBER(SEARCH("JPY",E30)),1000,IF(ISNUMBER(SEARCH("XAU",E30)),100,IF(OR(ISNUMBER(SEARCH("30",E30)),ISNUMBER(SEARCH("500",E30)),ISNUMBER(SEARCH("100",E30))),100,100000))),0))</f>
        <v/>
      </c>
      <c r="AB30" s="10"/>
      <c r="AC30" s="29" t="str">
        <f aca="false">IF(K30="","",1-IFERROR(T30,0)-IFERROR(W30,0)-IFERROR(Z30,0))</f>
        <v/>
      </c>
      <c r="AD30" s="30" t="str">
        <f aca="false">IF(AB30="","",IFERROR((IFERROR(S30*T30,0)+IFERROR(V30*W30,0)+IFERROR(Y30*Z30,0)+AB30*AC30)/(IFERROR(T30,0)+IFERROR(W30,0)+IFERROR(Z30,0)+AC30),AB30))</f>
        <v/>
      </c>
      <c r="AE30" s="27" t="str">
        <f aca="false">IF(AB30="","",IF(U30="",0,U30)+IF(X30="",0,X30)+IF(AA30="",0,AA30)+IFERROR((AB30-K30)*IF(F30="Sell",-1,1)*R30*AC30*IF(ISNUMBER(SEARCH("JPY",E30)),1000,IF(ISNUMBER(SEARCH("XAU",E30)),100,IF(OR(ISNUMBER(SEARCH("30",E30)),ISNUMBER(SEARCH("500",E30)),ISNUMBER(SEARCH("100",E30))),100,100000))),0))</f>
        <v/>
      </c>
      <c r="AF30" s="31" t="str">
        <f aca="false">IF(OR(K30="",M30="",L30=""),"",IFERROR(ABS(M30-K30)/ABS(K30-L30),0))</f>
        <v/>
      </c>
      <c r="AG30" s="31" t="str">
        <f aca="false">IF(OR(AE30="",AE30=0,Q30=0,Q30=""),"",IFERROR(AE30/Q30,0))</f>
        <v/>
      </c>
      <c r="AH30" s="32" t="str">
        <f aca="false">IF(AB30="","Open",IF(AG30="","Open",IF(AG30&gt;0.1,"Win",IF(AG30&lt;-0.1,"Loss","Breakeven"))))</f>
        <v>Open</v>
      </c>
      <c r="AI30" s="33" t="str">
        <f aca="false">IF(OR(B30="",D30=""),"",D30-B30)</f>
        <v/>
      </c>
      <c r="AJ30" s="24" t="str">
        <f aca="false">IF(AD30="","",IFERROR((AD30-K30)*IF(F30="Sell",-1,1)/IF(ISNUMBER(SEARCH("JPY",E30)),0.01,IF(ISNUMBER(SEARCH("XAU",E30)),0.01,IF(OR(ISNUMBER(SEARCH("30",E30)),ISNUMBER(SEARCH("500",E30)),ISNUMBER(SEARCH("100",E30))),1,0.0001))),0))</f>
        <v/>
      </c>
      <c r="AK30" s="10"/>
      <c r="AL30" s="10"/>
      <c r="AM30" s="10"/>
      <c r="AN30" s="10"/>
      <c r="AO30" s="27" t="str">
        <f aca="false">IF(AE30="","",IFERROR(IF(AO29="",SETTINGS!$B$6,AO29),SETTINGS!$B$6)+IF(AE30="",0,AE30))</f>
        <v/>
      </c>
      <c r="AP30" s="2"/>
    </row>
    <row r="31" customFormat="false" ht="15" hidden="false" customHeight="false" outlineLevel="0" collapsed="false">
      <c r="A31" s="24" t="str">
        <f aca="false">IF(B31="","",ROW()-3)</f>
        <v/>
      </c>
      <c r="B31" s="34"/>
      <c r="C31" s="12"/>
      <c r="D31" s="34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35"/>
      <c r="P31" s="24" t="str">
        <f aca="false">IF(K31="","",IFERROR(ABS(K31-L31)/IF(ISNUMBER(SEARCH("JPY",E31)),0.01,IF(ISNUMBER(SEARCH("XAU",E31)),0.01,IF(OR(ISNUMBER(SEARCH("30",E31)),ISNUMBER(SEARCH("500",E31)),ISNUMBER(SEARCH("100",E31))),1,0.0001))),0))</f>
        <v/>
      </c>
      <c r="Q31" s="27" t="str">
        <f aca="false">IF(K31="","",SETTINGS!$B$6*O31)</f>
        <v/>
      </c>
      <c r="R31" s="24" t="str">
        <f aca="false">IF(K31="","",IFERROR(Q31/(P31*IF(ISNUMBER(SEARCH("JPY",E31)),9.09,IF(ISNUMBER(SEARCH("XAU",E31)),1,IF(OR(ISNUMBER(SEARCH("30",E31)),ISNUMBER(SEARCH("500",E31)),ISNUMBER(SEARCH("100",E31))),1,10)))),0))</f>
        <v/>
      </c>
      <c r="S31" s="12"/>
      <c r="T31" s="36"/>
      <c r="U31" s="27" t="str">
        <f aca="false">IF(OR(S31="",T31=0),"",IFERROR((S31-K31)*IF(F31="Sell",-1,1)*R31*T31*IF(ISNUMBER(SEARCH("JPY",E31)),1000,IF(ISNUMBER(SEARCH("XAU",E31)),100,IF(OR(ISNUMBER(SEARCH("30",E31)),ISNUMBER(SEARCH("500",E31)),ISNUMBER(SEARCH("100",E31))),100,100000))),0))</f>
        <v/>
      </c>
      <c r="V31" s="12"/>
      <c r="W31" s="36"/>
      <c r="X31" s="27" t="str">
        <f aca="false">IF(OR(V31="",W31=0),"",IFERROR((V31-K31)*IF(F31="Sell",-1,1)*R31*W31*IF(ISNUMBER(SEARCH("JPY",E31)),1000,IF(ISNUMBER(SEARCH("XAU",E31)),100,IF(OR(ISNUMBER(SEARCH("30",E31)),ISNUMBER(SEARCH("500",E31)),ISNUMBER(SEARCH("100",E31))),100,100000))),0))</f>
        <v/>
      </c>
      <c r="Y31" s="12"/>
      <c r="Z31" s="36"/>
      <c r="AA31" s="27" t="str">
        <f aca="false">IF(OR(Y31="",Z31=0),"",IFERROR((Y31-K31)*IF(F31="Sell",-1,1)*R31*Z31*IF(ISNUMBER(SEARCH("JPY",E31)),1000,IF(ISNUMBER(SEARCH("XAU",E31)),100,IF(OR(ISNUMBER(SEARCH("30",E31)),ISNUMBER(SEARCH("500",E31)),ISNUMBER(SEARCH("100",E31))),100,100000))),0))</f>
        <v/>
      </c>
      <c r="AB31" s="12"/>
      <c r="AC31" s="29" t="str">
        <f aca="false">IF(K31="","",1-IFERROR(T31,0)-IFERROR(W31,0)-IFERROR(Z31,0))</f>
        <v/>
      </c>
      <c r="AD31" s="30" t="str">
        <f aca="false">IF(AB31="","",IFERROR((IFERROR(S31*T31,0)+IFERROR(V31*W31,0)+IFERROR(Y31*Z31,0)+AB31*AC31)/(IFERROR(T31,0)+IFERROR(W31,0)+IFERROR(Z31,0)+AC31),AB31))</f>
        <v/>
      </c>
      <c r="AE31" s="27" t="str">
        <f aca="false">IF(AB31="","",IF(U31="",0,U31)+IF(X31="",0,X31)+IF(AA31="",0,AA31)+IFERROR((AB31-K31)*IF(F31="Sell",-1,1)*R31*AC31*IF(ISNUMBER(SEARCH("JPY",E31)),1000,IF(ISNUMBER(SEARCH("XAU",E31)),100,IF(OR(ISNUMBER(SEARCH("30",E31)),ISNUMBER(SEARCH("500",E31)),ISNUMBER(SEARCH("100",E31))),100,100000))),0))</f>
        <v/>
      </c>
      <c r="AF31" s="31" t="str">
        <f aca="false">IF(OR(K31="",M31="",L31=""),"",IFERROR(ABS(M31-K31)/ABS(K31-L31),0))</f>
        <v/>
      </c>
      <c r="AG31" s="31" t="str">
        <f aca="false">IF(OR(AE31="",AE31=0,Q31=0,Q31=""),"",IFERROR(AE31/Q31,0))</f>
        <v/>
      </c>
      <c r="AH31" s="32" t="str">
        <f aca="false">IF(AB31="","Open",IF(AG31="","Open",IF(AG31&gt;0.1,"Win",IF(AG31&lt;-0.1,"Loss","Breakeven"))))</f>
        <v>Open</v>
      </c>
      <c r="AI31" s="33" t="str">
        <f aca="false">IF(OR(B31="",D31=""),"",D31-B31)</f>
        <v/>
      </c>
      <c r="AJ31" s="24" t="str">
        <f aca="false">IF(AD31="","",IFERROR((AD31-K31)*IF(F31="Sell",-1,1)/IF(ISNUMBER(SEARCH("JPY",E31)),0.01,IF(ISNUMBER(SEARCH("XAU",E31)),0.01,IF(OR(ISNUMBER(SEARCH("30",E31)),ISNUMBER(SEARCH("500",E31)),ISNUMBER(SEARCH("100",E31))),1,0.0001))),0))</f>
        <v/>
      </c>
      <c r="AK31" s="12"/>
      <c r="AL31" s="12"/>
      <c r="AM31" s="12"/>
      <c r="AN31" s="12"/>
      <c r="AO31" s="27" t="str">
        <f aca="false">IF(AE31="","",IFERROR(IF(AO30="",SETTINGS!$B$6,AO30),SETTINGS!$B$6)+IF(AE31="",0,AE31))</f>
        <v/>
      </c>
      <c r="AP31" s="2"/>
    </row>
    <row r="32" customFormat="false" ht="15" hidden="false" customHeight="false" outlineLevel="0" collapsed="false">
      <c r="A32" s="24" t="str">
        <f aca="false">IF(B32="","",ROW()-3)</f>
        <v/>
      </c>
      <c r="B32" s="25"/>
      <c r="C32" s="10"/>
      <c r="D32" s="2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6"/>
      <c r="P32" s="24" t="str">
        <f aca="false">IF(K32="","",IFERROR(ABS(K32-L32)/IF(ISNUMBER(SEARCH("JPY",E32)),0.01,IF(ISNUMBER(SEARCH("XAU",E32)),0.01,IF(OR(ISNUMBER(SEARCH("30",E32)),ISNUMBER(SEARCH("500",E32)),ISNUMBER(SEARCH("100",E32))),1,0.0001))),0))</f>
        <v/>
      </c>
      <c r="Q32" s="27" t="str">
        <f aca="false">IF(K32="","",SETTINGS!$B$6*O32)</f>
        <v/>
      </c>
      <c r="R32" s="24" t="str">
        <f aca="false">IF(K32="","",IFERROR(Q32/(P32*IF(ISNUMBER(SEARCH("JPY",E32)),9.09,IF(ISNUMBER(SEARCH("XAU",E32)),1,IF(OR(ISNUMBER(SEARCH("30",E32)),ISNUMBER(SEARCH("500",E32)),ISNUMBER(SEARCH("100",E32))),1,10)))),0))</f>
        <v/>
      </c>
      <c r="S32" s="10"/>
      <c r="T32" s="28"/>
      <c r="U32" s="27" t="str">
        <f aca="false">IF(OR(S32="",T32=0),"",IFERROR((S32-K32)*IF(F32="Sell",-1,1)*R32*T32*IF(ISNUMBER(SEARCH("JPY",E32)),1000,IF(ISNUMBER(SEARCH("XAU",E32)),100,IF(OR(ISNUMBER(SEARCH("30",E32)),ISNUMBER(SEARCH("500",E32)),ISNUMBER(SEARCH("100",E32))),100,100000))),0))</f>
        <v/>
      </c>
      <c r="V32" s="10"/>
      <c r="W32" s="28"/>
      <c r="X32" s="27" t="str">
        <f aca="false">IF(OR(V32="",W32=0),"",IFERROR((V32-K32)*IF(F32="Sell",-1,1)*R32*W32*IF(ISNUMBER(SEARCH("JPY",E32)),1000,IF(ISNUMBER(SEARCH("XAU",E32)),100,IF(OR(ISNUMBER(SEARCH("30",E32)),ISNUMBER(SEARCH("500",E32)),ISNUMBER(SEARCH("100",E32))),100,100000))),0))</f>
        <v/>
      </c>
      <c r="Y32" s="10"/>
      <c r="Z32" s="28"/>
      <c r="AA32" s="27" t="str">
        <f aca="false">IF(OR(Y32="",Z32=0),"",IFERROR((Y32-K32)*IF(F32="Sell",-1,1)*R32*Z32*IF(ISNUMBER(SEARCH("JPY",E32)),1000,IF(ISNUMBER(SEARCH("XAU",E32)),100,IF(OR(ISNUMBER(SEARCH("30",E32)),ISNUMBER(SEARCH("500",E32)),ISNUMBER(SEARCH("100",E32))),100,100000))),0))</f>
        <v/>
      </c>
      <c r="AB32" s="10"/>
      <c r="AC32" s="29" t="str">
        <f aca="false">IF(K32="","",1-IFERROR(T32,0)-IFERROR(W32,0)-IFERROR(Z32,0))</f>
        <v/>
      </c>
      <c r="AD32" s="30" t="str">
        <f aca="false">IF(AB32="","",IFERROR((IFERROR(S32*T32,0)+IFERROR(V32*W32,0)+IFERROR(Y32*Z32,0)+AB32*AC32)/(IFERROR(T32,0)+IFERROR(W32,0)+IFERROR(Z32,0)+AC32),AB32))</f>
        <v/>
      </c>
      <c r="AE32" s="27" t="str">
        <f aca="false">IF(AB32="","",IF(U32="",0,U32)+IF(X32="",0,X32)+IF(AA32="",0,AA32)+IFERROR((AB32-K32)*IF(F32="Sell",-1,1)*R32*AC32*IF(ISNUMBER(SEARCH("JPY",E32)),1000,IF(ISNUMBER(SEARCH("XAU",E32)),100,IF(OR(ISNUMBER(SEARCH("30",E32)),ISNUMBER(SEARCH("500",E32)),ISNUMBER(SEARCH("100",E32))),100,100000))),0))</f>
        <v/>
      </c>
      <c r="AF32" s="31" t="str">
        <f aca="false">IF(OR(K32="",M32="",L32=""),"",IFERROR(ABS(M32-K32)/ABS(K32-L32),0))</f>
        <v/>
      </c>
      <c r="AG32" s="31" t="str">
        <f aca="false">IF(OR(AE32="",AE32=0,Q32=0,Q32=""),"",IFERROR(AE32/Q32,0))</f>
        <v/>
      </c>
      <c r="AH32" s="32" t="str">
        <f aca="false">IF(AB32="","Open",IF(AG32="","Open",IF(AG32&gt;0.1,"Win",IF(AG32&lt;-0.1,"Loss","Breakeven"))))</f>
        <v>Open</v>
      </c>
      <c r="AI32" s="33" t="str">
        <f aca="false">IF(OR(B32="",D32=""),"",D32-B32)</f>
        <v/>
      </c>
      <c r="AJ32" s="24" t="str">
        <f aca="false">IF(AD32="","",IFERROR((AD32-K32)*IF(F32="Sell",-1,1)/IF(ISNUMBER(SEARCH("JPY",E32)),0.01,IF(ISNUMBER(SEARCH("XAU",E32)),0.01,IF(OR(ISNUMBER(SEARCH("30",E32)),ISNUMBER(SEARCH("500",E32)),ISNUMBER(SEARCH("100",E32))),1,0.0001))),0))</f>
        <v/>
      </c>
      <c r="AK32" s="10"/>
      <c r="AL32" s="10"/>
      <c r="AM32" s="10"/>
      <c r="AN32" s="10"/>
      <c r="AO32" s="27" t="str">
        <f aca="false">IF(AE32="","",IFERROR(IF(AO31="",SETTINGS!$B$6,AO31),SETTINGS!$B$6)+IF(AE32="",0,AE32))</f>
        <v/>
      </c>
      <c r="AP32" s="2"/>
    </row>
    <row r="33" customFormat="false" ht="15" hidden="false" customHeight="false" outlineLevel="0" collapsed="false">
      <c r="A33" s="24" t="str">
        <f aca="false">IF(B33="","",ROW()-3)</f>
        <v/>
      </c>
      <c r="B33" s="34"/>
      <c r="C33" s="12"/>
      <c r="D33" s="34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35"/>
      <c r="P33" s="24" t="str">
        <f aca="false">IF(K33="","",IFERROR(ABS(K33-L33)/IF(ISNUMBER(SEARCH("JPY",E33)),0.01,IF(ISNUMBER(SEARCH("XAU",E33)),0.01,IF(OR(ISNUMBER(SEARCH("30",E33)),ISNUMBER(SEARCH("500",E33)),ISNUMBER(SEARCH("100",E33))),1,0.0001))),0))</f>
        <v/>
      </c>
      <c r="Q33" s="27" t="str">
        <f aca="false">IF(K33="","",SETTINGS!$B$6*O33)</f>
        <v/>
      </c>
      <c r="R33" s="24" t="str">
        <f aca="false">IF(K33="","",IFERROR(Q33/(P33*IF(ISNUMBER(SEARCH("JPY",E33)),9.09,IF(ISNUMBER(SEARCH("XAU",E33)),1,IF(OR(ISNUMBER(SEARCH("30",E33)),ISNUMBER(SEARCH("500",E33)),ISNUMBER(SEARCH("100",E33))),1,10)))),0))</f>
        <v/>
      </c>
      <c r="S33" s="12"/>
      <c r="T33" s="36"/>
      <c r="U33" s="27" t="str">
        <f aca="false">IF(OR(S33="",T33=0),"",IFERROR((S33-K33)*IF(F33="Sell",-1,1)*R33*T33*IF(ISNUMBER(SEARCH("JPY",E33)),1000,IF(ISNUMBER(SEARCH("XAU",E33)),100,IF(OR(ISNUMBER(SEARCH("30",E33)),ISNUMBER(SEARCH("500",E33)),ISNUMBER(SEARCH("100",E33))),100,100000))),0))</f>
        <v/>
      </c>
      <c r="V33" s="12"/>
      <c r="W33" s="36"/>
      <c r="X33" s="27" t="str">
        <f aca="false">IF(OR(V33="",W33=0),"",IFERROR((V33-K33)*IF(F33="Sell",-1,1)*R33*W33*IF(ISNUMBER(SEARCH("JPY",E33)),1000,IF(ISNUMBER(SEARCH("XAU",E33)),100,IF(OR(ISNUMBER(SEARCH("30",E33)),ISNUMBER(SEARCH("500",E33)),ISNUMBER(SEARCH("100",E33))),100,100000))),0))</f>
        <v/>
      </c>
      <c r="Y33" s="12"/>
      <c r="Z33" s="36"/>
      <c r="AA33" s="27" t="str">
        <f aca="false">IF(OR(Y33="",Z33=0),"",IFERROR((Y33-K33)*IF(F33="Sell",-1,1)*R33*Z33*IF(ISNUMBER(SEARCH("JPY",E33)),1000,IF(ISNUMBER(SEARCH("XAU",E33)),100,IF(OR(ISNUMBER(SEARCH("30",E33)),ISNUMBER(SEARCH("500",E33)),ISNUMBER(SEARCH("100",E33))),100,100000))),0))</f>
        <v/>
      </c>
      <c r="AB33" s="12"/>
      <c r="AC33" s="29" t="str">
        <f aca="false">IF(K33="","",1-IFERROR(T33,0)-IFERROR(W33,0)-IFERROR(Z33,0))</f>
        <v/>
      </c>
      <c r="AD33" s="30" t="str">
        <f aca="false">IF(AB33="","",IFERROR((IFERROR(S33*T33,0)+IFERROR(V33*W33,0)+IFERROR(Y33*Z33,0)+AB33*AC33)/(IFERROR(T33,0)+IFERROR(W33,0)+IFERROR(Z33,0)+AC33),AB33))</f>
        <v/>
      </c>
      <c r="AE33" s="27" t="str">
        <f aca="false">IF(AB33="","",IF(U33="",0,U33)+IF(X33="",0,X33)+IF(AA33="",0,AA33)+IFERROR((AB33-K33)*IF(F33="Sell",-1,1)*R33*AC33*IF(ISNUMBER(SEARCH("JPY",E33)),1000,IF(ISNUMBER(SEARCH("XAU",E33)),100,IF(OR(ISNUMBER(SEARCH("30",E33)),ISNUMBER(SEARCH("500",E33)),ISNUMBER(SEARCH("100",E33))),100,100000))),0))</f>
        <v/>
      </c>
      <c r="AF33" s="31" t="str">
        <f aca="false">IF(OR(K33="",M33="",L33=""),"",IFERROR(ABS(M33-K33)/ABS(K33-L33),0))</f>
        <v/>
      </c>
      <c r="AG33" s="31" t="str">
        <f aca="false">IF(OR(AE33="",AE33=0,Q33=0,Q33=""),"",IFERROR(AE33/Q33,0))</f>
        <v/>
      </c>
      <c r="AH33" s="32" t="str">
        <f aca="false">IF(AB33="","Open",IF(AG33="","Open",IF(AG33&gt;0.1,"Win",IF(AG33&lt;-0.1,"Loss","Breakeven"))))</f>
        <v>Open</v>
      </c>
      <c r="AI33" s="33" t="str">
        <f aca="false">IF(OR(B33="",D33=""),"",D33-B33)</f>
        <v/>
      </c>
      <c r="AJ33" s="24" t="str">
        <f aca="false">IF(AD33="","",IFERROR((AD33-K33)*IF(F33="Sell",-1,1)/IF(ISNUMBER(SEARCH("JPY",E33)),0.01,IF(ISNUMBER(SEARCH("XAU",E33)),0.01,IF(OR(ISNUMBER(SEARCH("30",E33)),ISNUMBER(SEARCH("500",E33)),ISNUMBER(SEARCH("100",E33))),1,0.0001))),0))</f>
        <v/>
      </c>
      <c r="AK33" s="12"/>
      <c r="AL33" s="12"/>
      <c r="AM33" s="12"/>
      <c r="AN33" s="12"/>
      <c r="AO33" s="27" t="str">
        <f aca="false">IF(AE33="","",IFERROR(IF(AO32="",SETTINGS!$B$6,AO32),SETTINGS!$B$6)+IF(AE33="",0,AE33))</f>
        <v/>
      </c>
      <c r="AP33" s="2"/>
    </row>
    <row r="34" customFormat="false" ht="15" hidden="false" customHeight="false" outlineLevel="0" collapsed="false">
      <c r="A34" s="24" t="str">
        <f aca="false">IF(B34="","",ROW()-3)</f>
        <v/>
      </c>
      <c r="B34" s="25"/>
      <c r="C34" s="10"/>
      <c r="D34" s="2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26"/>
      <c r="P34" s="24" t="str">
        <f aca="false">IF(K34="","",IFERROR(ABS(K34-L34)/IF(ISNUMBER(SEARCH("JPY",E34)),0.01,IF(ISNUMBER(SEARCH("XAU",E34)),0.01,IF(OR(ISNUMBER(SEARCH("30",E34)),ISNUMBER(SEARCH("500",E34)),ISNUMBER(SEARCH("100",E34))),1,0.0001))),0))</f>
        <v/>
      </c>
      <c r="Q34" s="27" t="str">
        <f aca="false">IF(K34="","",SETTINGS!$B$6*O34)</f>
        <v/>
      </c>
      <c r="R34" s="24" t="str">
        <f aca="false">IF(K34="","",IFERROR(Q34/(P34*IF(ISNUMBER(SEARCH("JPY",E34)),9.09,IF(ISNUMBER(SEARCH("XAU",E34)),1,IF(OR(ISNUMBER(SEARCH("30",E34)),ISNUMBER(SEARCH("500",E34)),ISNUMBER(SEARCH("100",E34))),1,10)))),0))</f>
        <v/>
      </c>
      <c r="S34" s="10"/>
      <c r="T34" s="28"/>
      <c r="U34" s="27" t="str">
        <f aca="false">IF(OR(S34="",T34=0),"",IFERROR((S34-K34)*IF(F34="Sell",-1,1)*R34*T34*IF(ISNUMBER(SEARCH("JPY",E34)),1000,IF(ISNUMBER(SEARCH("XAU",E34)),100,IF(OR(ISNUMBER(SEARCH("30",E34)),ISNUMBER(SEARCH("500",E34)),ISNUMBER(SEARCH("100",E34))),100,100000))),0))</f>
        <v/>
      </c>
      <c r="V34" s="10"/>
      <c r="W34" s="28"/>
      <c r="X34" s="27" t="str">
        <f aca="false">IF(OR(V34="",W34=0),"",IFERROR((V34-K34)*IF(F34="Sell",-1,1)*R34*W34*IF(ISNUMBER(SEARCH("JPY",E34)),1000,IF(ISNUMBER(SEARCH("XAU",E34)),100,IF(OR(ISNUMBER(SEARCH("30",E34)),ISNUMBER(SEARCH("500",E34)),ISNUMBER(SEARCH("100",E34))),100,100000))),0))</f>
        <v/>
      </c>
      <c r="Y34" s="10"/>
      <c r="Z34" s="28"/>
      <c r="AA34" s="27" t="str">
        <f aca="false">IF(OR(Y34="",Z34=0),"",IFERROR((Y34-K34)*IF(F34="Sell",-1,1)*R34*Z34*IF(ISNUMBER(SEARCH("JPY",E34)),1000,IF(ISNUMBER(SEARCH("XAU",E34)),100,IF(OR(ISNUMBER(SEARCH("30",E34)),ISNUMBER(SEARCH("500",E34)),ISNUMBER(SEARCH("100",E34))),100,100000))),0))</f>
        <v/>
      </c>
      <c r="AB34" s="10"/>
      <c r="AC34" s="29" t="str">
        <f aca="false">IF(K34="","",1-IFERROR(T34,0)-IFERROR(W34,0)-IFERROR(Z34,0))</f>
        <v/>
      </c>
      <c r="AD34" s="30" t="str">
        <f aca="false">IF(AB34="","",IFERROR((IFERROR(S34*T34,0)+IFERROR(V34*W34,0)+IFERROR(Y34*Z34,0)+AB34*AC34)/(IFERROR(T34,0)+IFERROR(W34,0)+IFERROR(Z34,0)+AC34),AB34))</f>
        <v/>
      </c>
      <c r="AE34" s="27" t="str">
        <f aca="false">IF(AB34="","",IF(U34="",0,U34)+IF(X34="",0,X34)+IF(AA34="",0,AA34)+IFERROR((AB34-K34)*IF(F34="Sell",-1,1)*R34*AC34*IF(ISNUMBER(SEARCH("JPY",E34)),1000,IF(ISNUMBER(SEARCH("XAU",E34)),100,IF(OR(ISNUMBER(SEARCH("30",E34)),ISNUMBER(SEARCH("500",E34)),ISNUMBER(SEARCH("100",E34))),100,100000))),0))</f>
        <v/>
      </c>
      <c r="AF34" s="31" t="str">
        <f aca="false">IF(OR(K34="",M34="",L34=""),"",IFERROR(ABS(M34-K34)/ABS(K34-L34),0))</f>
        <v/>
      </c>
      <c r="AG34" s="31" t="str">
        <f aca="false">IF(OR(AE34="",AE34=0,Q34=0,Q34=""),"",IFERROR(AE34/Q34,0))</f>
        <v/>
      </c>
      <c r="AH34" s="32" t="str">
        <f aca="false">IF(AB34="","Open",IF(AG34="","Open",IF(AG34&gt;0.1,"Win",IF(AG34&lt;-0.1,"Loss","Breakeven"))))</f>
        <v>Open</v>
      </c>
      <c r="AI34" s="33" t="str">
        <f aca="false">IF(OR(B34="",D34=""),"",D34-B34)</f>
        <v/>
      </c>
      <c r="AJ34" s="24" t="str">
        <f aca="false">IF(AD34="","",IFERROR((AD34-K34)*IF(F34="Sell",-1,1)/IF(ISNUMBER(SEARCH("JPY",E34)),0.01,IF(ISNUMBER(SEARCH("XAU",E34)),0.01,IF(OR(ISNUMBER(SEARCH("30",E34)),ISNUMBER(SEARCH("500",E34)),ISNUMBER(SEARCH("100",E34))),1,0.0001))),0))</f>
        <v/>
      </c>
      <c r="AK34" s="10"/>
      <c r="AL34" s="10"/>
      <c r="AM34" s="10"/>
      <c r="AN34" s="10"/>
      <c r="AO34" s="27" t="str">
        <f aca="false">IF(AE34="","",IFERROR(IF(AO33="",SETTINGS!$B$6,AO33),SETTINGS!$B$6)+IF(AE34="",0,AE34))</f>
        <v/>
      </c>
      <c r="AP34" s="2"/>
    </row>
    <row r="35" customFormat="false" ht="15" hidden="false" customHeight="false" outlineLevel="0" collapsed="false">
      <c r="A35" s="24" t="str">
        <f aca="false">IF(B35="","",ROW()-3)</f>
        <v/>
      </c>
      <c r="B35" s="34"/>
      <c r="C35" s="12"/>
      <c r="D35" s="34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35"/>
      <c r="P35" s="24" t="str">
        <f aca="false">IF(K35="","",IFERROR(ABS(K35-L35)/IF(ISNUMBER(SEARCH("JPY",E35)),0.01,IF(ISNUMBER(SEARCH("XAU",E35)),0.01,IF(OR(ISNUMBER(SEARCH("30",E35)),ISNUMBER(SEARCH("500",E35)),ISNUMBER(SEARCH("100",E35))),1,0.0001))),0))</f>
        <v/>
      </c>
      <c r="Q35" s="27" t="str">
        <f aca="false">IF(K35="","",SETTINGS!$B$6*O35)</f>
        <v/>
      </c>
      <c r="R35" s="24" t="str">
        <f aca="false">IF(K35="","",IFERROR(Q35/(P35*IF(ISNUMBER(SEARCH("JPY",E35)),9.09,IF(ISNUMBER(SEARCH("XAU",E35)),1,IF(OR(ISNUMBER(SEARCH("30",E35)),ISNUMBER(SEARCH("500",E35)),ISNUMBER(SEARCH("100",E35))),1,10)))),0))</f>
        <v/>
      </c>
      <c r="S35" s="12"/>
      <c r="T35" s="36"/>
      <c r="U35" s="27" t="str">
        <f aca="false">IF(OR(S35="",T35=0),"",IFERROR((S35-K35)*IF(F35="Sell",-1,1)*R35*T35*IF(ISNUMBER(SEARCH("JPY",E35)),1000,IF(ISNUMBER(SEARCH("XAU",E35)),100,IF(OR(ISNUMBER(SEARCH("30",E35)),ISNUMBER(SEARCH("500",E35)),ISNUMBER(SEARCH("100",E35))),100,100000))),0))</f>
        <v/>
      </c>
      <c r="V35" s="12"/>
      <c r="W35" s="36"/>
      <c r="X35" s="27" t="str">
        <f aca="false">IF(OR(V35="",W35=0),"",IFERROR((V35-K35)*IF(F35="Sell",-1,1)*R35*W35*IF(ISNUMBER(SEARCH("JPY",E35)),1000,IF(ISNUMBER(SEARCH("XAU",E35)),100,IF(OR(ISNUMBER(SEARCH("30",E35)),ISNUMBER(SEARCH("500",E35)),ISNUMBER(SEARCH("100",E35))),100,100000))),0))</f>
        <v/>
      </c>
      <c r="Y35" s="12"/>
      <c r="Z35" s="36"/>
      <c r="AA35" s="27" t="str">
        <f aca="false">IF(OR(Y35="",Z35=0),"",IFERROR((Y35-K35)*IF(F35="Sell",-1,1)*R35*Z35*IF(ISNUMBER(SEARCH("JPY",E35)),1000,IF(ISNUMBER(SEARCH("XAU",E35)),100,IF(OR(ISNUMBER(SEARCH("30",E35)),ISNUMBER(SEARCH("500",E35)),ISNUMBER(SEARCH("100",E35))),100,100000))),0))</f>
        <v/>
      </c>
      <c r="AB35" s="12"/>
      <c r="AC35" s="29" t="str">
        <f aca="false">IF(K35="","",1-IFERROR(T35,0)-IFERROR(W35,0)-IFERROR(Z35,0))</f>
        <v/>
      </c>
      <c r="AD35" s="30" t="str">
        <f aca="false">IF(AB35="","",IFERROR((IFERROR(S35*T35,0)+IFERROR(V35*W35,0)+IFERROR(Y35*Z35,0)+AB35*AC35)/(IFERROR(T35,0)+IFERROR(W35,0)+IFERROR(Z35,0)+AC35),AB35))</f>
        <v/>
      </c>
      <c r="AE35" s="27" t="str">
        <f aca="false">IF(AB35="","",IF(U35="",0,U35)+IF(X35="",0,X35)+IF(AA35="",0,AA35)+IFERROR((AB35-K35)*IF(F35="Sell",-1,1)*R35*AC35*IF(ISNUMBER(SEARCH("JPY",E35)),1000,IF(ISNUMBER(SEARCH("XAU",E35)),100,IF(OR(ISNUMBER(SEARCH("30",E35)),ISNUMBER(SEARCH("500",E35)),ISNUMBER(SEARCH("100",E35))),100,100000))),0))</f>
        <v/>
      </c>
      <c r="AF35" s="31" t="str">
        <f aca="false">IF(OR(K35="",M35="",L35=""),"",IFERROR(ABS(M35-K35)/ABS(K35-L35),0))</f>
        <v/>
      </c>
      <c r="AG35" s="31" t="str">
        <f aca="false">IF(OR(AE35="",AE35=0,Q35=0,Q35=""),"",IFERROR(AE35/Q35,0))</f>
        <v/>
      </c>
      <c r="AH35" s="32" t="str">
        <f aca="false">IF(AB35="","Open",IF(AG35="","Open",IF(AG35&gt;0.1,"Win",IF(AG35&lt;-0.1,"Loss","Breakeven"))))</f>
        <v>Open</v>
      </c>
      <c r="AI35" s="33" t="str">
        <f aca="false">IF(OR(B35="",D35=""),"",D35-B35)</f>
        <v/>
      </c>
      <c r="AJ35" s="24" t="str">
        <f aca="false">IF(AD35="","",IFERROR((AD35-K35)*IF(F35="Sell",-1,1)/IF(ISNUMBER(SEARCH("JPY",E35)),0.01,IF(ISNUMBER(SEARCH("XAU",E35)),0.01,IF(OR(ISNUMBER(SEARCH("30",E35)),ISNUMBER(SEARCH("500",E35)),ISNUMBER(SEARCH("100",E35))),1,0.0001))),0))</f>
        <v/>
      </c>
      <c r="AK35" s="12"/>
      <c r="AL35" s="12"/>
      <c r="AM35" s="12"/>
      <c r="AN35" s="12"/>
      <c r="AO35" s="27" t="str">
        <f aca="false">IF(AE35="","",IFERROR(IF(AO34="",SETTINGS!$B$6,AO34),SETTINGS!$B$6)+IF(AE35="",0,AE35))</f>
        <v/>
      </c>
      <c r="AP35" s="2"/>
    </row>
    <row r="36" customFormat="false" ht="15" hidden="false" customHeight="false" outlineLevel="0" collapsed="false">
      <c r="A36" s="24" t="str">
        <f aca="false">IF(B36="","",ROW()-3)</f>
        <v/>
      </c>
      <c r="B36" s="25"/>
      <c r="C36" s="10"/>
      <c r="D36" s="2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26"/>
      <c r="P36" s="24" t="str">
        <f aca="false">IF(K36="","",IFERROR(ABS(K36-L36)/IF(ISNUMBER(SEARCH("JPY",E36)),0.01,IF(ISNUMBER(SEARCH("XAU",E36)),0.01,IF(OR(ISNUMBER(SEARCH("30",E36)),ISNUMBER(SEARCH("500",E36)),ISNUMBER(SEARCH("100",E36))),1,0.0001))),0))</f>
        <v/>
      </c>
      <c r="Q36" s="27" t="str">
        <f aca="false">IF(K36="","",SETTINGS!$B$6*O36)</f>
        <v/>
      </c>
      <c r="R36" s="24" t="str">
        <f aca="false">IF(K36="","",IFERROR(Q36/(P36*IF(ISNUMBER(SEARCH("JPY",E36)),9.09,IF(ISNUMBER(SEARCH("XAU",E36)),1,IF(OR(ISNUMBER(SEARCH("30",E36)),ISNUMBER(SEARCH("500",E36)),ISNUMBER(SEARCH("100",E36))),1,10)))),0))</f>
        <v/>
      </c>
      <c r="S36" s="10"/>
      <c r="T36" s="28"/>
      <c r="U36" s="27" t="str">
        <f aca="false">IF(OR(S36="",T36=0),"",IFERROR((S36-K36)*IF(F36="Sell",-1,1)*R36*T36*IF(ISNUMBER(SEARCH("JPY",E36)),1000,IF(ISNUMBER(SEARCH("XAU",E36)),100,IF(OR(ISNUMBER(SEARCH("30",E36)),ISNUMBER(SEARCH("500",E36)),ISNUMBER(SEARCH("100",E36))),100,100000))),0))</f>
        <v/>
      </c>
      <c r="V36" s="10"/>
      <c r="W36" s="28"/>
      <c r="X36" s="27" t="str">
        <f aca="false">IF(OR(V36="",W36=0),"",IFERROR((V36-K36)*IF(F36="Sell",-1,1)*R36*W36*IF(ISNUMBER(SEARCH("JPY",E36)),1000,IF(ISNUMBER(SEARCH("XAU",E36)),100,IF(OR(ISNUMBER(SEARCH("30",E36)),ISNUMBER(SEARCH("500",E36)),ISNUMBER(SEARCH("100",E36))),100,100000))),0))</f>
        <v/>
      </c>
      <c r="Y36" s="10"/>
      <c r="Z36" s="28"/>
      <c r="AA36" s="27" t="str">
        <f aca="false">IF(OR(Y36="",Z36=0),"",IFERROR((Y36-K36)*IF(F36="Sell",-1,1)*R36*Z36*IF(ISNUMBER(SEARCH("JPY",E36)),1000,IF(ISNUMBER(SEARCH("XAU",E36)),100,IF(OR(ISNUMBER(SEARCH("30",E36)),ISNUMBER(SEARCH("500",E36)),ISNUMBER(SEARCH("100",E36))),100,100000))),0))</f>
        <v/>
      </c>
      <c r="AB36" s="10"/>
      <c r="AC36" s="29" t="str">
        <f aca="false">IF(K36="","",1-IFERROR(T36,0)-IFERROR(W36,0)-IFERROR(Z36,0))</f>
        <v/>
      </c>
      <c r="AD36" s="30" t="str">
        <f aca="false">IF(AB36="","",IFERROR((IFERROR(S36*T36,0)+IFERROR(V36*W36,0)+IFERROR(Y36*Z36,0)+AB36*AC36)/(IFERROR(T36,0)+IFERROR(W36,0)+IFERROR(Z36,0)+AC36),AB36))</f>
        <v/>
      </c>
      <c r="AE36" s="27" t="str">
        <f aca="false">IF(AB36="","",IF(U36="",0,U36)+IF(X36="",0,X36)+IF(AA36="",0,AA36)+IFERROR((AB36-K36)*IF(F36="Sell",-1,1)*R36*AC36*IF(ISNUMBER(SEARCH("JPY",E36)),1000,IF(ISNUMBER(SEARCH("XAU",E36)),100,IF(OR(ISNUMBER(SEARCH("30",E36)),ISNUMBER(SEARCH("500",E36)),ISNUMBER(SEARCH("100",E36))),100,100000))),0))</f>
        <v/>
      </c>
      <c r="AF36" s="31" t="str">
        <f aca="false">IF(OR(K36="",M36="",L36=""),"",IFERROR(ABS(M36-K36)/ABS(K36-L36),0))</f>
        <v/>
      </c>
      <c r="AG36" s="31" t="str">
        <f aca="false">IF(OR(AE36="",AE36=0,Q36=0,Q36=""),"",IFERROR(AE36/Q36,0))</f>
        <v/>
      </c>
      <c r="AH36" s="32" t="str">
        <f aca="false">IF(AB36="","Open",IF(AG36="","Open",IF(AG36&gt;0.1,"Win",IF(AG36&lt;-0.1,"Loss","Breakeven"))))</f>
        <v>Open</v>
      </c>
      <c r="AI36" s="33" t="str">
        <f aca="false">IF(OR(B36="",D36=""),"",D36-B36)</f>
        <v/>
      </c>
      <c r="AJ36" s="24" t="str">
        <f aca="false">IF(AD36="","",IFERROR((AD36-K36)*IF(F36="Sell",-1,1)/IF(ISNUMBER(SEARCH("JPY",E36)),0.01,IF(ISNUMBER(SEARCH("XAU",E36)),0.01,IF(OR(ISNUMBER(SEARCH("30",E36)),ISNUMBER(SEARCH("500",E36)),ISNUMBER(SEARCH("100",E36))),1,0.0001))),0))</f>
        <v/>
      </c>
      <c r="AK36" s="10"/>
      <c r="AL36" s="10"/>
      <c r="AM36" s="10"/>
      <c r="AN36" s="10"/>
      <c r="AO36" s="27" t="str">
        <f aca="false">IF(AE36="","",IFERROR(IF(AO35="",SETTINGS!$B$6,AO35),SETTINGS!$B$6)+IF(AE36="",0,AE36))</f>
        <v/>
      </c>
      <c r="AP36" s="2"/>
    </row>
    <row r="37" customFormat="false" ht="15" hidden="false" customHeight="false" outlineLevel="0" collapsed="false">
      <c r="A37" s="24" t="str">
        <f aca="false">IF(B37="","",ROW()-3)</f>
        <v/>
      </c>
      <c r="B37" s="34"/>
      <c r="C37" s="12"/>
      <c r="D37" s="34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35"/>
      <c r="P37" s="24" t="str">
        <f aca="false">IF(K37="","",IFERROR(ABS(K37-L37)/IF(ISNUMBER(SEARCH("JPY",E37)),0.01,IF(ISNUMBER(SEARCH("XAU",E37)),0.01,IF(OR(ISNUMBER(SEARCH("30",E37)),ISNUMBER(SEARCH("500",E37)),ISNUMBER(SEARCH("100",E37))),1,0.0001))),0))</f>
        <v/>
      </c>
      <c r="Q37" s="27" t="str">
        <f aca="false">IF(K37="","",SETTINGS!$B$6*O37)</f>
        <v/>
      </c>
      <c r="R37" s="24" t="str">
        <f aca="false">IF(K37="","",IFERROR(Q37/(P37*IF(ISNUMBER(SEARCH("JPY",E37)),9.09,IF(ISNUMBER(SEARCH("XAU",E37)),1,IF(OR(ISNUMBER(SEARCH("30",E37)),ISNUMBER(SEARCH("500",E37)),ISNUMBER(SEARCH("100",E37))),1,10)))),0))</f>
        <v/>
      </c>
      <c r="S37" s="12"/>
      <c r="T37" s="36"/>
      <c r="U37" s="27" t="str">
        <f aca="false">IF(OR(S37="",T37=0),"",IFERROR((S37-K37)*IF(F37="Sell",-1,1)*R37*T37*IF(ISNUMBER(SEARCH("JPY",E37)),1000,IF(ISNUMBER(SEARCH("XAU",E37)),100,IF(OR(ISNUMBER(SEARCH("30",E37)),ISNUMBER(SEARCH("500",E37)),ISNUMBER(SEARCH("100",E37))),100,100000))),0))</f>
        <v/>
      </c>
      <c r="V37" s="12"/>
      <c r="W37" s="36"/>
      <c r="X37" s="27" t="str">
        <f aca="false">IF(OR(V37="",W37=0),"",IFERROR((V37-K37)*IF(F37="Sell",-1,1)*R37*W37*IF(ISNUMBER(SEARCH("JPY",E37)),1000,IF(ISNUMBER(SEARCH("XAU",E37)),100,IF(OR(ISNUMBER(SEARCH("30",E37)),ISNUMBER(SEARCH("500",E37)),ISNUMBER(SEARCH("100",E37))),100,100000))),0))</f>
        <v/>
      </c>
      <c r="Y37" s="12"/>
      <c r="Z37" s="36"/>
      <c r="AA37" s="27" t="str">
        <f aca="false">IF(OR(Y37="",Z37=0),"",IFERROR((Y37-K37)*IF(F37="Sell",-1,1)*R37*Z37*IF(ISNUMBER(SEARCH("JPY",E37)),1000,IF(ISNUMBER(SEARCH("XAU",E37)),100,IF(OR(ISNUMBER(SEARCH("30",E37)),ISNUMBER(SEARCH("500",E37)),ISNUMBER(SEARCH("100",E37))),100,100000))),0))</f>
        <v/>
      </c>
      <c r="AB37" s="12"/>
      <c r="AC37" s="29" t="str">
        <f aca="false">IF(K37="","",1-IFERROR(T37,0)-IFERROR(W37,0)-IFERROR(Z37,0))</f>
        <v/>
      </c>
      <c r="AD37" s="30" t="str">
        <f aca="false">IF(AB37="","",IFERROR((IFERROR(S37*T37,0)+IFERROR(V37*W37,0)+IFERROR(Y37*Z37,0)+AB37*AC37)/(IFERROR(T37,0)+IFERROR(W37,0)+IFERROR(Z37,0)+AC37),AB37))</f>
        <v/>
      </c>
      <c r="AE37" s="27" t="str">
        <f aca="false">IF(AB37="","",IF(U37="",0,U37)+IF(X37="",0,X37)+IF(AA37="",0,AA37)+IFERROR((AB37-K37)*IF(F37="Sell",-1,1)*R37*AC37*IF(ISNUMBER(SEARCH("JPY",E37)),1000,IF(ISNUMBER(SEARCH("XAU",E37)),100,IF(OR(ISNUMBER(SEARCH("30",E37)),ISNUMBER(SEARCH("500",E37)),ISNUMBER(SEARCH("100",E37))),100,100000))),0))</f>
        <v/>
      </c>
      <c r="AF37" s="31" t="str">
        <f aca="false">IF(OR(K37="",M37="",L37=""),"",IFERROR(ABS(M37-K37)/ABS(K37-L37),0))</f>
        <v/>
      </c>
      <c r="AG37" s="31" t="str">
        <f aca="false">IF(OR(AE37="",AE37=0,Q37=0,Q37=""),"",IFERROR(AE37/Q37,0))</f>
        <v/>
      </c>
      <c r="AH37" s="32" t="str">
        <f aca="false">IF(AB37="","Open",IF(AG37="","Open",IF(AG37&gt;0.1,"Win",IF(AG37&lt;-0.1,"Loss","Breakeven"))))</f>
        <v>Open</v>
      </c>
      <c r="AI37" s="33" t="str">
        <f aca="false">IF(OR(B37="",D37=""),"",D37-B37)</f>
        <v/>
      </c>
      <c r="AJ37" s="24" t="str">
        <f aca="false">IF(AD37="","",IFERROR((AD37-K37)*IF(F37="Sell",-1,1)/IF(ISNUMBER(SEARCH("JPY",E37)),0.01,IF(ISNUMBER(SEARCH("XAU",E37)),0.01,IF(OR(ISNUMBER(SEARCH("30",E37)),ISNUMBER(SEARCH("500",E37)),ISNUMBER(SEARCH("100",E37))),1,0.0001))),0))</f>
        <v/>
      </c>
      <c r="AK37" s="12"/>
      <c r="AL37" s="12"/>
      <c r="AM37" s="12"/>
      <c r="AN37" s="12"/>
      <c r="AO37" s="27" t="str">
        <f aca="false">IF(AE37="","",IFERROR(IF(AO36="",SETTINGS!$B$6,AO36),SETTINGS!$B$6)+IF(AE37="",0,AE37))</f>
        <v/>
      </c>
      <c r="AP37" s="2"/>
    </row>
    <row r="38" customFormat="false" ht="15" hidden="false" customHeight="false" outlineLevel="0" collapsed="false">
      <c r="A38" s="24" t="str">
        <f aca="false">IF(B38="","",ROW()-3)</f>
        <v/>
      </c>
      <c r="B38" s="25"/>
      <c r="C38" s="10"/>
      <c r="D38" s="2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26"/>
      <c r="P38" s="24" t="str">
        <f aca="false">IF(K38="","",IFERROR(ABS(K38-L38)/IF(ISNUMBER(SEARCH("JPY",E38)),0.01,IF(ISNUMBER(SEARCH("XAU",E38)),0.01,IF(OR(ISNUMBER(SEARCH("30",E38)),ISNUMBER(SEARCH("500",E38)),ISNUMBER(SEARCH("100",E38))),1,0.0001))),0))</f>
        <v/>
      </c>
      <c r="Q38" s="27" t="str">
        <f aca="false">IF(K38="","",SETTINGS!$B$6*O38)</f>
        <v/>
      </c>
      <c r="R38" s="24" t="str">
        <f aca="false">IF(K38="","",IFERROR(Q38/(P38*IF(ISNUMBER(SEARCH("JPY",E38)),9.09,IF(ISNUMBER(SEARCH("XAU",E38)),1,IF(OR(ISNUMBER(SEARCH("30",E38)),ISNUMBER(SEARCH("500",E38)),ISNUMBER(SEARCH("100",E38))),1,10)))),0))</f>
        <v/>
      </c>
      <c r="S38" s="10"/>
      <c r="T38" s="28"/>
      <c r="U38" s="27" t="str">
        <f aca="false">IF(OR(S38="",T38=0),"",IFERROR((S38-K38)*IF(F38="Sell",-1,1)*R38*T38*IF(ISNUMBER(SEARCH("JPY",E38)),1000,IF(ISNUMBER(SEARCH("XAU",E38)),100,IF(OR(ISNUMBER(SEARCH("30",E38)),ISNUMBER(SEARCH("500",E38)),ISNUMBER(SEARCH("100",E38))),100,100000))),0))</f>
        <v/>
      </c>
      <c r="V38" s="10"/>
      <c r="W38" s="28"/>
      <c r="X38" s="27" t="str">
        <f aca="false">IF(OR(V38="",W38=0),"",IFERROR((V38-K38)*IF(F38="Sell",-1,1)*R38*W38*IF(ISNUMBER(SEARCH("JPY",E38)),1000,IF(ISNUMBER(SEARCH("XAU",E38)),100,IF(OR(ISNUMBER(SEARCH("30",E38)),ISNUMBER(SEARCH("500",E38)),ISNUMBER(SEARCH("100",E38))),100,100000))),0))</f>
        <v/>
      </c>
      <c r="Y38" s="10"/>
      <c r="Z38" s="28"/>
      <c r="AA38" s="27" t="str">
        <f aca="false">IF(OR(Y38="",Z38=0),"",IFERROR((Y38-K38)*IF(F38="Sell",-1,1)*R38*Z38*IF(ISNUMBER(SEARCH("JPY",E38)),1000,IF(ISNUMBER(SEARCH("XAU",E38)),100,IF(OR(ISNUMBER(SEARCH("30",E38)),ISNUMBER(SEARCH("500",E38)),ISNUMBER(SEARCH("100",E38))),100,100000))),0))</f>
        <v/>
      </c>
      <c r="AB38" s="10"/>
      <c r="AC38" s="29" t="str">
        <f aca="false">IF(K38="","",1-IFERROR(T38,0)-IFERROR(W38,0)-IFERROR(Z38,0))</f>
        <v/>
      </c>
      <c r="AD38" s="30" t="str">
        <f aca="false">IF(AB38="","",IFERROR((IFERROR(S38*T38,0)+IFERROR(V38*W38,0)+IFERROR(Y38*Z38,0)+AB38*AC38)/(IFERROR(T38,0)+IFERROR(W38,0)+IFERROR(Z38,0)+AC38),AB38))</f>
        <v/>
      </c>
      <c r="AE38" s="27" t="str">
        <f aca="false">IF(AB38="","",IF(U38="",0,U38)+IF(X38="",0,X38)+IF(AA38="",0,AA38)+IFERROR((AB38-K38)*IF(F38="Sell",-1,1)*R38*AC38*IF(ISNUMBER(SEARCH("JPY",E38)),1000,IF(ISNUMBER(SEARCH("XAU",E38)),100,IF(OR(ISNUMBER(SEARCH("30",E38)),ISNUMBER(SEARCH("500",E38)),ISNUMBER(SEARCH("100",E38))),100,100000))),0))</f>
        <v/>
      </c>
      <c r="AF38" s="31" t="str">
        <f aca="false">IF(OR(K38="",M38="",L38=""),"",IFERROR(ABS(M38-K38)/ABS(K38-L38),0))</f>
        <v/>
      </c>
      <c r="AG38" s="31" t="str">
        <f aca="false">IF(OR(AE38="",AE38=0,Q38=0,Q38=""),"",IFERROR(AE38/Q38,0))</f>
        <v/>
      </c>
      <c r="AH38" s="32" t="str">
        <f aca="false">IF(AB38="","Open",IF(AG38="","Open",IF(AG38&gt;0.1,"Win",IF(AG38&lt;-0.1,"Loss","Breakeven"))))</f>
        <v>Open</v>
      </c>
      <c r="AI38" s="33" t="str">
        <f aca="false">IF(OR(B38="",D38=""),"",D38-B38)</f>
        <v/>
      </c>
      <c r="AJ38" s="24" t="str">
        <f aca="false">IF(AD38="","",IFERROR((AD38-K38)*IF(F38="Sell",-1,1)/IF(ISNUMBER(SEARCH("JPY",E38)),0.01,IF(ISNUMBER(SEARCH("XAU",E38)),0.01,IF(OR(ISNUMBER(SEARCH("30",E38)),ISNUMBER(SEARCH("500",E38)),ISNUMBER(SEARCH("100",E38))),1,0.0001))),0))</f>
        <v/>
      </c>
      <c r="AK38" s="10"/>
      <c r="AL38" s="10"/>
      <c r="AM38" s="10"/>
      <c r="AN38" s="10"/>
      <c r="AO38" s="27" t="str">
        <f aca="false">IF(AE38="","",IFERROR(IF(AO37="",SETTINGS!$B$6,AO37),SETTINGS!$B$6)+IF(AE38="",0,AE38))</f>
        <v/>
      </c>
      <c r="AP38" s="2"/>
    </row>
    <row r="39" customFormat="false" ht="15" hidden="false" customHeight="false" outlineLevel="0" collapsed="false">
      <c r="A39" s="24" t="str">
        <f aca="false">IF(B39="","",ROW()-3)</f>
        <v/>
      </c>
      <c r="B39" s="34"/>
      <c r="C39" s="12"/>
      <c r="D39" s="34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35"/>
      <c r="P39" s="24" t="str">
        <f aca="false">IF(K39="","",IFERROR(ABS(K39-L39)/IF(ISNUMBER(SEARCH("JPY",E39)),0.01,IF(ISNUMBER(SEARCH("XAU",E39)),0.01,IF(OR(ISNUMBER(SEARCH("30",E39)),ISNUMBER(SEARCH("500",E39)),ISNUMBER(SEARCH("100",E39))),1,0.0001))),0))</f>
        <v/>
      </c>
      <c r="Q39" s="27" t="str">
        <f aca="false">IF(K39="","",SETTINGS!$B$6*O39)</f>
        <v/>
      </c>
      <c r="R39" s="24" t="str">
        <f aca="false">IF(K39="","",IFERROR(Q39/(P39*IF(ISNUMBER(SEARCH("JPY",E39)),9.09,IF(ISNUMBER(SEARCH("XAU",E39)),1,IF(OR(ISNUMBER(SEARCH("30",E39)),ISNUMBER(SEARCH("500",E39)),ISNUMBER(SEARCH("100",E39))),1,10)))),0))</f>
        <v/>
      </c>
      <c r="S39" s="12"/>
      <c r="T39" s="36"/>
      <c r="U39" s="27" t="str">
        <f aca="false">IF(OR(S39="",T39=0),"",IFERROR((S39-K39)*IF(F39="Sell",-1,1)*R39*T39*IF(ISNUMBER(SEARCH("JPY",E39)),1000,IF(ISNUMBER(SEARCH("XAU",E39)),100,IF(OR(ISNUMBER(SEARCH("30",E39)),ISNUMBER(SEARCH("500",E39)),ISNUMBER(SEARCH("100",E39))),100,100000))),0))</f>
        <v/>
      </c>
      <c r="V39" s="12"/>
      <c r="W39" s="36"/>
      <c r="X39" s="27" t="str">
        <f aca="false">IF(OR(V39="",W39=0),"",IFERROR((V39-K39)*IF(F39="Sell",-1,1)*R39*W39*IF(ISNUMBER(SEARCH("JPY",E39)),1000,IF(ISNUMBER(SEARCH("XAU",E39)),100,IF(OR(ISNUMBER(SEARCH("30",E39)),ISNUMBER(SEARCH("500",E39)),ISNUMBER(SEARCH("100",E39))),100,100000))),0))</f>
        <v/>
      </c>
      <c r="Y39" s="12"/>
      <c r="Z39" s="36"/>
      <c r="AA39" s="27" t="str">
        <f aca="false">IF(OR(Y39="",Z39=0),"",IFERROR((Y39-K39)*IF(F39="Sell",-1,1)*R39*Z39*IF(ISNUMBER(SEARCH("JPY",E39)),1000,IF(ISNUMBER(SEARCH("XAU",E39)),100,IF(OR(ISNUMBER(SEARCH("30",E39)),ISNUMBER(SEARCH("500",E39)),ISNUMBER(SEARCH("100",E39))),100,100000))),0))</f>
        <v/>
      </c>
      <c r="AB39" s="12"/>
      <c r="AC39" s="29" t="str">
        <f aca="false">IF(K39="","",1-IFERROR(T39,0)-IFERROR(W39,0)-IFERROR(Z39,0))</f>
        <v/>
      </c>
      <c r="AD39" s="30" t="str">
        <f aca="false">IF(AB39="","",IFERROR((IFERROR(S39*T39,0)+IFERROR(V39*W39,0)+IFERROR(Y39*Z39,0)+AB39*AC39)/(IFERROR(T39,0)+IFERROR(W39,0)+IFERROR(Z39,0)+AC39),AB39))</f>
        <v/>
      </c>
      <c r="AE39" s="27" t="str">
        <f aca="false">IF(AB39="","",IF(U39="",0,U39)+IF(X39="",0,X39)+IF(AA39="",0,AA39)+IFERROR((AB39-K39)*IF(F39="Sell",-1,1)*R39*AC39*IF(ISNUMBER(SEARCH("JPY",E39)),1000,IF(ISNUMBER(SEARCH("XAU",E39)),100,IF(OR(ISNUMBER(SEARCH("30",E39)),ISNUMBER(SEARCH("500",E39)),ISNUMBER(SEARCH("100",E39))),100,100000))),0))</f>
        <v/>
      </c>
      <c r="AF39" s="31" t="str">
        <f aca="false">IF(OR(K39="",M39="",L39=""),"",IFERROR(ABS(M39-K39)/ABS(K39-L39),0))</f>
        <v/>
      </c>
      <c r="AG39" s="31" t="str">
        <f aca="false">IF(OR(AE39="",AE39=0,Q39=0,Q39=""),"",IFERROR(AE39/Q39,0))</f>
        <v/>
      </c>
      <c r="AH39" s="32" t="str">
        <f aca="false">IF(AB39="","Open",IF(AG39="","Open",IF(AG39&gt;0.1,"Win",IF(AG39&lt;-0.1,"Loss","Breakeven"))))</f>
        <v>Open</v>
      </c>
      <c r="AI39" s="33" t="str">
        <f aca="false">IF(OR(B39="",D39=""),"",D39-B39)</f>
        <v/>
      </c>
      <c r="AJ39" s="24" t="str">
        <f aca="false">IF(AD39="","",IFERROR((AD39-K39)*IF(F39="Sell",-1,1)/IF(ISNUMBER(SEARCH("JPY",E39)),0.01,IF(ISNUMBER(SEARCH("XAU",E39)),0.01,IF(OR(ISNUMBER(SEARCH("30",E39)),ISNUMBER(SEARCH("500",E39)),ISNUMBER(SEARCH("100",E39))),1,0.0001))),0))</f>
        <v/>
      </c>
      <c r="AK39" s="12"/>
      <c r="AL39" s="12"/>
      <c r="AM39" s="12"/>
      <c r="AN39" s="12"/>
      <c r="AO39" s="27" t="str">
        <f aca="false">IF(AE39="","",IFERROR(IF(AO38="",SETTINGS!$B$6,AO38),SETTINGS!$B$6)+IF(AE39="",0,AE39))</f>
        <v/>
      </c>
      <c r="AP39" s="2"/>
    </row>
    <row r="40" customFormat="false" ht="15" hidden="false" customHeight="false" outlineLevel="0" collapsed="false">
      <c r="A40" s="24" t="str">
        <f aca="false">IF(B40="","",ROW()-3)</f>
        <v/>
      </c>
      <c r="B40" s="25"/>
      <c r="C40" s="10"/>
      <c r="D40" s="2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26"/>
      <c r="P40" s="24" t="str">
        <f aca="false">IF(K40="","",IFERROR(ABS(K40-L40)/IF(ISNUMBER(SEARCH("JPY",E40)),0.01,IF(ISNUMBER(SEARCH("XAU",E40)),0.01,IF(OR(ISNUMBER(SEARCH("30",E40)),ISNUMBER(SEARCH("500",E40)),ISNUMBER(SEARCH("100",E40))),1,0.0001))),0))</f>
        <v/>
      </c>
      <c r="Q40" s="27" t="str">
        <f aca="false">IF(K40="","",SETTINGS!$B$6*O40)</f>
        <v/>
      </c>
      <c r="R40" s="24" t="str">
        <f aca="false">IF(K40="","",IFERROR(Q40/(P40*IF(ISNUMBER(SEARCH("JPY",E40)),9.09,IF(ISNUMBER(SEARCH("XAU",E40)),1,IF(OR(ISNUMBER(SEARCH("30",E40)),ISNUMBER(SEARCH("500",E40)),ISNUMBER(SEARCH("100",E40))),1,10)))),0))</f>
        <v/>
      </c>
      <c r="S40" s="10"/>
      <c r="T40" s="28"/>
      <c r="U40" s="27" t="str">
        <f aca="false">IF(OR(S40="",T40=0),"",IFERROR((S40-K40)*IF(F40="Sell",-1,1)*R40*T40*IF(ISNUMBER(SEARCH("JPY",E40)),1000,IF(ISNUMBER(SEARCH("XAU",E40)),100,IF(OR(ISNUMBER(SEARCH("30",E40)),ISNUMBER(SEARCH("500",E40)),ISNUMBER(SEARCH("100",E40))),100,100000))),0))</f>
        <v/>
      </c>
      <c r="V40" s="10"/>
      <c r="W40" s="28"/>
      <c r="X40" s="27" t="str">
        <f aca="false">IF(OR(V40="",W40=0),"",IFERROR((V40-K40)*IF(F40="Sell",-1,1)*R40*W40*IF(ISNUMBER(SEARCH("JPY",E40)),1000,IF(ISNUMBER(SEARCH("XAU",E40)),100,IF(OR(ISNUMBER(SEARCH("30",E40)),ISNUMBER(SEARCH("500",E40)),ISNUMBER(SEARCH("100",E40))),100,100000))),0))</f>
        <v/>
      </c>
      <c r="Y40" s="10"/>
      <c r="Z40" s="28"/>
      <c r="AA40" s="27" t="str">
        <f aca="false">IF(OR(Y40="",Z40=0),"",IFERROR((Y40-K40)*IF(F40="Sell",-1,1)*R40*Z40*IF(ISNUMBER(SEARCH("JPY",E40)),1000,IF(ISNUMBER(SEARCH("XAU",E40)),100,IF(OR(ISNUMBER(SEARCH("30",E40)),ISNUMBER(SEARCH("500",E40)),ISNUMBER(SEARCH("100",E40))),100,100000))),0))</f>
        <v/>
      </c>
      <c r="AB40" s="10"/>
      <c r="AC40" s="29" t="str">
        <f aca="false">IF(K40="","",1-IFERROR(T40,0)-IFERROR(W40,0)-IFERROR(Z40,0))</f>
        <v/>
      </c>
      <c r="AD40" s="30" t="str">
        <f aca="false">IF(AB40="","",IFERROR((IFERROR(S40*T40,0)+IFERROR(V40*W40,0)+IFERROR(Y40*Z40,0)+AB40*AC40)/(IFERROR(T40,0)+IFERROR(W40,0)+IFERROR(Z40,0)+AC40),AB40))</f>
        <v/>
      </c>
      <c r="AE40" s="27" t="str">
        <f aca="false">IF(AB40="","",IF(U40="",0,U40)+IF(X40="",0,X40)+IF(AA40="",0,AA40)+IFERROR((AB40-K40)*IF(F40="Sell",-1,1)*R40*AC40*IF(ISNUMBER(SEARCH("JPY",E40)),1000,IF(ISNUMBER(SEARCH("XAU",E40)),100,IF(OR(ISNUMBER(SEARCH("30",E40)),ISNUMBER(SEARCH("500",E40)),ISNUMBER(SEARCH("100",E40))),100,100000))),0))</f>
        <v/>
      </c>
      <c r="AF40" s="31" t="str">
        <f aca="false">IF(OR(K40="",M40="",L40=""),"",IFERROR(ABS(M40-K40)/ABS(K40-L40),0))</f>
        <v/>
      </c>
      <c r="AG40" s="31" t="str">
        <f aca="false">IF(OR(AE40="",AE40=0,Q40=0,Q40=""),"",IFERROR(AE40/Q40,0))</f>
        <v/>
      </c>
      <c r="AH40" s="32" t="str">
        <f aca="false">IF(AB40="","Open",IF(AG40="","Open",IF(AG40&gt;0.1,"Win",IF(AG40&lt;-0.1,"Loss","Breakeven"))))</f>
        <v>Open</v>
      </c>
      <c r="AI40" s="33" t="str">
        <f aca="false">IF(OR(B40="",D40=""),"",D40-B40)</f>
        <v/>
      </c>
      <c r="AJ40" s="24" t="str">
        <f aca="false">IF(AD40="","",IFERROR((AD40-K40)*IF(F40="Sell",-1,1)/IF(ISNUMBER(SEARCH("JPY",E40)),0.01,IF(ISNUMBER(SEARCH("XAU",E40)),0.01,IF(OR(ISNUMBER(SEARCH("30",E40)),ISNUMBER(SEARCH("500",E40)),ISNUMBER(SEARCH("100",E40))),1,0.0001))),0))</f>
        <v/>
      </c>
      <c r="AK40" s="10"/>
      <c r="AL40" s="10"/>
      <c r="AM40" s="10"/>
      <c r="AN40" s="10"/>
      <c r="AO40" s="27" t="str">
        <f aca="false">IF(AE40="","",IFERROR(IF(AO39="",SETTINGS!$B$6,AO39),SETTINGS!$B$6)+IF(AE40="",0,AE40))</f>
        <v/>
      </c>
      <c r="AP40" s="2"/>
    </row>
    <row r="41" customFormat="false" ht="15" hidden="false" customHeight="false" outlineLevel="0" collapsed="false">
      <c r="A41" s="24" t="str">
        <f aca="false">IF(B41="","",ROW()-3)</f>
        <v/>
      </c>
      <c r="B41" s="34"/>
      <c r="C41" s="12"/>
      <c r="D41" s="34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35"/>
      <c r="P41" s="24" t="str">
        <f aca="false">IF(K41="","",IFERROR(ABS(K41-L41)/IF(ISNUMBER(SEARCH("JPY",E41)),0.01,IF(ISNUMBER(SEARCH("XAU",E41)),0.01,IF(OR(ISNUMBER(SEARCH("30",E41)),ISNUMBER(SEARCH("500",E41)),ISNUMBER(SEARCH("100",E41))),1,0.0001))),0))</f>
        <v/>
      </c>
      <c r="Q41" s="27" t="str">
        <f aca="false">IF(K41="","",SETTINGS!$B$6*O41)</f>
        <v/>
      </c>
      <c r="R41" s="24" t="str">
        <f aca="false">IF(K41="","",IFERROR(Q41/(P41*IF(ISNUMBER(SEARCH("JPY",E41)),9.09,IF(ISNUMBER(SEARCH("XAU",E41)),1,IF(OR(ISNUMBER(SEARCH("30",E41)),ISNUMBER(SEARCH("500",E41)),ISNUMBER(SEARCH("100",E41))),1,10)))),0))</f>
        <v/>
      </c>
      <c r="S41" s="12"/>
      <c r="T41" s="36"/>
      <c r="U41" s="27" t="str">
        <f aca="false">IF(OR(S41="",T41=0),"",IFERROR((S41-K41)*IF(F41="Sell",-1,1)*R41*T41*IF(ISNUMBER(SEARCH("JPY",E41)),1000,IF(ISNUMBER(SEARCH("XAU",E41)),100,IF(OR(ISNUMBER(SEARCH("30",E41)),ISNUMBER(SEARCH("500",E41)),ISNUMBER(SEARCH("100",E41))),100,100000))),0))</f>
        <v/>
      </c>
      <c r="V41" s="12"/>
      <c r="W41" s="36"/>
      <c r="X41" s="27" t="str">
        <f aca="false">IF(OR(V41="",W41=0),"",IFERROR((V41-K41)*IF(F41="Sell",-1,1)*R41*W41*IF(ISNUMBER(SEARCH("JPY",E41)),1000,IF(ISNUMBER(SEARCH("XAU",E41)),100,IF(OR(ISNUMBER(SEARCH("30",E41)),ISNUMBER(SEARCH("500",E41)),ISNUMBER(SEARCH("100",E41))),100,100000))),0))</f>
        <v/>
      </c>
      <c r="Y41" s="12"/>
      <c r="Z41" s="36"/>
      <c r="AA41" s="27" t="str">
        <f aca="false">IF(OR(Y41="",Z41=0),"",IFERROR((Y41-K41)*IF(F41="Sell",-1,1)*R41*Z41*IF(ISNUMBER(SEARCH("JPY",E41)),1000,IF(ISNUMBER(SEARCH("XAU",E41)),100,IF(OR(ISNUMBER(SEARCH("30",E41)),ISNUMBER(SEARCH("500",E41)),ISNUMBER(SEARCH("100",E41))),100,100000))),0))</f>
        <v/>
      </c>
      <c r="AB41" s="12"/>
      <c r="AC41" s="29" t="str">
        <f aca="false">IF(K41="","",1-IFERROR(T41,0)-IFERROR(W41,0)-IFERROR(Z41,0))</f>
        <v/>
      </c>
      <c r="AD41" s="30" t="str">
        <f aca="false">IF(AB41="","",IFERROR((IFERROR(S41*T41,0)+IFERROR(V41*W41,0)+IFERROR(Y41*Z41,0)+AB41*AC41)/(IFERROR(T41,0)+IFERROR(W41,0)+IFERROR(Z41,0)+AC41),AB41))</f>
        <v/>
      </c>
      <c r="AE41" s="27" t="str">
        <f aca="false">IF(AB41="","",IF(U41="",0,U41)+IF(X41="",0,X41)+IF(AA41="",0,AA41)+IFERROR((AB41-K41)*IF(F41="Sell",-1,1)*R41*AC41*IF(ISNUMBER(SEARCH("JPY",E41)),1000,IF(ISNUMBER(SEARCH("XAU",E41)),100,IF(OR(ISNUMBER(SEARCH("30",E41)),ISNUMBER(SEARCH("500",E41)),ISNUMBER(SEARCH("100",E41))),100,100000))),0))</f>
        <v/>
      </c>
      <c r="AF41" s="31" t="str">
        <f aca="false">IF(OR(K41="",M41="",L41=""),"",IFERROR(ABS(M41-K41)/ABS(K41-L41),0))</f>
        <v/>
      </c>
      <c r="AG41" s="31" t="str">
        <f aca="false">IF(OR(AE41="",AE41=0,Q41=0,Q41=""),"",IFERROR(AE41/Q41,0))</f>
        <v/>
      </c>
      <c r="AH41" s="32" t="str">
        <f aca="false">IF(AB41="","Open",IF(AG41="","Open",IF(AG41&gt;0.1,"Win",IF(AG41&lt;-0.1,"Loss","Breakeven"))))</f>
        <v>Open</v>
      </c>
      <c r="AI41" s="33" t="str">
        <f aca="false">IF(OR(B41="",D41=""),"",D41-B41)</f>
        <v/>
      </c>
      <c r="AJ41" s="24" t="str">
        <f aca="false">IF(AD41="","",IFERROR((AD41-K41)*IF(F41="Sell",-1,1)/IF(ISNUMBER(SEARCH("JPY",E41)),0.01,IF(ISNUMBER(SEARCH("XAU",E41)),0.01,IF(OR(ISNUMBER(SEARCH("30",E41)),ISNUMBER(SEARCH("500",E41)),ISNUMBER(SEARCH("100",E41))),1,0.0001))),0))</f>
        <v/>
      </c>
      <c r="AK41" s="12"/>
      <c r="AL41" s="12"/>
      <c r="AM41" s="12"/>
      <c r="AN41" s="12"/>
      <c r="AO41" s="27" t="str">
        <f aca="false">IF(AE41="","",IFERROR(IF(AO40="",SETTINGS!$B$6,AO40),SETTINGS!$B$6)+IF(AE41="",0,AE41))</f>
        <v/>
      </c>
      <c r="AP41" s="2"/>
    </row>
    <row r="42" customFormat="false" ht="15" hidden="false" customHeight="false" outlineLevel="0" collapsed="false">
      <c r="A42" s="24" t="str">
        <f aca="false">IF(B42="","",ROW()-3)</f>
        <v/>
      </c>
      <c r="B42" s="25"/>
      <c r="C42" s="10"/>
      <c r="D42" s="2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6"/>
      <c r="P42" s="24" t="str">
        <f aca="false">IF(K42="","",IFERROR(ABS(K42-L42)/IF(ISNUMBER(SEARCH("JPY",E42)),0.01,IF(ISNUMBER(SEARCH("XAU",E42)),0.01,IF(OR(ISNUMBER(SEARCH("30",E42)),ISNUMBER(SEARCH("500",E42)),ISNUMBER(SEARCH("100",E42))),1,0.0001))),0))</f>
        <v/>
      </c>
      <c r="Q42" s="27" t="str">
        <f aca="false">IF(K42="","",SETTINGS!$B$6*O42)</f>
        <v/>
      </c>
      <c r="R42" s="24" t="str">
        <f aca="false">IF(K42="","",IFERROR(Q42/(P42*IF(ISNUMBER(SEARCH("JPY",E42)),9.09,IF(ISNUMBER(SEARCH("XAU",E42)),1,IF(OR(ISNUMBER(SEARCH("30",E42)),ISNUMBER(SEARCH("500",E42)),ISNUMBER(SEARCH("100",E42))),1,10)))),0))</f>
        <v/>
      </c>
      <c r="S42" s="10"/>
      <c r="T42" s="28"/>
      <c r="U42" s="27" t="str">
        <f aca="false">IF(OR(S42="",T42=0),"",IFERROR((S42-K42)*IF(F42="Sell",-1,1)*R42*T42*IF(ISNUMBER(SEARCH("JPY",E42)),1000,IF(ISNUMBER(SEARCH("XAU",E42)),100,IF(OR(ISNUMBER(SEARCH("30",E42)),ISNUMBER(SEARCH("500",E42)),ISNUMBER(SEARCH("100",E42))),100,100000))),0))</f>
        <v/>
      </c>
      <c r="V42" s="10"/>
      <c r="W42" s="28"/>
      <c r="X42" s="27" t="str">
        <f aca="false">IF(OR(V42="",W42=0),"",IFERROR((V42-K42)*IF(F42="Sell",-1,1)*R42*W42*IF(ISNUMBER(SEARCH("JPY",E42)),1000,IF(ISNUMBER(SEARCH("XAU",E42)),100,IF(OR(ISNUMBER(SEARCH("30",E42)),ISNUMBER(SEARCH("500",E42)),ISNUMBER(SEARCH("100",E42))),100,100000))),0))</f>
        <v/>
      </c>
      <c r="Y42" s="10"/>
      <c r="Z42" s="28"/>
      <c r="AA42" s="27" t="str">
        <f aca="false">IF(OR(Y42="",Z42=0),"",IFERROR((Y42-K42)*IF(F42="Sell",-1,1)*R42*Z42*IF(ISNUMBER(SEARCH("JPY",E42)),1000,IF(ISNUMBER(SEARCH("XAU",E42)),100,IF(OR(ISNUMBER(SEARCH("30",E42)),ISNUMBER(SEARCH("500",E42)),ISNUMBER(SEARCH("100",E42))),100,100000))),0))</f>
        <v/>
      </c>
      <c r="AB42" s="10"/>
      <c r="AC42" s="29" t="str">
        <f aca="false">IF(K42="","",1-IFERROR(T42,0)-IFERROR(W42,0)-IFERROR(Z42,0))</f>
        <v/>
      </c>
      <c r="AD42" s="30" t="str">
        <f aca="false">IF(AB42="","",IFERROR((IFERROR(S42*T42,0)+IFERROR(V42*W42,0)+IFERROR(Y42*Z42,0)+AB42*AC42)/(IFERROR(T42,0)+IFERROR(W42,0)+IFERROR(Z42,0)+AC42),AB42))</f>
        <v/>
      </c>
      <c r="AE42" s="27" t="str">
        <f aca="false">IF(AB42="","",IF(U42="",0,U42)+IF(X42="",0,X42)+IF(AA42="",0,AA42)+IFERROR((AB42-K42)*IF(F42="Sell",-1,1)*R42*AC42*IF(ISNUMBER(SEARCH("JPY",E42)),1000,IF(ISNUMBER(SEARCH("XAU",E42)),100,IF(OR(ISNUMBER(SEARCH("30",E42)),ISNUMBER(SEARCH("500",E42)),ISNUMBER(SEARCH("100",E42))),100,100000))),0))</f>
        <v/>
      </c>
      <c r="AF42" s="31" t="str">
        <f aca="false">IF(OR(K42="",M42="",L42=""),"",IFERROR(ABS(M42-K42)/ABS(K42-L42),0))</f>
        <v/>
      </c>
      <c r="AG42" s="31" t="str">
        <f aca="false">IF(OR(AE42="",AE42=0,Q42=0,Q42=""),"",IFERROR(AE42/Q42,0))</f>
        <v/>
      </c>
      <c r="AH42" s="32" t="str">
        <f aca="false">IF(AB42="","Open",IF(AG42="","Open",IF(AG42&gt;0.1,"Win",IF(AG42&lt;-0.1,"Loss","Breakeven"))))</f>
        <v>Open</v>
      </c>
      <c r="AI42" s="33" t="str">
        <f aca="false">IF(OR(B42="",D42=""),"",D42-B42)</f>
        <v/>
      </c>
      <c r="AJ42" s="24" t="str">
        <f aca="false">IF(AD42="","",IFERROR((AD42-K42)*IF(F42="Sell",-1,1)/IF(ISNUMBER(SEARCH("JPY",E42)),0.01,IF(ISNUMBER(SEARCH("XAU",E42)),0.01,IF(OR(ISNUMBER(SEARCH("30",E42)),ISNUMBER(SEARCH("500",E42)),ISNUMBER(SEARCH("100",E42))),1,0.0001))),0))</f>
        <v/>
      </c>
      <c r="AK42" s="10"/>
      <c r="AL42" s="10"/>
      <c r="AM42" s="10"/>
      <c r="AN42" s="10"/>
      <c r="AO42" s="27" t="str">
        <f aca="false">IF(AE42="","",IFERROR(IF(AO41="",SETTINGS!$B$6,AO41),SETTINGS!$B$6)+IF(AE42="",0,AE42))</f>
        <v/>
      </c>
      <c r="AP42" s="2"/>
    </row>
    <row r="43" customFormat="false" ht="15" hidden="false" customHeight="false" outlineLevel="0" collapsed="false">
      <c r="A43" s="24" t="str">
        <f aca="false">IF(B43="","",ROW()-3)</f>
        <v/>
      </c>
      <c r="B43" s="34"/>
      <c r="C43" s="12"/>
      <c r="D43" s="34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35"/>
      <c r="P43" s="24" t="str">
        <f aca="false">IF(K43="","",IFERROR(ABS(K43-L43)/IF(ISNUMBER(SEARCH("JPY",E43)),0.01,IF(ISNUMBER(SEARCH("XAU",E43)),0.01,IF(OR(ISNUMBER(SEARCH("30",E43)),ISNUMBER(SEARCH("500",E43)),ISNUMBER(SEARCH("100",E43))),1,0.0001))),0))</f>
        <v/>
      </c>
      <c r="Q43" s="27" t="str">
        <f aca="false">IF(K43="","",SETTINGS!$B$6*O43)</f>
        <v/>
      </c>
      <c r="R43" s="24" t="str">
        <f aca="false">IF(K43="","",IFERROR(Q43/(P43*IF(ISNUMBER(SEARCH("JPY",E43)),9.09,IF(ISNUMBER(SEARCH("XAU",E43)),1,IF(OR(ISNUMBER(SEARCH("30",E43)),ISNUMBER(SEARCH("500",E43)),ISNUMBER(SEARCH("100",E43))),1,10)))),0))</f>
        <v/>
      </c>
      <c r="S43" s="12"/>
      <c r="T43" s="36"/>
      <c r="U43" s="27" t="str">
        <f aca="false">IF(OR(S43="",T43=0),"",IFERROR((S43-K43)*IF(F43="Sell",-1,1)*R43*T43*IF(ISNUMBER(SEARCH("JPY",E43)),1000,IF(ISNUMBER(SEARCH("XAU",E43)),100,IF(OR(ISNUMBER(SEARCH("30",E43)),ISNUMBER(SEARCH("500",E43)),ISNUMBER(SEARCH("100",E43))),100,100000))),0))</f>
        <v/>
      </c>
      <c r="V43" s="12"/>
      <c r="W43" s="36"/>
      <c r="X43" s="27" t="str">
        <f aca="false">IF(OR(V43="",W43=0),"",IFERROR((V43-K43)*IF(F43="Sell",-1,1)*R43*W43*IF(ISNUMBER(SEARCH("JPY",E43)),1000,IF(ISNUMBER(SEARCH("XAU",E43)),100,IF(OR(ISNUMBER(SEARCH("30",E43)),ISNUMBER(SEARCH("500",E43)),ISNUMBER(SEARCH("100",E43))),100,100000))),0))</f>
        <v/>
      </c>
      <c r="Y43" s="12"/>
      <c r="Z43" s="36"/>
      <c r="AA43" s="27" t="str">
        <f aca="false">IF(OR(Y43="",Z43=0),"",IFERROR((Y43-K43)*IF(F43="Sell",-1,1)*R43*Z43*IF(ISNUMBER(SEARCH("JPY",E43)),1000,IF(ISNUMBER(SEARCH("XAU",E43)),100,IF(OR(ISNUMBER(SEARCH("30",E43)),ISNUMBER(SEARCH("500",E43)),ISNUMBER(SEARCH("100",E43))),100,100000))),0))</f>
        <v/>
      </c>
      <c r="AB43" s="12"/>
      <c r="AC43" s="29" t="str">
        <f aca="false">IF(K43="","",1-IFERROR(T43,0)-IFERROR(W43,0)-IFERROR(Z43,0))</f>
        <v/>
      </c>
      <c r="AD43" s="30" t="str">
        <f aca="false">IF(AB43="","",IFERROR((IFERROR(S43*T43,0)+IFERROR(V43*W43,0)+IFERROR(Y43*Z43,0)+AB43*AC43)/(IFERROR(T43,0)+IFERROR(W43,0)+IFERROR(Z43,0)+AC43),AB43))</f>
        <v/>
      </c>
      <c r="AE43" s="27" t="str">
        <f aca="false">IF(AB43="","",IF(U43="",0,U43)+IF(X43="",0,X43)+IF(AA43="",0,AA43)+IFERROR((AB43-K43)*IF(F43="Sell",-1,1)*R43*AC43*IF(ISNUMBER(SEARCH("JPY",E43)),1000,IF(ISNUMBER(SEARCH("XAU",E43)),100,IF(OR(ISNUMBER(SEARCH("30",E43)),ISNUMBER(SEARCH("500",E43)),ISNUMBER(SEARCH("100",E43))),100,100000))),0))</f>
        <v/>
      </c>
      <c r="AF43" s="31" t="str">
        <f aca="false">IF(OR(K43="",M43="",L43=""),"",IFERROR(ABS(M43-K43)/ABS(K43-L43),0))</f>
        <v/>
      </c>
      <c r="AG43" s="31" t="str">
        <f aca="false">IF(OR(AE43="",AE43=0,Q43=0,Q43=""),"",IFERROR(AE43/Q43,0))</f>
        <v/>
      </c>
      <c r="AH43" s="32" t="str">
        <f aca="false">IF(AB43="","Open",IF(AG43="","Open",IF(AG43&gt;0.1,"Win",IF(AG43&lt;-0.1,"Loss","Breakeven"))))</f>
        <v>Open</v>
      </c>
      <c r="AI43" s="33" t="str">
        <f aca="false">IF(OR(B43="",D43=""),"",D43-B43)</f>
        <v/>
      </c>
      <c r="AJ43" s="24" t="str">
        <f aca="false">IF(AD43="","",IFERROR((AD43-K43)*IF(F43="Sell",-1,1)/IF(ISNUMBER(SEARCH("JPY",E43)),0.01,IF(ISNUMBER(SEARCH("XAU",E43)),0.01,IF(OR(ISNUMBER(SEARCH("30",E43)),ISNUMBER(SEARCH("500",E43)),ISNUMBER(SEARCH("100",E43))),1,0.0001))),0))</f>
        <v/>
      </c>
      <c r="AK43" s="12"/>
      <c r="AL43" s="12"/>
      <c r="AM43" s="12"/>
      <c r="AN43" s="12"/>
      <c r="AO43" s="27" t="str">
        <f aca="false">IF(AE43="","",IFERROR(IF(AO42="",SETTINGS!$B$6,AO42),SETTINGS!$B$6)+IF(AE43="",0,AE43))</f>
        <v/>
      </c>
      <c r="AP43" s="2"/>
    </row>
    <row r="44" customFormat="false" ht="15" hidden="false" customHeight="false" outlineLevel="0" collapsed="false">
      <c r="A44" s="24" t="str">
        <f aca="false">IF(B44="","",ROW()-3)</f>
        <v/>
      </c>
      <c r="B44" s="25"/>
      <c r="C44" s="10"/>
      <c r="D44" s="2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26"/>
      <c r="P44" s="24" t="str">
        <f aca="false">IF(K44="","",IFERROR(ABS(K44-L44)/IF(ISNUMBER(SEARCH("JPY",E44)),0.01,IF(ISNUMBER(SEARCH("XAU",E44)),0.01,IF(OR(ISNUMBER(SEARCH("30",E44)),ISNUMBER(SEARCH("500",E44)),ISNUMBER(SEARCH("100",E44))),1,0.0001))),0))</f>
        <v/>
      </c>
      <c r="Q44" s="27" t="str">
        <f aca="false">IF(K44="","",SETTINGS!$B$6*O44)</f>
        <v/>
      </c>
      <c r="R44" s="24" t="str">
        <f aca="false">IF(K44="","",IFERROR(Q44/(P44*IF(ISNUMBER(SEARCH("JPY",E44)),9.09,IF(ISNUMBER(SEARCH("XAU",E44)),1,IF(OR(ISNUMBER(SEARCH("30",E44)),ISNUMBER(SEARCH("500",E44)),ISNUMBER(SEARCH("100",E44))),1,10)))),0))</f>
        <v/>
      </c>
      <c r="S44" s="10"/>
      <c r="T44" s="28"/>
      <c r="U44" s="27" t="str">
        <f aca="false">IF(OR(S44="",T44=0),"",IFERROR((S44-K44)*IF(F44="Sell",-1,1)*R44*T44*IF(ISNUMBER(SEARCH("JPY",E44)),1000,IF(ISNUMBER(SEARCH("XAU",E44)),100,IF(OR(ISNUMBER(SEARCH("30",E44)),ISNUMBER(SEARCH("500",E44)),ISNUMBER(SEARCH("100",E44))),100,100000))),0))</f>
        <v/>
      </c>
      <c r="V44" s="10"/>
      <c r="W44" s="28"/>
      <c r="X44" s="27" t="str">
        <f aca="false">IF(OR(V44="",W44=0),"",IFERROR((V44-K44)*IF(F44="Sell",-1,1)*R44*W44*IF(ISNUMBER(SEARCH("JPY",E44)),1000,IF(ISNUMBER(SEARCH("XAU",E44)),100,IF(OR(ISNUMBER(SEARCH("30",E44)),ISNUMBER(SEARCH("500",E44)),ISNUMBER(SEARCH("100",E44))),100,100000))),0))</f>
        <v/>
      </c>
      <c r="Y44" s="10"/>
      <c r="Z44" s="28"/>
      <c r="AA44" s="27" t="str">
        <f aca="false">IF(OR(Y44="",Z44=0),"",IFERROR((Y44-K44)*IF(F44="Sell",-1,1)*R44*Z44*IF(ISNUMBER(SEARCH("JPY",E44)),1000,IF(ISNUMBER(SEARCH("XAU",E44)),100,IF(OR(ISNUMBER(SEARCH("30",E44)),ISNUMBER(SEARCH("500",E44)),ISNUMBER(SEARCH("100",E44))),100,100000))),0))</f>
        <v/>
      </c>
      <c r="AB44" s="10"/>
      <c r="AC44" s="29" t="str">
        <f aca="false">IF(K44="","",1-IFERROR(T44,0)-IFERROR(W44,0)-IFERROR(Z44,0))</f>
        <v/>
      </c>
      <c r="AD44" s="30" t="str">
        <f aca="false">IF(AB44="","",IFERROR((IFERROR(S44*T44,0)+IFERROR(V44*W44,0)+IFERROR(Y44*Z44,0)+AB44*AC44)/(IFERROR(T44,0)+IFERROR(W44,0)+IFERROR(Z44,0)+AC44),AB44))</f>
        <v/>
      </c>
      <c r="AE44" s="27" t="str">
        <f aca="false">IF(AB44="","",IF(U44="",0,U44)+IF(X44="",0,X44)+IF(AA44="",0,AA44)+IFERROR((AB44-K44)*IF(F44="Sell",-1,1)*R44*AC44*IF(ISNUMBER(SEARCH("JPY",E44)),1000,IF(ISNUMBER(SEARCH("XAU",E44)),100,IF(OR(ISNUMBER(SEARCH("30",E44)),ISNUMBER(SEARCH("500",E44)),ISNUMBER(SEARCH("100",E44))),100,100000))),0))</f>
        <v/>
      </c>
      <c r="AF44" s="31" t="str">
        <f aca="false">IF(OR(K44="",M44="",L44=""),"",IFERROR(ABS(M44-K44)/ABS(K44-L44),0))</f>
        <v/>
      </c>
      <c r="AG44" s="31" t="str">
        <f aca="false">IF(OR(AE44="",AE44=0,Q44=0,Q44=""),"",IFERROR(AE44/Q44,0))</f>
        <v/>
      </c>
      <c r="AH44" s="32" t="str">
        <f aca="false">IF(AB44="","Open",IF(AG44="","Open",IF(AG44&gt;0.1,"Win",IF(AG44&lt;-0.1,"Loss","Breakeven"))))</f>
        <v>Open</v>
      </c>
      <c r="AI44" s="33" t="str">
        <f aca="false">IF(OR(B44="",D44=""),"",D44-B44)</f>
        <v/>
      </c>
      <c r="AJ44" s="24" t="str">
        <f aca="false">IF(AD44="","",IFERROR((AD44-K44)*IF(F44="Sell",-1,1)/IF(ISNUMBER(SEARCH("JPY",E44)),0.01,IF(ISNUMBER(SEARCH("XAU",E44)),0.01,IF(OR(ISNUMBER(SEARCH("30",E44)),ISNUMBER(SEARCH("500",E44)),ISNUMBER(SEARCH("100",E44))),1,0.0001))),0))</f>
        <v/>
      </c>
      <c r="AK44" s="10"/>
      <c r="AL44" s="10"/>
      <c r="AM44" s="10"/>
      <c r="AN44" s="10"/>
      <c r="AO44" s="27" t="str">
        <f aca="false">IF(AE44="","",IFERROR(IF(AO43="",SETTINGS!$B$6,AO43),SETTINGS!$B$6)+IF(AE44="",0,AE44))</f>
        <v/>
      </c>
      <c r="AP44" s="2"/>
    </row>
    <row r="45" customFormat="false" ht="15" hidden="false" customHeight="false" outlineLevel="0" collapsed="false">
      <c r="A45" s="24" t="str">
        <f aca="false">IF(B45="","",ROW()-3)</f>
        <v/>
      </c>
      <c r="B45" s="34"/>
      <c r="C45" s="12"/>
      <c r="D45" s="34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35"/>
      <c r="P45" s="24" t="str">
        <f aca="false">IF(K45="","",IFERROR(ABS(K45-L45)/IF(ISNUMBER(SEARCH("JPY",E45)),0.01,IF(ISNUMBER(SEARCH("XAU",E45)),0.01,IF(OR(ISNUMBER(SEARCH("30",E45)),ISNUMBER(SEARCH("500",E45)),ISNUMBER(SEARCH("100",E45))),1,0.0001))),0))</f>
        <v/>
      </c>
      <c r="Q45" s="27" t="str">
        <f aca="false">IF(K45="","",SETTINGS!$B$6*O45)</f>
        <v/>
      </c>
      <c r="R45" s="24" t="str">
        <f aca="false">IF(K45="","",IFERROR(Q45/(P45*IF(ISNUMBER(SEARCH("JPY",E45)),9.09,IF(ISNUMBER(SEARCH("XAU",E45)),1,IF(OR(ISNUMBER(SEARCH("30",E45)),ISNUMBER(SEARCH("500",E45)),ISNUMBER(SEARCH("100",E45))),1,10)))),0))</f>
        <v/>
      </c>
      <c r="S45" s="12"/>
      <c r="T45" s="36"/>
      <c r="U45" s="27" t="str">
        <f aca="false">IF(OR(S45="",T45=0),"",IFERROR((S45-K45)*IF(F45="Sell",-1,1)*R45*T45*IF(ISNUMBER(SEARCH("JPY",E45)),1000,IF(ISNUMBER(SEARCH("XAU",E45)),100,IF(OR(ISNUMBER(SEARCH("30",E45)),ISNUMBER(SEARCH("500",E45)),ISNUMBER(SEARCH("100",E45))),100,100000))),0))</f>
        <v/>
      </c>
      <c r="V45" s="12"/>
      <c r="W45" s="36"/>
      <c r="X45" s="27" t="str">
        <f aca="false">IF(OR(V45="",W45=0),"",IFERROR((V45-K45)*IF(F45="Sell",-1,1)*R45*W45*IF(ISNUMBER(SEARCH("JPY",E45)),1000,IF(ISNUMBER(SEARCH("XAU",E45)),100,IF(OR(ISNUMBER(SEARCH("30",E45)),ISNUMBER(SEARCH("500",E45)),ISNUMBER(SEARCH("100",E45))),100,100000))),0))</f>
        <v/>
      </c>
      <c r="Y45" s="12"/>
      <c r="Z45" s="36"/>
      <c r="AA45" s="27" t="str">
        <f aca="false">IF(OR(Y45="",Z45=0),"",IFERROR((Y45-K45)*IF(F45="Sell",-1,1)*R45*Z45*IF(ISNUMBER(SEARCH("JPY",E45)),1000,IF(ISNUMBER(SEARCH("XAU",E45)),100,IF(OR(ISNUMBER(SEARCH("30",E45)),ISNUMBER(SEARCH("500",E45)),ISNUMBER(SEARCH("100",E45))),100,100000))),0))</f>
        <v/>
      </c>
      <c r="AB45" s="12"/>
      <c r="AC45" s="29" t="str">
        <f aca="false">IF(K45="","",1-IFERROR(T45,0)-IFERROR(W45,0)-IFERROR(Z45,0))</f>
        <v/>
      </c>
      <c r="AD45" s="30" t="str">
        <f aca="false">IF(AB45="","",IFERROR((IFERROR(S45*T45,0)+IFERROR(V45*W45,0)+IFERROR(Y45*Z45,0)+AB45*AC45)/(IFERROR(T45,0)+IFERROR(W45,0)+IFERROR(Z45,0)+AC45),AB45))</f>
        <v/>
      </c>
      <c r="AE45" s="27" t="str">
        <f aca="false">IF(AB45="","",IF(U45="",0,U45)+IF(X45="",0,X45)+IF(AA45="",0,AA45)+IFERROR((AB45-K45)*IF(F45="Sell",-1,1)*R45*AC45*IF(ISNUMBER(SEARCH("JPY",E45)),1000,IF(ISNUMBER(SEARCH("XAU",E45)),100,IF(OR(ISNUMBER(SEARCH("30",E45)),ISNUMBER(SEARCH("500",E45)),ISNUMBER(SEARCH("100",E45))),100,100000))),0))</f>
        <v/>
      </c>
      <c r="AF45" s="31" t="str">
        <f aca="false">IF(OR(K45="",M45="",L45=""),"",IFERROR(ABS(M45-K45)/ABS(K45-L45),0))</f>
        <v/>
      </c>
      <c r="AG45" s="31" t="str">
        <f aca="false">IF(OR(AE45="",AE45=0,Q45=0,Q45=""),"",IFERROR(AE45/Q45,0))</f>
        <v/>
      </c>
      <c r="AH45" s="32" t="str">
        <f aca="false">IF(AB45="","Open",IF(AG45="","Open",IF(AG45&gt;0.1,"Win",IF(AG45&lt;-0.1,"Loss","Breakeven"))))</f>
        <v>Open</v>
      </c>
      <c r="AI45" s="33" t="str">
        <f aca="false">IF(OR(B45="",D45=""),"",D45-B45)</f>
        <v/>
      </c>
      <c r="AJ45" s="24" t="str">
        <f aca="false">IF(AD45="","",IFERROR((AD45-K45)*IF(F45="Sell",-1,1)/IF(ISNUMBER(SEARCH("JPY",E45)),0.01,IF(ISNUMBER(SEARCH("XAU",E45)),0.01,IF(OR(ISNUMBER(SEARCH("30",E45)),ISNUMBER(SEARCH("500",E45)),ISNUMBER(SEARCH("100",E45))),1,0.0001))),0))</f>
        <v/>
      </c>
      <c r="AK45" s="12"/>
      <c r="AL45" s="12"/>
      <c r="AM45" s="12"/>
      <c r="AN45" s="12"/>
      <c r="AO45" s="27" t="str">
        <f aca="false">IF(AE45="","",IFERROR(IF(AO44="",SETTINGS!$B$6,AO44),SETTINGS!$B$6)+IF(AE45="",0,AE45))</f>
        <v/>
      </c>
      <c r="AP45" s="2"/>
    </row>
    <row r="46" customFormat="false" ht="15" hidden="false" customHeight="false" outlineLevel="0" collapsed="false">
      <c r="A46" s="24" t="str">
        <f aca="false">IF(B46="","",ROW()-3)</f>
        <v/>
      </c>
      <c r="B46" s="25"/>
      <c r="C46" s="10"/>
      <c r="D46" s="25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26"/>
      <c r="P46" s="24" t="str">
        <f aca="false">IF(K46="","",IFERROR(ABS(K46-L46)/IF(ISNUMBER(SEARCH("JPY",E46)),0.01,IF(ISNUMBER(SEARCH("XAU",E46)),0.01,IF(OR(ISNUMBER(SEARCH("30",E46)),ISNUMBER(SEARCH("500",E46)),ISNUMBER(SEARCH("100",E46))),1,0.0001))),0))</f>
        <v/>
      </c>
      <c r="Q46" s="27" t="str">
        <f aca="false">IF(K46="","",SETTINGS!$B$6*O46)</f>
        <v/>
      </c>
      <c r="R46" s="24" t="str">
        <f aca="false">IF(K46="","",IFERROR(Q46/(P46*IF(ISNUMBER(SEARCH("JPY",E46)),9.09,IF(ISNUMBER(SEARCH("XAU",E46)),1,IF(OR(ISNUMBER(SEARCH("30",E46)),ISNUMBER(SEARCH("500",E46)),ISNUMBER(SEARCH("100",E46))),1,10)))),0))</f>
        <v/>
      </c>
      <c r="S46" s="10"/>
      <c r="T46" s="28"/>
      <c r="U46" s="27" t="str">
        <f aca="false">IF(OR(S46="",T46=0),"",IFERROR((S46-K46)*IF(F46="Sell",-1,1)*R46*T46*IF(ISNUMBER(SEARCH("JPY",E46)),1000,IF(ISNUMBER(SEARCH("XAU",E46)),100,IF(OR(ISNUMBER(SEARCH("30",E46)),ISNUMBER(SEARCH("500",E46)),ISNUMBER(SEARCH("100",E46))),100,100000))),0))</f>
        <v/>
      </c>
      <c r="V46" s="10"/>
      <c r="W46" s="28"/>
      <c r="X46" s="27" t="str">
        <f aca="false">IF(OR(V46="",W46=0),"",IFERROR((V46-K46)*IF(F46="Sell",-1,1)*R46*W46*IF(ISNUMBER(SEARCH("JPY",E46)),1000,IF(ISNUMBER(SEARCH("XAU",E46)),100,IF(OR(ISNUMBER(SEARCH("30",E46)),ISNUMBER(SEARCH("500",E46)),ISNUMBER(SEARCH("100",E46))),100,100000))),0))</f>
        <v/>
      </c>
      <c r="Y46" s="10"/>
      <c r="Z46" s="28"/>
      <c r="AA46" s="27" t="str">
        <f aca="false">IF(OR(Y46="",Z46=0),"",IFERROR((Y46-K46)*IF(F46="Sell",-1,1)*R46*Z46*IF(ISNUMBER(SEARCH("JPY",E46)),1000,IF(ISNUMBER(SEARCH("XAU",E46)),100,IF(OR(ISNUMBER(SEARCH("30",E46)),ISNUMBER(SEARCH("500",E46)),ISNUMBER(SEARCH("100",E46))),100,100000))),0))</f>
        <v/>
      </c>
      <c r="AB46" s="10"/>
      <c r="AC46" s="29" t="str">
        <f aca="false">IF(K46="","",1-IFERROR(T46,0)-IFERROR(W46,0)-IFERROR(Z46,0))</f>
        <v/>
      </c>
      <c r="AD46" s="30" t="str">
        <f aca="false">IF(AB46="","",IFERROR((IFERROR(S46*T46,0)+IFERROR(V46*W46,0)+IFERROR(Y46*Z46,0)+AB46*AC46)/(IFERROR(T46,0)+IFERROR(W46,0)+IFERROR(Z46,0)+AC46),AB46))</f>
        <v/>
      </c>
      <c r="AE46" s="27" t="str">
        <f aca="false">IF(AB46="","",IF(U46="",0,U46)+IF(X46="",0,X46)+IF(AA46="",0,AA46)+IFERROR((AB46-K46)*IF(F46="Sell",-1,1)*R46*AC46*IF(ISNUMBER(SEARCH("JPY",E46)),1000,IF(ISNUMBER(SEARCH("XAU",E46)),100,IF(OR(ISNUMBER(SEARCH("30",E46)),ISNUMBER(SEARCH("500",E46)),ISNUMBER(SEARCH("100",E46))),100,100000))),0))</f>
        <v/>
      </c>
      <c r="AF46" s="31" t="str">
        <f aca="false">IF(OR(K46="",M46="",L46=""),"",IFERROR(ABS(M46-K46)/ABS(K46-L46),0))</f>
        <v/>
      </c>
      <c r="AG46" s="31" t="str">
        <f aca="false">IF(OR(AE46="",AE46=0,Q46=0,Q46=""),"",IFERROR(AE46/Q46,0))</f>
        <v/>
      </c>
      <c r="AH46" s="32" t="str">
        <f aca="false">IF(AB46="","Open",IF(AG46="","Open",IF(AG46&gt;0.1,"Win",IF(AG46&lt;-0.1,"Loss","Breakeven"))))</f>
        <v>Open</v>
      </c>
      <c r="AI46" s="33" t="str">
        <f aca="false">IF(OR(B46="",D46=""),"",D46-B46)</f>
        <v/>
      </c>
      <c r="AJ46" s="24" t="str">
        <f aca="false">IF(AD46="","",IFERROR((AD46-K46)*IF(F46="Sell",-1,1)/IF(ISNUMBER(SEARCH("JPY",E46)),0.01,IF(ISNUMBER(SEARCH("XAU",E46)),0.01,IF(OR(ISNUMBER(SEARCH("30",E46)),ISNUMBER(SEARCH("500",E46)),ISNUMBER(SEARCH("100",E46))),1,0.0001))),0))</f>
        <v/>
      </c>
      <c r="AK46" s="10"/>
      <c r="AL46" s="10"/>
      <c r="AM46" s="10"/>
      <c r="AN46" s="10"/>
      <c r="AO46" s="27" t="str">
        <f aca="false">IF(AE46="","",IFERROR(IF(AO45="",SETTINGS!$B$6,AO45),SETTINGS!$B$6)+IF(AE46="",0,AE46))</f>
        <v/>
      </c>
      <c r="AP46" s="2"/>
    </row>
    <row r="47" customFormat="false" ht="15" hidden="false" customHeight="false" outlineLevel="0" collapsed="false">
      <c r="A47" s="24" t="str">
        <f aca="false">IF(B47="","",ROW()-3)</f>
        <v/>
      </c>
      <c r="B47" s="34"/>
      <c r="C47" s="12"/>
      <c r="D47" s="34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35"/>
      <c r="P47" s="24" t="str">
        <f aca="false">IF(K47="","",IFERROR(ABS(K47-L47)/IF(ISNUMBER(SEARCH("JPY",E47)),0.01,IF(ISNUMBER(SEARCH("XAU",E47)),0.01,IF(OR(ISNUMBER(SEARCH("30",E47)),ISNUMBER(SEARCH("500",E47)),ISNUMBER(SEARCH("100",E47))),1,0.0001))),0))</f>
        <v/>
      </c>
      <c r="Q47" s="27" t="str">
        <f aca="false">IF(K47="","",SETTINGS!$B$6*O47)</f>
        <v/>
      </c>
      <c r="R47" s="24" t="str">
        <f aca="false">IF(K47="","",IFERROR(Q47/(P47*IF(ISNUMBER(SEARCH("JPY",E47)),9.09,IF(ISNUMBER(SEARCH("XAU",E47)),1,IF(OR(ISNUMBER(SEARCH("30",E47)),ISNUMBER(SEARCH("500",E47)),ISNUMBER(SEARCH("100",E47))),1,10)))),0))</f>
        <v/>
      </c>
      <c r="S47" s="12"/>
      <c r="T47" s="36"/>
      <c r="U47" s="27" t="str">
        <f aca="false">IF(OR(S47="",T47=0),"",IFERROR((S47-K47)*IF(F47="Sell",-1,1)*R47*T47*IF(ISNUMBER(SEARCH("JPY",E47)),1000,IF(ISNUMBER(SEARCH("XAU",E47)),100,IF(OR(ISNUMBER(SEARCH("30",E47)),ISNUMBER(SEARCH("500",E47)),ISNUMBER(SEARCH("100",E47))),100,100000))),0))</f>
        <v/>
      </c>
      <c r="V47" s="12"/>
      <c r="W47" s="36"/>
      <c r="X47" s="27" t="str">
        <f aca="false">IF(OR(V47="",W47=0),"",IFERROR((V47-K47)*IF(F47="Sell",-1,1)*R47*W47*IF(ISNUMBER(SEARCH("JPY",E47)),1000,IF(ISNUMBER(SEARCH("XAU",E47)),100,IF(OR(ISNUMBER(SEARCH("30",E47)),ISNUMBER(SEARCH("500",E47)),ISNUMBER(SEARCH("100",E47))),100,100000))),0))</f>
        <v/>
      </c>
      <c r="Y47" s="12"/>
      <c r="Z47" s="36"/>
      <c r="AA47" s="27" t="str">
        <f aca="false">IF(OR(Y47="",Z47=0),"",IFERROR((Y47-K47)*IF(F47="Sell",-1,1)*R47*Z47*IF(ISNUMBER(SEARCH("JPY",E47)),1000,IF(ISNUMBER(SEARCH("XAU",E47)),100,IF(OR(ISNUMBER(SEARCH("30",E47)),ISNUMBER(SEARCH("500",E47)),ISNUMBER(SEARCH("100",E47))),100,100000))),0))</f>
        <v/>
      </c>
      <c r="AB47" s="12"/>
      <c r="AC47" s="29" t="str">
        <f aca="false">IF(K47="","",1-IFERROR(T47,0)-IFERROR(W47,0)-IFERROR(Z47,0))</f>
        <v/>
      </c>
      <c r="AD47" s="30" t="str">
        <f aca="false">IF(AB47="","",IFERROR((IFERROR(S47*T47,0)+IFERROR(V47*W47,0)+IFERROR(Y47*Z47,0)+AB47*AC47)/(IFERROR(T47,0)+IFERROR(W47,0)+IFERROR(Z47,0)+AC47),AB47))</f>
        <v/>
      </c>
      <c r="AE47" s="27" t="str">
        <f aca="false">IF(AB47="","",IF(U47="",0,U47)+IF(X47="",0,X47)+IF(AA47="",0,AA47)+IFERROR((AB47-K47)*IF(F47="Sell",-1,1)*R47*AC47*IF(ISNUMBER(SEARCH("JPY",E47)),1000,IF(ISNUMBER(SEARCH("XAU",E47)),100,IF(OR(ISNUMBER(SEARCH("30",E47)),ISNUMBER(SEARCH("500",E47)),ISNUMBER(SEARCH("100",E47))),100,100000))),0))</f>
        <v/>
      </c>
      <c r="AF47" s="31" t="str">
        <f aca="false">IF(OR(K47="",M47="",L47=""),"",IFERROR(ABS(M47-K47)/ABS(K47-L47),0))</f>
        <v/>
      </c>
      <c r="AG47" s="31" t="str">
        <f aca="false">IF(OR(AE47="",AE47=0,Q47=0,Q47=""),"",IFERROR(AE47/Q47,0))</f>
        <v/>
      </c>
      <c r="AH47" s="32" t="str">
        <f aca="false">IF(AB47="","Open",IF(AG47="","Open",IF(AG47&gt;0.1,"Win",IF(AG47&lt;-0.1,"Loss","Breakeven"))))</f>
        <v>Open</v>
      </c>
      <c r="AI47" s="33" t="str">
        <f aca="false">IF(OR(B47="",D47=""),"",D47-B47)</f>
        <v/>
      </c>
      <c r="AJ47" s="24" t="str">
        <f aca="false">IF(AD47="","",IFERROR((AD47-K47)*IF(F47="Sell",-1,1)/IF(ISNUMBER(SEARCH("JPY",E47)),0.01,IF(ISNUMBER(SEARCH("XAU",E47)),0.01,IF(OR(ISNUMBER(SEARCH("30",E47)),ISNUMBER(SEARCH("500",E47)),ISNUMBER(SEARCH("100",E47))),1,0.0001))),0))</f>
        <v/>
      </c>
      <c r="AK47" s="12"/>
      <c r="AL47" s="12"/>
      <c r="AM47" s="12"/>
      <c r="AN47" s="12"/>
      <c r="AO47" s="27" t="str">
        <f aca="false">IF(AE47="","",IFERROR(IF(AO46="",SETTINGS!$B$6,AO46),SETTINGS!$B$6)+IF(AE47="",0,AE47))</f>
        <v/>
      </c>
      <c r="AP47" s="2"/>
    </row>
    <row r="48" customFormat="false" ht="15" hidden="false" customHeight="false" outlineLevel="0" collapsed="false">
      <c r="A48" s="24" t="str">
        <f aca="false">IF(B48="","",ROW()-3)</f>
        <v/>
      </c>
      <c r="B48" s="25"/>
      <c r="C48" s="10"/>
      <c r="D48" s="25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26"/>
      <c r="P48" s="24" t="str">
        <f aca="false">IF(K48="","",IFERROR(ABS(K48-L48)/IF(ISNUMBER(SEARCH("JPY",E48)),0.01,IF(ISNUMBER(SEARCH("XAU",E48)),0.01,IF(OR(ISNUMBER(SEARCH("30",E48)),ISNUMBER(SEARCH("500",E48)),ISNUMBER(SEARCH("100",E48))),1,0.0001))),0))</f>
        <v/>
      </c>
      <c r="Q48" s="27" t="str">
        <f aca="false">IF(K48="","",SETTINGS!$B$6*O48)</f>
        <v/>
      </c>
      <c r="R48" s="24" t="str">
        <f aca="false">IF(K48="","",IFERROR(Q48/(P48*IF(ISNUMBER(SEARCH("JPY",E48)),9.09,IF(ISNUMBER(SEARCH("XAU",E48)),1,IF(OR(ISNUMBER(SEARCH("30",E48)),ISNUMBER(SEARCH("500",E48)),ISNUMBER(SEARCH("100",E48))),1,10)))),0))</f>
        <v/>
      </c>
      <c r="S48" s="10"/>
      <c r="T48" s="28"/>
      <c r="U48" s="27" t="str">
        <f aca="false">IF(OR(S48="",T48=0),"",IFERROR((S48-K48)*IF(F48="Sell",-1,1)*R48*T48*IF(ISNUMBER(SEARCH("JPY",E48)),1000,IF(ISNUMBER(SEARCH("XAU",E48)),100,IF(OR(ISNUMBER(SEARCH("30",E48)),ISNUMBER(SEARCH("500",E48)),ISNUMBER(SEARCH("100",E48))),100,100000))),0))</f>
        <v/>
      </c>
      <c r="V48" s="10"/>
      <c r="W48" s="28"/>
      <c r="X48" s="27" t="str">
        <f aca="false">IF(OR(V48="",W48=0),"",IFERROR((V48-K48)*IF(F48="Sell",-1,1)*R48*W48*IF(ISNUMBER(SEARCH("JPY",E48)),1000,IF(ISNUMBER(SEARCH("XAU",E48)),100,IF(OR(ISNUMBER(SEARCH("30",E48)),ISNUMBER(SEARCH("500",E48)),ISNUMBER(SEARCH("100",E48))),100,100000))),0))</f>
        <v/>
      </c>
      <c r="Y48" s="10"/>
      <c r="Z48" s="28"/>
      <c r="AA48" s="27" t="str">
        <f aca="false">IF(OR(Y48="",Z48=0),"",IFERROR((Y48-K48)*IF(F48="Sell",-1,1)*R48*Z48*IF(ISNUMBER(SEARCH("JPY",E48)),1000,IF(ISNUMBER(SEARCH("XAU",E48)),100,IF(OR(ISNUMBER(SEARCH("30",E48)),ISNUMBER(SEARCH("500",E48)),ISNUMBER(SEARCH("100",E48))),100,100000))),0))</f>
        <v/>
      </c>
      <c r="AB48" s="10"/>
      <c r="AC48" s="29" t="str">
        <f aca="false">IF(K48="","",1-IFERROR(T48,0)-IFERROR(W48,0)-IFERROR(Z48,0))</f>
        <v/>
      </c>
      <c r="AD48" s="30" t="str">
        <f aca="false">IF(AB48="","",IFERROR((IFERROR(S48*T48,0)+IFERROR(V48*W48,0)+IFERROR(Y48*Z48,0)+AB48*AC48)/(IFERROR(T48,0)+IFERROR(W48,0)+IFERROR(Z48,0)+AC48),AB48))</f>
        <v/>
      </c>
      <c r="AE48" s="27" t="str">
        <f aca="false">IF(AB48="","",IF(U48="",0,U48)+IF(X48="",0,X48)+IF(AA48="",0,AA48)+IFERROR((AB48-K48)*IF(F48="Sell",-1,1)*R48*AC48*IF(ISNUMBER(SEARCH("JPY",E48)),1000,IF(ISNUMBER(SEARCH("XAU",E48)),100,IF(OR(ISNUMBER(SEARCH("30",E48)),ISNUMBER(SEARCH("500",E48)),ISNUMBER(SEARCH("100",E48))),100,100000))),0))</f>
        <v/>
      </c>
      <c r="AF48" s="31" t="str">
        <f aca="false">IF(OR(K48="",M48="",L48=""),"",IFERROR(ABS(M48-K48)/ABS(K48-L48),0))</f>
        <v/>
      </c>
      <c r="AG48" s="31" t="str">
        <f aca="false">IF(OR(AE48="",AE48=0,Q48=0,Q48=""),"",IFERROR(AE48/Q48,0))</f>
        <v/>
      </c>
      <c r="AH48" s="32" t="str">
        <f aca="false">IF(AB48="","Open",IF(AG48="","Open",IF(AG48&gt;0.1,"Win",IF(AG48&lt;-0.1,"Loss","Breakeven"))))</f>
        <v>Open</v>
      </c>
      <c r="AI48" s="33" t="str">
        <f aca="false">IF(OR(B48="",D48=""),"",D48-B48)</f>
        <v/>
      </c>
      <c r="AJ48" s="24" t="str">
        <f aca="false">IF(AD48="","",IFERROR((AD48-K48)*IF(F48="Sell",-1,1)/IF(ISNUMBER(SEARCH("JPY",E48)),0.01,IF(ISNUMBER(SEARCH("XAU",E48)),0.01,IF(OR(ISNUMBER(SEARCH("30",E48)),ISNUMBER(SEARCH("500",E48)),ISNUMBER(SEARCH("100",E48))),1,0.0001))),0))</f>
        <v/>
      </c>
      <c r="AK48" s="10"/>
      <c r="AL48" s="10"/>
      <c r="AM48" s="10"/>
      <c r="AN48" s="10"/>
      <c r="AO48" s="27" t="str">
        <f aca="false">IF(AE48="","",IFERROR(IF(AO47="",SETTINGS!$B$6,AO47),SETTINGS!$B$6)+IF(AE48="",0,AE48))</f>
        <v/>
      </c>
      <c r="AP48" s="2"/>
    </row>
    <row r="49" customFormat="false" ht="15" hidden="false" customHeight="false" outlineLevel="0" collapsed="false">
      <c r="A49" s="24" t="str">
        <f aca="false">IF(B49="","",ROW()-3)</f>
        <v/>
      </c>
      <c r="B49" s="34"/>
      <c r="C49" s="12"/>
      <c r="D49" s="34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35"/>
      <c r="P49" s="24" t="str">
        <f aca="false">IF(K49="","",IFERROR(ABS(K49-L49)/IF(ISNUMBER(SEARCH("JPY",E49)),0.01,IF(ISNUMBER(SEARCH("XAU",E49)),0.01,IF(OR(ISNUMBER(SEARCH("30",E49)),ISNUMBER(SEARCH("500",E49)),ISNUMBER(SEARCH("100",E49))),1,0.0001))),0))</f>
        <v/>
      </c>
      <c r="Q49" s="27" t="str">
        <f aca="false">IF(K49="","",SETTINGS!$B$6*O49)</f>
        <v/>
      </c>
      <c r="R49" s="24" t="str">
        <f aca="false">IF(K49="","",IFERROR(Q49/(P49*IF(ISNUMBER(SEARCH("JPY",E49)),9.09,IF(ISNUMBER(SEARCH("XAU",E49)),1,IF(OR(ISNUMBER(SEARCH("30",E49)),ISNUMBER(SEARCH("500",E49)),ISNUMBER(SEARCH("100",E49))),1,10)))),0))</f>
        <v/>
      </c>
      <c r="S49" s="12"/>
      <c r="T49" s="36"/>
      <c r="U49" s="27" t="str">
        <f aca="false">IF(OR(S49="",T49=0),"",IFERROR((S49-K49)*IF(F49="Sell",-1,1)*R49*T49*IF(ISNUMBER(SEARCH("JPY",E49)),1000,IF(ISNUMBER(SEARCH("XAU",E49)),100,IF(OR(ISNUMBER(SEARCH("30",E49)),ISNUMBER(SEARCH("500",E49)),ISNUMBER(SEARCH("100",E49))),100,100000))),0))</f>
        <v/>
      </c>
      <c r="V49" s="12"/>
      <c r="W49" s="36"/>
      <c r="X49" s="27" t="str">
        <f aca="false">IF(OR(V49="",W49=0),"",IFERROR((V49-K49)*IF(F49="Sell",-1,1)*R49*W49*IF(ISNUMBER(SEARCH("JPY",E49)),1000,IF(ISNUMBER(SEARCH("XAU",E49)),100,IF(OR(ISNUMBER(SEARCH("30",E49)),ISNUMBER(SEARCH("500",E49)),ISNUMBER(SEARCH("100",E49))),100,100000))),0))</f>
        <v/>
      </c>
      <c r="Y49" s="12"/>
      <c r="Z49" s="36"/>
      <c r="AA49" s="27" t="str">
        <f aca="false">IF(OR(Y49="",Z49=0),"",IFERROR((Y49-K49)*IF(F49="Sell",-1,1)*R49*Z49*IF(ISNUMBER(SEARCH("JPY",E49)),1000,IF(ISNUMBER(SEARCH("XAU",E49)),100,IF(OR(ISNUMBER(SEARCH("30",E49)),ISNUMBER(SEARCH("500",E49)),ISNUMBER(SEARCH("100",E49))),100,100000))),0))</f>
        <v/>
      </c>
      <c r="AB49" s="12"/>
      <c r="AC49" s="29" t="str">
        <f aca="false">IF(K49="","",1-IFERROR(T49,0)-IFERROR(W49,0)-IFERROR(Z49,0))</f>
        <v/>
      </c>
      <c r="AD49" s="30" t="str">
        <f aca="false">IF(AB49="","",IFERROR((IFERROR(S49*T49,0)+IFERROR(V49*W49,0)+IFERROR(Y49*Z49,0)+AB49*AC49)/(IFERROR(T49,0)+IFERROR(W49,0)+IFERROR(Z49,0)+AC49),AB49))</f>
        <v/>
      </c>
      <c r="AE49" s="27" t="str">
        <f aca="false">IF(AB49="","",IF(U49="",0,U49)+IF(X49="",0,X49)+IF(AA49="",0,AA49)+IFERROR((AB49-K49)*IF(F49="Sell",-1,1)*R49*AC49*IF(ISNUMBER(SEARCH("JPY",E49)),1000,IF(ISNUMBER(SEARCH("XAU",E49)),100,IF(OR(ISNUMBER(SEARCH("30",E49)),ISNUMBER(SEARCH("500",E49)),ISNUMBER(SEARCH("100",E49))),100,100000))),0))</f>
        <v/>
      </c>
      <c r="AF49" s="31" t="str">
        <f aca="false">IF(OR(K49="",M49="",L49=""),"",IFERROR(ABS(M49-K49)/ABS(K49-L49),0))</f>
        <v/>
      </c>
      <c r="AG49" s="31" t="str">
        <f aca="false">IF(OR(AE49="",AE49=0,Q49=0,Q49=""),"",IFERROR(AE49/Q49,0))</f>
        <v/>
      </c>
      <c r="AH49" s="32" t="str">
        <f aca="false">IF(AB49="","Open",IF(AG49="","Open",IF(AG49&gt;0.1,"Win",IF(AG49&lt;-0.1,"Loss","Breakeven"))))</f>
        <v>Open</v>
      </c>
      <c r="AI49" s="33" t="str">
        <f aca="false">IF(OR(B49="",D49=""),"",D49-B49)</f>
        <v/>
      </c>
      <c r="AJ49" s="24" t="str">
        <f aca="false">IF(AD49="","",IFERROR((AD49-K49)*IF(F49="Sell",-1,1)/IF(ISNUMBER(SEARCH("JPY",E49)),0.01,IF(ISNUMBER(SEARCH("XAU",E49)),0.01,IF(OR(ISNUMBER(SEARCH("30",E49)),ISNUMBER(SEARCH("500",E49)),ISNUMBER(SEARCH("100",E49))),1,0.0001))),0))</f>
        <v/>
      </c>
      <c r="AK49" s="12"/>
      <c r="AL49" s="12"/>
      <c r="AM49" s="12"/>
      <c r="AN49" s="12"/>
      <c r="AO49" s="27" t="str">
        <f aca="false">IF(AE49="","",IFERROR(IF(AO48="",SETTINGS!$B$6,AO48),SETTINGS!$B$6)+IF(AE49="",0,AE49))</f>
        <v/>
      </c>
      <c r="AP49" s="2"/>
    </row>
    <row r="50" customFormat="false" ht="15" hidden="false" customHeight="false" outlineLevel="0" collapsed="false">
      <c r="A50" s="24" t="str">
        <f aca="false">IF(B50="","",ROW()-3)</f>
        <v/>
      </c>
      <c r="B50" s="25"/>
      <c r="C50" s="10"/>
      <c r="D50" s="2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26"/>
      <c r="P50" s="24" t="str">
        <f aca="false">IF(K50="","",IFERROR(ABS(K50-L50)/IF(ISNUMBER(SEARCH("JPY",E50)),0.01,IF(ISNUMBER(SEARCH("XAU",E50)),0.01,IF(OR(ISNUMBER(SEARCH("30",E50)),ISNUMBER(SEARCH("500",E50)),ISNUMBER(SEARCH("100",E50))),1,0.0001))),0))</f>
        <v/>
      </c>
      <c r="Q50" s="27" t="str">
        <f aca="false">IF(K50="","",SETTINGS!$B$6*O50)</f>
        <v/>
      </c>
      <c r="R50" s="24" t="str">
        <f aca="false">IF(K50="","",IFERROR(Q50/(P50*IF(ISNUMBER(SEARCH("JPY",E50)),9.09,IF(ISNUMBER(SEARCH("XAU",E50)),1,IF(OR(ISNUMBER(SEARCH("30",E50)),ISNUMBER(SEARCH("500",E50)),ISNUMBER(SEARCH("100",E50))),1,10)))),0))</f>
        <v/>
      </c>
      <c r="S50" s="10"/>
      <c r="T50" s="28"/>
      <c r="U50" s="27" t="str">
        <f aca="false">IF(OR(S50="",T50=0),"",IFERROR((S50-K50)*IF(F50="Sell",-1,1)*R50*T50*IF(ISNUMBER(SEARCH("JPY",E50)),1000,IF(ISNUMBER(SEARCH("XAU",E50)),100,IF(OR(ISNUMBER(SEARCH("30",E50)),ISNUMBER(SEARCH("500",E50)),ISNUMBER(SEARCH("100",E50))),100,100000))),0))</f>
        <v/>
      </c>
      <c r="V50" s="10"/>
      <c r="W50" s="28"/>
      <c r="X50" s="27" t="str">
        <f aca="false">IF(OR(V50="",W50=0),"",IFERROR((V50-K50)*IF(F50="Sell",-1,1)*R50*W50*IF(ISNUMBER(SEARCH("JPY",E50)),1000,IF(ISNUMBER(SEARCH("XAU",E50)),100,IF(OR(ISNUMBER(SEARCH("30",E50)),ISNUMBER(SEARCH("500",E50)),ISNUMBER(SEARCH("100",E50))),100,100000))),0))</f>
        <v/>
      </c>
      <c r="Y50" s="10"/>
      <c r="Z50" s="28"/>
      <c r="AA50" s="27" t="str">
        <f aca="false">IF(OR(Y50="",Z50=0),"",IFERROR((Y50-K50)*IF(F50="Sell",-1,1)*R50*Z50*IF(ISNUMBER(SEARCH("JPY",E50)),1000,IF(ISNUMBER(SEARCH("XAU",E50)),100,IF(OR(ISNUMBER(SEARCH("30",E50)),ISNUMBER(SEARCH("500",E50)),ISNUMBER(SEARCH("100",E50))),100,100000))),0))</f>
        <v/>
      </c>
      <c r="AB50" s="10"/>
      <c r="AC50" s="29" t="str">
        <f aca="false">IF(K50="","",1-IFERROR(T50,0)-IFERROR(W50,0)-IFERROR(Z50,0))</f>
        <v/>
      </c>
      <c r="AD50" s="30" t="str">
        <f aca="false">IF(AB50="","",IFERROR((IFERROR(S50*T50,0)+IFERROR(V50*W50,0)+IFERROR(Y50*Z50,0)+AB50*AC50)/(IFERROR(T50,0)+IFERROR(W50,0)+IFERROR(Z50,0)+AC50),AB50))</f>
        <v/>
      </c>
      <c r="AE50" s="27" t="str">
        <f aca="false">IF(AB50="","",IF(U50="",0,U50)+IF(X50="",0,X50)+IF(AA50="",0,AA50)+IFERROR((AB50-K50)*IF(F50="Sell",-1,1)*R50*AC50*IF(ISNUMBER(SEARCH("JPY",E50)),1000,IF(ISNUMBER(SEARCH("XAU",E50)),100,IF(OR(ISNUMBER(SEARCH("30",E50)),ISNUMBER(SEARCH("500",E50)),ISNUMBER(SEARCH("100",E50))),100,100000))),0))</f>
        <v/>
      </c>
      <c r="AF50" s="31" t="str">
        <f aca="false">IF(OR(K50="",M50="",L50=""),"",IFERROR(ABS(M50-K50)/ABS(K50-L50),0))</f>
        <v/>
      </c>
      <c r="AG50" s="31" t="str">
        <f aca="false">IF(OR(AE50="",AE50=0,Q50=0,Q50=""),"",IFERROR(AE50/Q50,0))</f>
        <v/>
      </c>
      <c r="AH50" s="32" t="str">
        <f aca="false">IF(AB50="","Open",IF(AG50="","Open",IF(AG50&gt;0.1,"Win",IF(AG50&lt;-0.1,"Loss","Breakeven"))))</f>
        <v>Open</v>
      </c>
      <c r="AI50" s="33" t="str">
        <f aca="false">IF(OR(B50="",D50=""),"",D50-B50)</f>
        <v/>
      </c>
      <c r="AJ50" s="24" t="str">
        <f aca="false">IF(AD50="","",IFERROR((AD50-K50)*IF(F50="Sell",-1,1)/IF(ISNUMBER(SEARCH("JPY",E50)),0.01,IF(ISNUMBER(SEARCH("XAU",E50)),0.01,IF(OR(ISNUMBER(SEARCH("30",E50)),ISNUMBER(SEARCH("500",E50)),ISNUMBER(SEARCH("100",E50))),1,0.0001))),0))</f>
        <v/>
      </c>
      <c r="AK50" s="10"/>
      <c r="AL50" s="10"/>
      <c r="AM50" s="10"/>
      <c r="AN50" s="10"/>
      <c r="AO50" s="27" t="str">
        <f aca="false">IF(AE50="","",IFERROR(IF(AO49="",SETTINGS!$B$6,AO49),SETTINGS!$B$6)+IF(AE50="",0,AE50))</f>
        <v/>
      </c>
      <c r="AP50" s="2"/>
    </row>
    <row r="51" customFormat="false" ht="15" hidden="false" customHeight="false" outlineLevel="0" collapsed="false">
      <c r="A51" s="24" t="str">
        <f aca="false">IF(B51="","",ROW()-3)</f>
        <v/>
      </c>
      <c r="B51" s="34"/>
      <c r="C51" s="12"/>
      <c r="D51" s="34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35"/>
      <c r="P51" s="24" t="str">
        <f aca="false">IF(K51="","",IFERROR(ABS(K51-L51)/IF(ISNUMBER(SEARCH("JPY",E51)),0.01,IF(ISNUMBER(SEARCH("XAU",E51)),0.01,IF(OR(ISNUMBER(SEARCH("30",E51)),ISNUMBER(SEARCH("500",E51)),ISNUMBER(SEARCH("100",E51))),1,0.0001))),0))</f>
        <v/>
      </c>
      <c r="Q51" s="27" t="str">
        <f aca="false">IF(K51="","",SETTINGS!$B$6*O51)</f>
        <v/>
      </c>
      <c r="R51" s="24" t="str">
        <f aca="false">IF(K51="","",IFERROR(Q51/(P51*IF(ISNUMBER(SEARCH("JPY",E51)),9.09,IF(ISNUMBER(SEARCH("XAU",E51)),1,IF(OR(ISNUMBER(SEARCH("30",E51)),ISNUMBER(SEARCH("500",E51)),ISNUMBER(SEARCH("100",E51))),1,10)))),0))</f>
        <v/>
      </c>
      <c r="S51" s="12"/>
      <c r="T51" s="36"/>
      <c r="U51" s="27" t="str">
        <f aca="false">IF(OR(S51="",T51=0),"",IFERROR((S51-K51)*IF(F51="Sell",-1,1)*R51*T51*IF(ISNUMBER(SEARCH("JPY",E51)),1000,IF(ISNUMBER(SEARCH("XAU",E51)),100,IF(OR(ISNUMBER(SEARCH("30",E51)),ISNUMBER(SEARCH("500",E51)),ISNUMBER(SEARCH("100",E51))),100,100000))),0))</f>
        <v/>
      </c>
      <c r="V51" s="12"/>
      <c r="W51" s="36"/>
      <c r="X51" s="27" t="str">
        <f aca="false">IF(OR(V51="",W51=0),"",IFERROR((V51-K51)*IF(F51="Sell",-1,1)*R51*W51*IF(ISNUMBER(SEARCH("JPY",E51)),1000,IF(ISNUMBER(SEARCH("XAU",E51)),100,IF(OR(ISNUMBER(SEARCH("30",E51)),ISNUMBER(SEARCH("500",E51)),ISNUMBER(SEARCH("100",E51))),100,100000))),0))</f>
        <v/>
      </c>
      <c r="Y51" s="12"/>
      <c r="Z51" s="36"/>
      <c r="AA51" s="27" t="str">
        <f aca="false">IF(OR(Y51="",Z51=0),"",IFERROR((Y51-K51)*IF(F51="Sell",-1,1)*R51*Z51*IF(ISNUMBER(SEARCH("JPY",E51)),1000,IF(ISNUMBER(SEARCH("XAU",E51)),100,IF(OR(ISNUMBER(SEARCH("30",E51)),ISNUMBER(SEARCH("500",E51)),ISNUMBER(SEARCH("100",E51))),100,100000))),0))</f>
        <v/>
      </c>
      <c r="AB51" s="12"/>
      <c r="AC51" s="29" t="str">
        <f aca="false">IF(K51="","",1-IFERROR(T51,0)-IFERROR(W51,0)-IFERROR(Z51,0))</f>
        <v/>
      </c>
      <c r="AD51" s="30" t="str">
        <f aca="false">IF(AB51="","",IFERROR((IFERROR(S51*T51,0)+IFERROR(V51*W51,0)+IFERROR(Y51*Z51,0)+AB51*AC51)/(IFERROR(T51,0)+IFERROR(W51,0)+IFERROR(Z51,0)+AC51),AB51))</f>
        <v/>
      </c>
      <c r="AE51" s="27" t="str">
        <f aca="false">IF(AB51="","",IF(U51="",0,U51)+IF(X51="",0,X51)+IF(AA51="",0,AA51)+IFERROR((AB51-K51)*IF(F51="Sell",-1,1)*R51*AC51*IF(ISNUMBER(SEARCH("JPY",E51)),1000,IF(ISNUMBER(SEARCH("XAU",E51)),100,IF(OR(ISNUMBER(SEARCH("30",E51)),ISNUMBER(SEARCH("500",E51)),ISNUMBER(SEARCH("100",E51))),100,100000))),0))</f>
        <v/>
      </c>
      <c r="AF51" s="31" t="str">
        <f aca="false">IF(OR(K51="",M51="",L51=""),"",IFERROR(ABS(M51-K51)/ABS(K51-L51),0))</f>
        <v/>
      </c>
      <c r="AG51" s="31" t="str">
        <f aca="false">IF(OR(AE51="",AE51=0,Q51=0,Q51=""),"",IFERROR(AE51/Q51,0))</f>
        <v/>
      </c>
      <c r="AH51" s="32" t="str">
        <f aca="false">IF(AB51="","Open",IF(AG51="","Open",IF(AG51&gt;0.1,"Win",IF(AG51&lt;-0.1,"Loss","Breakeven"))))</f>
        <v>Open</v>
      </c>
      <c r="AI51" s="33" t="str">
        <f aca="false">IF(OR(B51="",D51=""),"",D51-B51)</f>
        <v/>
      </c>
      <c r="AJ51" s="24" t="str">
        <f aca="false">IF(AD51="","",IFERROR((AD51-K51)*IF(F51="Sell",-1,1)/IF(ISNUMBER(SEARCH("JPY",E51)),0.01,IF(ISNUMBER(SEARCH("XAU",E51)),0.01,IF(OR(ISNUMBER(SEARCH("30",E51)),ISNUMBER(SEARCH("500",E51)),ISNUMBER(SEARCH("100",E51))),1,0.0001))),0))</f>
        <v/>
      </c>
      <c r="AK51" s="12"/>
      <c r="AL51" s="12"/>
      <c r="AM51" s="12"/>
      <c r="AN51" s="12"/>
      <c r="AO51" s="27" t="str">
        <f aca="false">IF(AE51="","",IFERROR(IF(AO50="",SETTINGS!$B$6,AO50),SETTINGS!$B$6)+IF(AE51="",0,AE51))</f>
        <v/>
      </c>
      <c r="AP51" s="2"/>
    </row>
    <row r="52" customFormat="false" ht="15" hidden="false" customHeight="false" outlineLevel="0" collapsed="false">
      <c r="A52" s="24" t="str">
        <f aca="false">IF(B52="","",ROW()-3)</f>
        <v/>
      </c>
      <c r="B52" s="25"/>
      <c r="C52" s="10"/>
      <c r="D52" s="25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26"/>
      <c r="P52" s="24" t="str">
        <f aca="false">IF(K52="","",IFERROR(ABS(K52-L52)/IF(ISNUMBER(SEARCH("JPY",E52)),0.01,IF(ISNUMBER(SEARCH("XAU",E52)),0.01,IF(OR(ISNUMBER(SEARCH("30",E52)),ISNUMBER(SEARCH("500",E52)),ISNUMBER(SEARCH("100",E52))),1,0.0001))),0))</f>
        <v/>
      </c>
      <c r="Q52" s="27" t="str">
        <f aca="false">IF(K52="","",SETTINGS!$B$6*O52)</f>
        <v/>
      </c>
      <c r="R52" s="24" t="str">
        <f aca="false">IF(K52="","",IFERROR(Q52/(P52*IF(ISNUMBER(SEARCH("JPY",E52)),9.09,IF(ISNUMBER(SEARCH("XAU",E52)),1,IF(OR(ISNUMBER(SEARCH("30",E52)),ISNUMBER(SEARCH("500",E52)),ISNUMBER(SEARCH("100",E52))),1,10)))),0))</f>
        <v/>
      </c>
      <c r="S52" s="10"/>
      <c r="T52" s="28"/>
      <c r="U52" s="27" t="str">
        <f aca="false">IF(OR(S52="",T52=0),"",IFERROR((S52-K52)*IF(F52="Sell",-1,1)*R52*T52*IF(ISNUMBER(SEARCH("JPY",E52)),1000,IF(ISNUMBER(SEARCH("XAU",E52)),100,IF(OR(ISNUMBER(SEARCH("30",E52)),ISNUMBER(SEARCH("500",E52)),ISNUMBER(SEARCH("100",E52))),100,100000))),0))</f>
        <v/>
      </c>
      <c r="V52" s="10"/>
      <c r="W52" s="28"/>
      <c r="X52" s="27" t="str">
        <f aca="false">IF(OR(V52="",W52=0),"",IFERROR((V52-K52)*IF(F52="Sell",-1,1)*R52*W52*IF(ISNUMBER(SEARCH("JPY",E52)),1000,IF(ISNUMBER(SEARCH("XAU",E52)),100,IF(OR(ISNUMBER(SEARCH("30",E52)),ISNUMBER(SEARCH("500",E52)),ISNUMBER(SEARCH("100",E52))),100,100000))),0))</f>
        <v/>
      </c>
      <c r="Y52" s="10"/>
      <c r="Z52" s="28"/>
      <c r="AA52" s="27" t="str">
        <f aca="false">IF(OR(Y52="",Z52=0),"",IFERROR((Y52-K52)*IF(F52="Sell",-1,1)*R52*Z52*IF(ISNUMBER(SEARCH("JPY",E52)),1000,IF(ISNUMBER(SEARCH("XAU",E52)),100,IF(OR(ISNUMBER(SEARCH("30",E52)),ISNUMBER(SEARCH("500",E52)),ISNUMBER(SEARCH("100",E52))),100,100000))),0))</f>
        <v/>
      </c>
      <c r="AB52" s="10"/>
      <c r="AC52" s="29" t="str">
        <f aca="false">IF(K52="","",1-IFERROR(T52,0)-IFERROR(W52,0)-IFERROR(Z52,0))</f>
        <v/>
      </c>
      <c r="AD52" s="30" t="str">
        <f aca="false">IF(AB52="","",IFERROR((IFERROR(S52*T52,0)+IFERROR(V52*W52,0)+IFERROR(Y52*Z52,0)+AB52*AC52)/(IFERROR(T52,0)+IFERROR(W52,0)+IFERROR(Z52,0)+AC52),AB52))</f>
        <v/>
      </c>
      <c r="AE52" s="27" t="str">
        <f aca="false">IF(AB52="","",IF(U52="",0,U52)+IF(X52="",0,X52)+IF(AA52="",0,AA52)+IFERROR((AB52-K52)*IF(F52="Sell",-1,1)*R52*AC52*IF(ISNUMBER(SEARCH("JPY",E52)),1000,IF(ISNUMBER(SEARCH("XAU",E52)),100,IF(OR(ISNUMBER(SEARCH("30",E52)),ISNUMBER(SEARCH("500",E52)),ISNUMBER(SEARCH("100",E52))),100,100000))),0))</f>
        <v/>
      </c>
      <c r="AF52" s="31" t="str">
        <f aca="false">IF(OR(K52="",M52="",L52=""),"",IFERROR(ABS(M52-K52)/ABS(K52-L52),0))</f>
        <v/>
      </c>
      <c r="AG52" s="31" t="str">
        <f aca="false">IF(OR(AE52="",AE52=0,Q52=0,Q52=""),"",IFERROR(AE52/Q52,0))</f>
        <v/>
      </c>
      <c r="AH52" s="32" t="str">
        <f aca="false">IF(AB52="","Open",IF(AG52="","Open",IF(AG52&gt;0.1,"Win",IF(AG52&lt;-0.1,"Loss","Breakeven"))))</f>
        <v>Open</v>
      </c>
      <c r="AI52" s="33" t="str">
        <f aca="false">IF(OR(B52="",D52=""),"",D52-B52)</f>
        <v/>
      </c>
      <c r="AJ52" s="24" t="str">
        <f aca="false">IF(AD52="","",IFERROR((AD52-K52)*IF(F52="Sell",-1,1)/IF(ISNUMBER(SEARCH("JPY",E52)),0.01,IF(ISNUMBER(SEARCH("XAU",E52)),0.01,IF(OR(ISNUMBER(SEARCH("30",E52)),ISNUMBER(SEARCH("500",E52)),ISNUMBER(SEARCH("100",E52))),1,0.0001))),0))</f>
        <v/>
      </c>
      <c r="AK52" s="10"/>
      <c r="AL52" s="10"/>
      <c r="AM52" s="10"/>
      <c r="AN52" s="10"/>
      <c r="AO52" s="27" t="str">
        <f aca="false">IF(AE52="","",IFERROR(IF(AO51="",SETTINGS!$B$6,AO51),SETTINGS!$B$6)+IF(AE52="",0,AE52))</f>
        <v/>
      </c>
      <c r="AP52" s="2"/>
    </row>
    <row r="53" customFormat="false" ht="15" hidden="false" customHeight="false" outlineLevel="0" collapsed="false">
      <c r="A53" s="24" t="str">
        <f aca="false">IF(B53="","",ROW()-3)</f>
        <v/>
      </c>
      <c r="B53" s="34"/>
      <c r="C53" s="12"/>
      <c r="D53" s="34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35"/>
      <c r="P53" s="24" t="str">
        <f aca="false">IF(K53="","",IFERROR(ABS(K53-L53)/IF(ISNUMBER(SEARCH("JPY",E53)),0.01,IF(ISNUMBER(SEARCH("XAU",E53)),0.01,IF(OR(ISNUMBER(SEARCH("30",E53)),ISNUMBER(SEARCH("500",E53)),ISNUMBER(SEARCH("100",E53))),1,0.0001))),0))</f>
        <v/>
      </c>
      <c r="Q53" s="27" t="str">
        <f aca="false">IF(K53="","",SETTINGS!$B$6*O53)</f>
        <v/>
      </c>
      <c r="R53" s="24" t="str">
        <f aca="false">IF(K53="","",IFERROR(Q53/(P53*IF(ISNUMBER(SEARCH("JPY",E53)),9.09,IF(ISNUMBER(SEARCH("XAU",E53)),1,IF(OR(ISNUMBER(SEARCH("30",E53)),ISNUMBER(SEARCH("500",E53)),ISNUMBER(SEARCH("100",E53))),1,10)))),0))</f>
        <v/>
      </c>
      <c r="S53" s="12"/>
      <c r="T53" s="36"/>
      <c r="U53" s="27" t="str">
        <f aca="false">IF(OR(S53="",T53=0),"",IFERROR((S53-K53)*IF(F53="Sell",-1,1)*R53*T53*IF(ISNUMBER(SEARCH("JPY",E53)),1000,IF(ISNUMBER(SEARCH("XAU",E53)),100,IF(OR(ISNUMBER(SEARCH("30",E53)),ISNUMBER(SEARCH("500",E53)),ISNUMBER(SEARCH("100",E53))),100,100000))),0))</f>
        <v/>
      </c>
      <c r="V53" s="12"/>
      <c r="W53" s="36"/>
      <c r="X53" s="27" t="str">
        <f aca="false">IF(OR(V53="",W53=0),"",IFERROR((V53-K53)*IF(F53="Sell",-1,1)*R53*W53*IF(ISNUMBER(SEARCH("JPY",E53)),1000,IF(ISNUMBER(SEARCH("XAU",E53)),100,IF(OR(ISNUMBER(SEARCH("30",E53)),ISNUMBER(SEARCH("500",E53)),ISNUMBER(SEARCH("100",E53))),100,100000))),0))</f>
        <v/>
      </c>
      <c r="Y53" s="12"/>
      <c r="Z53" s="36"/>
      <c r="AA53" s="27" t="str">
        <f aca="false">IF(OR(Y53="",Z53=0),"",IFERROR((Y53-K53)*IF(F53="Sell",-1,1)*R53*Z53*IF(ISNUMBER(SEARCH("JPY",E53)),1000,IF(ISNUMBER(SEARCH("XAU",E53)),100,IF(OR(ISNUMBER(SEARCH("30",E53)),ISNUMBER(SEARCH("500",E53)),ISNUMBER(SEARCH("100",E53))),100,100000))),0))</f>
        <v/>
      </c>
      <c r="AB53" s="12"/>
      <c r="AC53" s="29" t="str">
        <f aca="false">IF(K53="","",1-IFERROR(T53,0)-IFERROR(W53,0)-IFERROR(Z53,0))</f>
        <v/>
      </c>
      <c r="AD53" s="30" t="str">
        <f aca="false">IF(AB53="","",IFERROR((IFERROR(S53*T53,0)+IFERROR(V53*W53,0)+IFERROR(Y53*Z53,0)+AB53*AC53)/(IFERROR(T53,0)+IFERROR(W53,0)+IFERROR(Z53,0)+AC53),AB53))</f>
        <v/>
      </c>
      <c r="AE53" s="27" t="str">
        <f aca="false">IF(AB53="","",IF(U53="",0,U53)+IF(X53="",0,X53)+IF(AA53="",0,AA53)+IFERROR((AB53-K53)*IF(F53="Sell",-1,1)*R53*AC53*IF(ISNUMBER(SEARCH("JPY",E53)),1000,IF(ISNUMBER(SEARCH("XAU",E53)),100,IF(OR(ISNUMBER(SEARCH("30",E53)),ISNUMBER(SEARCH("500",E53)),ISNUMBER(SEARCH("100",E53))),100,100000))),0))</f>
        <v/>
      </c>
      <c r="AF53" s="31" t="str">
        <f aca="false">IF(OR(K53="",M53="",L53=""),"",IFERROR(ABS(M53-K53)/ABS(K53-L53),0))</f>
        <v/>
      </c>
      <c r="AG53" s="31" t="str">
        <f aca="false">IF(OR(AE53="",AE53=0,Q53=0,Q53=""),"",IFERROR(AE53/Q53,0))</f>
        <v/>
      </c>
      <c r="AH53" s="32" t="str">
        <f aca="false">IF(AB53="","Open",IF(AG53="","Open",IF(AG53&gt;0.1,"Win",IF(AG53&lt;-0.1,"Loss","Breakeven"))))</f>
        <v>Open</v>
      </c>
      <c r="AI53" s="33" t="str">
        <f aca="false">IF(OR(B53="",D53=""),"",D53-B53)</f>
        <v/>
      </c>
      <c r="AJ53" s="24" t="str">
        <f aca="false">IF(AD53="","",IFERROR((AD53-K53)*IF(F53="Sell",-1,1)/IF(ISNUMBER(SEARCH("JPY",E53)),0.01,IF(ISNUMBER(SEARCH("XAU",E53)),0.01,IF(OR(ISNUMBER(SEARCH("30",E53)),ISNUMBER(SEARCH("500",E53)),ISNUMBER(SEARCH("100",E53))),1,0.0001))),0))</f>
        <v/>
      </c>
      <c r="AK53" s="12"/>
      <c r="AL53" s="12"/>
      <c r="AM53" s="12"/>
      <c r="AN53" s="12"/>
      <c r="AO53" s="27" t="str">
        <f aca="false">IF(AE53="","",IFERROR(IF(AO52="",SETTINGS!$B$6,AO52),SETTINGS!$B$6)+IF(AE53="",0,AE53))</f>
        <v/>
      </c>
      <c r="AP53" s="2"/>
    </row>
    <row r="54" customFormat="false" ht="15" hidden="false" customHeight="false" outlineLevel="0" collapsed="false">
      <c r="A54" s="24" t="str">
        <f aca="false">IF(B54="","",ROW()-3)</f>
        <v/>
      </c>
      <c r="B54" s="25"/>
      <c r="C54" s="10"/>
      <c r="D54" s="25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26"/>
      <c r="P54" s="24" t="str">
        <f aca="false">IF(K54="","",IFERROR(ABS(K54-L54)/IF(ISNUMBER(SEARCH("JPY",E54)),0.01,IF(ISNUMBER(SEARCH("XAU",E54)),0.01,IF(OR(ISNUMBER(SEARCH("30",E54)),ISNUMBER(SEARCH("500",E54)),ISNUMBER(SEARCH("100",E54))),1,0.0001))),0))</f>
        <v/>
      </c>
      <c r="Q54" s="27" t="str">
        <f aca="false">IF(K54="","",SETTINGS!$B$6*O54)</f>
        <v/>
      </c>
      <c r="R54" s="24" t="str">
        <f aca="false">IF(K54="","",IFERROR(Q54/(P54*IF(ISNUMBER(SEARCH("JPY",E54)),9.09,IF(ISNUMBER(SEARCH("XAU",E54)),1,IF(OR(ISNUMBER(SEARCH("30",E54)),ISNUMBER(SEARCH("500",E54)),ISNUMBER(SEARCH("100",E54))),1,10)))),0))</f>
        <v/>
      </c>
      <c r="S54" s="10"/>
      <c r="T54" s="28"/>
      <c r="U54" s="27" t="str">
        <f aca="false">IF(OR(S54="",T54=0),"",IFERROR((S54-K54)*IF(F54="Sell",-1,1)*R54*T54*IF(ISNUMBER(SEARCH("JPY",E54)),1000,IF(ISNUMBER(SEARCH("XAU",E54)),100,IF(OR(ISNUMBER(SEARCH("30",E54)),ISNUMBER(SEARCH("500",E54)),ISNUMBER(SEARCH("100",E54))),100,100000))),0))</f>
        <v/>
      </c>
      <c r="V54" s="10"/>
      <c r="W54" s="28"/>
      <c r="X54" s="27" t="str">
        <f aca="false">IF(OR(V54="",W54=0),"",IFERROR((V54-K54)*IF(F54="Sell",-1,1)*R54*W54*IF(ISNUMBER(SEARCH("JPY",E54)),1000,IF(ISNUMBER(SEARCH("XAU",E54)),100,IF(OR(ISNUMBER(SEARCH("30",E54)),ISNUMBER(SEARCH("500",E54)),ISNUMBER(SEARCH("100",E54))),100,100000))),0))</f>
        <v/>
      </c>
      <c r="Y54" s="10"/>
      <c r="Z54" s="28"/>
      <c r="AA54" s="27" t="str">
        <f aca="false">IF(OR(Y54="",Z54=0),"",IFERROR((Y54-K54)*IF(F54="Sell",-1,1)*R54*Z54*IF(ISNUMBER(SEARCH("JPY",E54)),1000,IF(ISNUMBER(SEARCH("XAU",E54)),100,IF(OR(ISNUMBER(SEARCH("30",E54)),ISNUMBER(SEARCH("500",E54)),ISNUMBER(SEARCH("100",E54))),100,100000))),0))</f>
        <v/>
      </c>
      <c r="AB54" s="10"/>
      <c r="AC54" s="29" t="str">
        <f aca="false">IF(K54="","",1-IFERROR(T54,0)-IFERROR(W54,0)-IFERROR(Z54,0))</f>
        <v/>
      </c>
      <c r="AD54" s="30" t="str">
        <f aca="false">IF(AB54="","",IFERROR((IFERROR(S54*T54,0)+IFERROR(V54*W54,0)+IFERROR(Y54*Z54,0)+AB54*AC54)/(IFERROR(T54,0)+IFERROR(W54,0)+IFERROR(Z54,0)+AC54),AB54))</f>
        <v/>
      </c>
      <c r="AE54" s="27" t="str">
        <f aca="false">IF(AB54="","",IF(U54="",0,U54)+IF(X54="",0,X54)+IF(AA54="",0,AA54)+IFERROR((AB54-K54)*IF(F54="Sell",-1,1)*R54*AC54*IF(ISNUMBER(SEARCH("JPY",E54)),1000,IF(ISNUMBER(SEARCH("XAU",E54)),100,IF(OR(ISNUMBER(SEARCH("30",E54)),ISNUMBER(SEARCH("500",E54)),ISNUMBER(SEARCH("100",E54))),100,100000))),0))</f>
        <v/>
      </c>
      <c r="AF54" s="31" t="str">
        <f aca="false">IF(OR(K54="",M54="",L54=""),"",IFERROR(ABS(M54-K54)/ABS(K54-L54),0))</f>
        <v/>
      </c>
      <c r="AG54" s="31" t="str">
        <f aca="false">IF(OR(AE54="",AE54=0,Q54=0,Q54=""),"",IFERROR(AE54/Q54,0))</f>
        <v/>
      </c>
      <c r="AH54" s="32" t="str">
        <f aca="false">IF(AB54="","Open",IF(AG54="","Open",IF(AG54&gt;0.1,"Win",IF(AG54&lt;-0.1,"Loss","Breakeven"))))</f>
        <v>Open</v>
      </c>
      <c r="AI54" s="33" t="str">
        <f aca="false">IF(OR(B54="",D54=""),"",D54-B54)</f>
        <v/>
      </c>
      <c r="AJ54" s="24" t="str">
        <f aca="false">IF(AD54="","",IFERROR((AD54-K54)*IF(F54="Sell",-1,1)/IF(ISNUMBER(SEARCH("JPY",E54)),0.01,IF(ISNUMBER(SEARCH("XAU",E54)),0.01,IF(OR(ISNUMBER(SEARCH("30",E54)),ISNUMBER(SEARCH("500",E54)),ISNUMBER(SEARCH("100",E54))),1,0.0001))),0))</f>
        <v/>
      </c>
      <c r="AK54" s="10"/>
      <c r="AL54" s="10"/>
      <c r="AM54" s="10"/>
      <c r="AN54" s="10"/>
      <c r="AO54" s="27" t="str">
        <f aca="false">IF(AE54="","",IFERROR(IF(AO53="",SETTINGS!$B$6,AO53),SETTINGS!$B$6)+IF(AE54="",0,AE54))</f>
        <v/>
      </c>
      <c r="AP54" s="2"/>
    </row>
    <row r="55" customFormat="false" ht="15" hidden="false" customHeight="false" outlineLevel="0" collapsed="false">
      <c r="A55" s="24" t="str">
        <f aca="false">IF(B55="","",ROW()-3)</f>
        <v/>
      </c>
      <c r="B55" s="34"/>
      <c r="C55" s="12"/>
      <c r="D55" s="34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35"/>
      <c r="P55" s="24" t="str">
        <f aca="false">IF(K55="","",IFERROR(ABS(K55-L55)/IF(ISNUMBER(SEARCH("JPY",E55)),0.01,IF(ISNUMBER(SEARCH("XAU",E55)),0.01,IF(OR(ISNUMBER(SEARCH("30",E55)),ISNUMBER(SEARCH("500",E55)),ISNUMBER(SEARCH("100",E55))),1,0.0001))),0))</f>
        <v/>
      </c>
      <c r="Q55" s="27" t="str">
        <f aca="false">IF(K55="","",SETTINGS!$B$6*O55)</f>
        <v/>
      </c>
      <c r="R55" s="24" t="str">
        <f aca="false">IF(K55="","",IFERROR(Q55/(P55*IF(ISNUMBER(SEARCH("JPY",E55)),9.09,IF(ISNUMBER(SEARCH("XAU",E55)),1,IF(OR(ISNUMBER(SEARCH("30",E55)),ISNUMBER(SEARCH("500",E55)),ISNUMBER(SEARCH("100",E55))),1,10)))),0))</f>
        <v/>
      </c>
      <c r="S55" s="12"/>
      <c r="T55" s="36"/>
      <c r="U55" s="27" t="str">
        <f aca="false">IF(OR(S55="",T55=0),"",IFERROR((S55-K55)*IF(F55="Sell",-1,1)*R55*T55*IF(ISNUMBER(SEARCH("JPY",E55)),1000,IF(ISNUMBER(SEARCH("XAU",E55)),100,IF(OR(ISNUMBER(SEARCH("30",E55)),ISNUMBER(SEARCH("500",E55)),ISNUMBER(SEARCH("100",E55))),100,100000))),0))</f>
        <v/>
      </c>
      <c r="V55" s="12"/>
      <c r="W55" s="36"/>
      <c r="X55" s="27" t="str">
        <f aca="false">IF(OR(V55="",W55=0),"",IFERROR((V55-K55)*IF(F55="Sell",-1,1)*R55*W55*IF(ISNUMBER(SEARCH("JPY",E55)),1000,IF(ISNUMBER(SEARCH("XAU",E55)),100,IF(OR(ISNUMBER(SEARCH("30",E55)),ISNUMBER(SEARCH("500",E55)),ISNUMBER(SEARCH("100",E55))),100,100000))),0))</f>
        <v/>
      </c>
      <c r="Y55" s="12"/>
      <c r="Z55" s="36"/>
      <c r="AA55" s="27" t="str">
        <f aca="false">IF(OR(Y55="",Z55=0),"",IFERROR((Y55-K55)*IF(F55="Sell",-1,1)*R55*Z55*IF(ISNUMBER(SEARCH("JPY",E55)),1000,IF(ISNUMBER(SEARCH("XAU",E55)),100,IF(OR(ISNUMBER(SEARCH("30",E55)),ISNUMBER(SEARCH("500",E55)),ISNUMBER(SEARCH("100",E55))),100,100000))),0))</f>
        <v/>
      </c>
      <c r="AB55" s="12"/>
      <c r="AC55" s="29" t="str">
        <f aca="false">IF(K55="","",1-IFERROR(T55,0)-IFERROR(W55,0)-IFERROR(Z55,0))</f>
        <v/>
      </c>
      <c r="AD55" s="30" t="str">
        <f aca="false">IF(AB55="","",IFERROR((IFERROR(S55*T55,0)+IFERROR(V55*W55,0)+IFERROR(Y55*Z55,0)+AB55*AC55)/(IFERROR(T55,0)+IFERROR(W55,0)+IFERROR(Z55,0)+AC55),AB55))</f>
        <v/>
      </c>
      <c r="AE55" s="27" t="str">
        <f aca="false">IF(AB55="","",IF(U55="",0,U55)+IF(X55="",0,X55)+IF(AA55="",0,AA55)+IFERROR((AB55-K55)*IF(F55="Sell",-1,1)*R55*AC55*IF(ISNUMBER(SEARCH("JPY",E55)),1000,IF(ISNUMBER(SEARCH("XAU",E55)),100,IF(OR(ISNUMBER(SEARCH("30",E55)),ISNUMBER(SEARCH("500",E55)),ISNUMBER(SEARCH("100",E55))),100,100000))),0))</f>
        <v/>
      </c>
      <c r="AF55" s="31" t="str">
        <f aca="false">IF(OR(K55="",M55="",L55=""),"",IFERROR(ABS(M55-K55)/ABS(K55-L55),0))</f>
        <v/>
      </c>
      <c r="AG55" s="31" t="str">
        <f aca="false">IF(OR(AE55="",AE55=0,Q55=0,Q55=""),"",IFERROR(AE55/Q55,0))</f>
        <v/>
      </c>
      <c r="AH55" s="32" t="str">
        <f aca="false">IF(AB55="","Open",IF(AG55="","Open",IF(AG55&gt;0.1,"Win",IF(AG55&lt;-0.1,"Loss","Breakeven"))))</f>
        <v>Open</v>
      </c>
      <c r="AI55" s="33" t="str">
        <f aca="false">IF(OR(B55="",D55=""),"",D55-B55)</f>
        <v/>
      </c>
      <c r="AJ55" s="24" t="str">
        <f aca="false">IF(AD55="","",IFERROR((AD55-K55)*IF(F55="Sell",-1,1)/IF(ISNUMBER(SEARCH("JPY",E55)),0.01,IF(ISNUMBER(SEARCH("XAU",E55)),0.01,IF(OR(ISNUMBER(SEARCH("30",E55)),ISNUMBER(SEARCH("500",E55)),ISNUMBER(SEARCH("100",E55))),1,0.0001))),0))</f>
        <v/>
      </c>
      <c r="AK55" s="12"/>
      <c r="AL55" s="12"/>
      <c r="AM55" s="12"/>
      <c r="AN55" s="12"/>
      <c r="AO55" s="27" t="str">
        <f aca="false">IF(AE55="","",IFERROR(IF(AO54="",SETTINGS!$B$6,AO54),SETTINGS!$B$6)+IF(AE55="",0,AE55))</f>
        <v/>
      </c>
      <c r="AP55" s="2"/>
    </row>
    <row r="56" customFormat="false" ht="15" hidden="false" customHeight="false" outlineLevel="0" collapsed="false">
      <c r="A56" s="24" t="str">
        <f aca="false">IF(B56="","",ROW()-3)</f>
        <v/>
      </c>
      <c r="B56" s="25"/>
      <c r="C56" s="10"/>
      <c r="D56" s="25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26"/>
      <c r="P56" s="24" t="str">
        <f aca="false">IF(K56="","",IFERROR(ABS(K56-L56)/IF(ISNUMBER(SEARCH("JPY",E56)),0.01,IF(ISNUMBER(SEARCH("XAU",E56)),0.01,IF(OR(ISNUMBER(SEARCH("30",E56)),ISNUMBER(SEARCH("500",E56)),ISNUMBER(SEARCH("100",E56))),1,0.0001))),0))</f>
        <v/>
      </c>
      <c r="Q56" s="27" t="str">
        <f aca="false">IF(K56="","",SETTINGS!$B$6*O56)</f>
        <v/>
      </c>
      <c r="R56" s="24" t="str">
        <f aca="false">IF(K56="","",IFERROR(Q56/(P56*IF(ISNUMBER(SEARCH("JPY",E56)),9.09,IF(ISNUMBER(SEARCH("XAU",E56)),1,IF(OR(ISNUMBER(SEARCH("30",E56)),ISNUMBER(SEARCH("500",E56)),ISNUMBER(SEARCH("100",E56))),1,10)))),0))</f>
        <v/>
      </c>
      <c r="S56" s="10"/>
      <c r="T56" s="28"/>
      <c r="U56" s="27" t="str">
        <f aca="false">IF(OR(S56="",T56=0),"",IFERROR((S56-K56)*IF(F56="Sell",-1,1)*R56*T56*IF(ISNUMBER(SEARCH("JPY",E56)),1000,IF(ISNUMBER(SEARCH("XAU",E56)),100,IF(OR(ISNUMBER(SEARCH("30",E56)),ISNUMBER(SEARCH("500",E56)),ISNUMBER(SEARCH("100",E56))),100,100000))),0))</f>
        <v/>
      </c>
      <c r="V56" s="10"/>
      <c r="W56" s="28"/>
      <c r="X56" s="27" t="str">
        <f aca="false">IF(OR(V56="",W56=0),"",IFERROR((V56-K56)*IF(F56="Sell",-1,1)*R56*W56*IF(ISNUMBER(SEARCH("JPY",E56)),1000,IF(ISNUMBER(SEARCH("XAU",E56)),100,IF(OR(ISNUMBER(SEARCH("30",E56)),ISNUMBER(SEARCH("500",E56)),ISNUMBER(SEARCH("100",E56))),100,100000))),0))</f>
        <v/>
      </c>
      <c r="Y56" s="10"/>
      <c r="Z56" s="28"/>
      <c r="AA56" s="27" t="str">
        <f aca="false">IF(OR(Y56="",Z56=0),"",IFERROR((Y56-K56)*IF(F56="Sell",-1,1)*R56*Z56*IF(ISNUMBER(SEARCH("JPY",E56)),1000,IF(ISNUMBER(SEARCH("XAU",E56)),100,IF(OR(ISNUMBER(SEARCH("30",E56)),ISNUMBER(SEARCH("500",E56)),ISNUMBER(SEARCH("100",E56))),100,100000))),0))</f>
        <v/>
      </c>
      <c r="AB56" s="10"/>
      <c r="AC56" s="29" t="str">
        <f aca="false">IF(K56="","",1-IFERROR(T56,0)-IFERROR(W56,0)-IFERROR(Z56,0))</f>
        <v/>
      </c>
      <c r="AD56" s="30" t="str">
        <f aca="false">IF(AB56="","",IFERROR((IFERROR(S56*T56,0)+IFERROR(V56*W56,0)+IFERROR(Y56*Z56,0)+AB56*AC56)/(IFERROR(T56,0)+IFERROR(W56,0)+IFERROR(Z56,0)+AC56),AB56))</f>
        <v/>
      </c>
      <c r="AE56" s="27" t="str">
        <f aca="false">IF(AB56="","",IF(U56="",0,U56)+IF(X56="",0,X56)+IF(AA56="",0,AA56)+IFERROR((AB56-K56)*IF(F56="Sell",-1,1)*R56*AC56*IF(ISNUMBER(SEARCH("JPY",E56)),1000,IF(ISNUMBER(SEARCH("XAU",E56)),100,IF(OR(ISNUMBER(SEARCH("30",E56)),ISNUMBER(SEARCH("500",E56)),ISNUMBER(SEARCH("100",E56))),100,100000))),0))</f>
        <v/>
      </c>
      <c r="AF56" s="31" t="str">
        <f aca="false">IF(OR(K56="",M56="",L56=""),"",IFERROR(ABS(M56-K56)/ABS(K56-L56),0))</f>
        <v/>
      </c>
      <c r="AG56" s="31" t="str">
        <f aca="false">IF(OR(AE56="",AE56=0,Q56=0,Q56=""),"",IFERROR(AE56/Q56,0))</f>
        <v/>
      </c>
      <c r="AH56" s="32" t="str">
        <f aca="false">IF(AB56="","Open",IF(AG56="","Open",IF(AG56&gt;0.1,"Win",IF(AG56&lt;-0.1,"Loss","Breakeven"))))</f>
        <v>Open</v>
      </c>
      <c r="AI56" s="33" t="str">
        <f aca="false">IF(OR(B56="",D56=""),"",D56-B56)</f>
        <v/>
      </c>
      <c r="AJ56" s="24" t="str">
        <f aca="false">IF(AD56="","",IFERROR((AD56-K56)*IF(F56="Sell",-1,1)/IF(ISNUMBER(SEARCH("JPY",E56)),0.01,IF(ISNUMBER(SEARCH("XAU",E56)),0.01,IF(OR(ISNUMBER(SEARCH("30",E56)),ISNUMBER(SEARCH("500",E56)),ISNUMBER(SEARCH("100",E56))),1,0.0001))),0))</f>
        <v/>
      </c>
      <c r="AK56" s="10"/>
      <c r="AL56" s="10"/>
      <c r="AM56" s="10"/>
      <c r="AN56" s="10"/>
      <c r="AO56" s="27" t="str">
        <f aca="false">IF(AE56="","",IFERROR(IF(AO55="",SETTINGS!$B$6,AO55),SETTINGS!$B$6)+IF(AE56="",0,AE56))</f>
        <v/>
      </c>
      <c r="AP56" s="2"/>
    </row>
    <row r="57" customFormat="false" ht="15" hidden="false" customHeight="false" outlineLevel="0" collapsed="false">
      <c r="A57" s="24" t="str">
        <f aca="false">IF(B57="","",ROW()-3)</f>
        <v/>
      </c>
      <c r="B57" s="34"/>
      <c r="C57" s="12"/>
      <c r="D57" s="34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35"/>
      <c r="P57" s="24" t="str">
        <f aca="false">IF(K57="","",IFERROR(ABS(K57-L57)/IF(ISNUMBER(SEARCH("JPY",E57)),0.01,IF(ISNUMBER(SEARCH("XAU",E57)),0.01,IF(OR(ISNUMBER(SEARCH("30",E57)),ISNUMBER(SEARCH("500",E57)),ISNUMBER(SEARCH("100",E57))),1,0.0001))),0))</f>
        <v/>
      </c>
      <c r="Q57" s="27" t="str">
        <f aca="false">IF(K57="","",SETTINGS!$B$6*O57)</f>
        <v/>
      </c>
      <c r="R57" s="24" t="str">
        <f aca="false">IF(K57="","",IFERROR(Q57/(P57*IF(ISNUMBER(SEARCH("JPY",E57)),9.09,IF(ISNUMBER(SEARCH("XAU",E57)),1,IF(OR(ISNUMBER(SEARCH("30",E57)),ISNUMBER(SEARCH("500",E57)),ISNUMBER(SEARCH("100",E57))),1,10)))),0))</f>
        <v/>
      </c>
      <c r="S57" s="12"/>
      <c r="T57" s="36"/>
      <c r="U57" s="27" t="str">
        <f aca="false">IF(OR(S57="",T57=0),"",IFERROR((S57-K57)*IF(F57="Sell",-1,1)*R57*T57*IF(ISNUMBER(SEARCH("JPY",E57)),1000,IF(ISNUMBER(SEARCH("XAU",E57)),100,IF(OR(ISNUMBER(SEARCH("30",E57)),ISNUMBER(SEARCH("500",E57)),ISNUMBER(SEARCH("100",E57))),100,100000))),0))</f>
        <v/>
      </c>
      <c r="V57" s="12"/>
      <c r="W57" s="36"/>
      <c r="X57" s="27" t="str">
        <f aca="false">IF(OR(V57="",W57=0),"",IFERROR((V57-K57)*IF(F57="Sell",-1,1)*R57*W57*IF(ISNUMBER(SEARCH("JPY",E57)),1000,IF(ISNUMBER(SEARCH("XAU",E57)),100,IF(OR(ISNUMBER(SEARCH("30",E57)),ISNUMBER(SEARCH("500",E57)),ISNUMBER(SEARCH("100",E57))),100,100000))),0))</f>
        <v/>
      </c>
      <c r="Y57" s="12"/>
      <c r="Z57" s="36"/>
      <c r="AA57" s="27" t="str">
        <f aca="false">IF(OR(Y57="",Z57=0),"",IFERROR((Y57-K57)*IF(F57="Sell",-1,1)*R57*Z57*IF(ISNUMBER(SEARCH("JPY",E57)),1000,IF(ISNUMBER(SEARCH("XAU",E57)),100,IF(OR(ISNUMBER(SEARCH("30",E57)),ISNUMBER(SEARCH("500",E57)),ISNUMBER(SEARCH("100",E57))),100,100000))),0))</f>
        <v/>
      </c>
      <c r="AB57" s="12"/>
      <c r="AC57" s="29" t="str">
        <f aca="false">IF(K57="","",1-IFERROR(T57,0)-IFERROR(W57,0)-IFERROR(Z57,0))</f>
        <v/>
      </c>
      <c r="AD57" s="30" t="str">
        <f aca="false">IF(AB57="","",IFERROR((IFERROR(S57*T57,0)+IFERROR(V57*W57,0)+IFERROR(Y57*Z57,0)+AB57*AC57)/(IFERROR(T57,0)+IFERROR(W57,0)+IFERROR(Z57,0)+AC57),AB57))</f>
        <v/>
      </c>
      <c r="AE57" s="27" t="str">
        <f aca="false">IF(AB57="","",IF(U57="",0,U57)+IF(X57="",0,X57)+IF(AA57="",0,AA57)+IFERROR((AB57-K57)*IF(F57="Sell",-1,1)*R57*AC57*IF(ISNUMBER(SEARCH("JPY",E57)),1000,IF(ISNUMBER(SEARCH("XAU",E57)),100,IF(OR(ISNUMBER(SEARCH("30",E57)),ISNUMBER(SEARCH("500",E57)),ISNUMBER(SEARCH("100",E57))),100,100000))),0))</f>
        <v/>
      </c>
      <c r="AF57" s="31" t="str">
        <f aca="false">IF(OR(K57="",M57="",L57=""),"",IFERROR(ABS(M57-K57)/ABS(K57-L57),0))</f>
        <v/>
      </c>
      <c r="AG57" s="31" t="str">
        <f aca="false">IF(OR(AE57="",AE57=0,Q57=0,Q57=""),"",IFERROR(AE57/Q57,0))</f>
        <v/>
      </c>
      <c r="AH57" s="32" t="str">
        <f aca="false">IF(AB57="","Open",IF(AG57="","Open",IF(AG57&gt;0.1,"Win",IF(AG57&lt;-0.1,"Loss","Breakeven"))))</f>
        <v>Open</v>
      </c>
      <c r="AI57" s="33" t="str">
        <f aca="false">IF(OR(B57="",D57=""),"",D57-B57)</f>
        <v/>
      </c>
      <c r="AJ57" s="24" t="str">
        <f aca="false">IF(AD57="","",IFERROR((AD57-K57)*IF(F57="Sell",-1,1)/IF(ISNUMBER(SEARCH("JPY",E57)),0.01,IF(ISNUMBER(SEARCH("XAU",E57)),0.01,IF(OR(ISNUMBER(SEARCH("30",E57)),ISNUMBER(SEARCH("500",E57)),ISNUMBER(SEARCH("100",E57))),1,0.0001))),0))</f>
        <v/>
      </c>
      <c r="AK57" s="12"/>
      <c r="AL57" s="12"/>
      <c r="AM57" s="12"/>
      <c r="AN57" s="12"/>
      <c r="AO57" s="27" t="str">
        <f aca="false">IF(AE57="","",IFERROR(IF(AO56="",SETTINGS!$B$6,AO56),SETTINGS!$B$6)+IF(AE57="",0,AE57))</f>
        <v/>
      </c>
      <c r="AP57" s="2"/>
    </row>
    <row r="58" customFormat="false" ht="15" hidden="false" customHeight="false" outlineLevel="0" collapsed="false">
      <c r="A58" s="24" t="str">
        <f aca="false">IF(B58="","",ROW()-3)</f>
        <v/>
      </c>
      <c r="B58" s="25"/>
      <c r="C58" s="10"/>
      <c r="D58" s="25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26"/>
      <c r="P58" s="24" t="str">
        <f aca="false">IF(K58="","",IFERROR(ABS(K58-L58)/IF(ISNUMBER(SEARCH("JPY",E58)),0.01,IF(ISNUMBER(SEARCH("XAU",E58)),0.01,IF(OR(ISNUMBER(SEARCH("30",E58)),ISNUMBER(SEARCH("500",E58)),ISNUMBER(SEARCH("100",E58))),1,0.0001))),0))</f>
        <v/>
      </c>
      <c r="Q58" s="27" t="str">
        <f aca="false">IF(K58="","",SETTINGS!$B$6*O58)</f>
        <v/>
      </c>
      <c r="R58" s="24" t="str">
        <f aca="false">IF(K58="","",IFERROR(Q58/(P58*IF(ISNUMBER(SEARCH("JPY",E58)),9.09,IF(ISNUMBER(SEARCH("XAU",E58)),1,IF(OR(ISNUMBER(SEARCH("30",E58)),ISNUMBER(SEARCH("500",E58)),ISNUMBER(SEARCH("100",E58))),1,10)))),0))</f>
        <v/>
      </c>
      <c r="S58" s="10"/>
      <c r="T58" s="28"/>
      <c r="U58" s="27" t="str">
        <f aca="false">IF(OR(S58="",T58=0),"",IFERROR((S58-K58)*IF(F58="Sell",-1,1)*R58*T58*IF(ISNUMBER(SEARCH("JPY",E58)),1000,IF(ISNUMBER(SEARCH("XAU",E58)),100,IF(OR(ISNUMBER(SEARCH("30",E58)),ISNUMBER(SEARCH("500",E58)),ISNUMBER(SEARCH("100",E58))),100,100000))),0))</f>
        <v/>
      </c>
      <c r="V58" s="10"/>
      <c r="W58" s="28"/>
      <c r="X58" s="27" t="str">
        <f aca="false">IF(OR(V58="",W58=0),"",IFERROR((V58-K58)*IF(F58="Sell",-1,1)*R58*W58*IF(ISNUMBER(SEARCH("JPY",E58)),1000,IF(ISNUMBER(SEARCH("XAU",E58)),100,IF(OR(ISNUMBER(SEARCH("30",E58)),ISNUMBER(SEARCH("500",E58)),ISNUMBER(SEARCH("100",E58))),100,100000))),0))</f>
        <v/>
      </c>
      <c r="Y58" s="10"/>
      <c r="Z58" s="28"/>
      <c r="AA58" s="27" t="str">
        <f aca="false">IF(OR(Y58="",Z58=0),"",IFERROR((Y58-K58)*IF(F58="Sell",-1,1)*R58*Z58*IF(ISNUMBER(SEARCH("JPY",E58)),1000,IF(ISNUMBER(SEARCH("XAU",E58)),100,IF(OR(ISNUMBER(SEARCH("30",E58)),ISNUMBER(SEARCH("500",E58)),ISNUMBER(SEARCH("100",E58))),100,100000))),0))</f>
        <v/>
      </c>
      <c r="AB58" s="10"/>
      <c r="AC58" s="29" t="str">
        <f aca="false">IF(K58="","",1-IFERROR(T58,0)-IFERROR(W58,0)-IFERROR(Z58,0))</f>
        <v/>
      </c>
      <c r="AD58" s="30" t="str">
        <f aca="false">IF(AB58="","",IFERROR((IFERROR(S58*T58,0)+IFERROR(V58*W58,0)+IFERROR(Y58*Z58,0)+AB58*AC58)/(IFERROR(T58,0)+IFERROR(W58,0)+IFERROR(Z58,0)+AC58),AB58))</f>
        <v/>
      </c>
      <c r="AE58" s="27" t="str">
        <f aca="false">IF(AB58="","",IF(U58="",0,U58)+IF(X58="",0,X58)+IF(AA58="",0,AA58)+IFERROR((AB58-K58)*IF(F58="Sell",-1,1)*R58*AC58*IF(ISNUMBER(SEARCH("JPY",E58)),1000,IF(ISNUMBER(SEARCH("XAU",E58)),100,IF(OR(ISNUMBER(SEARCH("30",E58)),ISNUMBER(SEARCH("500",E58)),ISNUMBER(SEARCH("100",E58))),100,100000))),0))</f>
        <v/>
      </c>
      <c r="AF58" s="31" t="str">
        <f aca="false">IF(OR(K58="",M58="",L58=""),"",IFERROR(ABS(M58-K58)/ABS(K58-L58),0))</f>
        <v/>
      </c>
      <c r="AG58" s="31" t="str">
        <f aca="false">IF(OR(AE58="",AE58=0,Q58=0,Q58=""),"",IFERROR(AE58/Q58,0))</f>
        <v/>
      </c>
      <c r="AH58" s="32" t="str">
        <f aca="false">IF(AB58="","Open",IF(AG58="","Open",IF(AG58&gt;0.1,"Win",IF(AG58&lt;-0.1,"Loss","Breakeven"))))</f>
        <v>Open</v>
      </c>
      <c r="AI58" s="33" t="str">
        <f aca="false">IF(OR(B58="",D58=""),"",D58-B58)</f>
        <v/>
      </c>
      <c r="AJ58" s="24" t="str">
        <f aca="false">IF(AD58="","",IFERROR((AD58-K58)*IF(F58="Sell",-1,1)/IF(ISNUMBER(SEARCH("JPY",E58)),0.01,IF(ISNUMBER(SEARCH("XAU",E58)),0.01,IF(OR(ISNUMBER(SEARCH("30",E58)),ISNUMBER(SEARCH("500",E58)),ISNUMBER(SEARCH("100",E58))),1,0.0001))),0))</f>
        <v/>
      </c>
      <c r="AK58" s="10"/>
      <c r="AL58" s="10"/>
      <c r="AM58" s="10"/>
      <c r="AN58" s="10"/>
      <c r="AO58" s="27" t="str">
        <f aca="false">IF(AE58="","",IFERROR(IF(AO57="",SETTINGS!$B$6,AO57),SETTINGS!$B$6)+IF(AE58="",0,AE58))</f>
        <v/>
      </c>
      <c r="AP58" s="2"/>
    </row>
    <row r="59" customFormat="false" ht="15" hidden="false" customHeight="false" outlineLevel="0" collapsed="false">
      <c r="A59" s="24" t="str">
        <f aca="false">IF(B59="","",ROW()-3)</f>
        <v/>
      </c>
      <c r="B59" s="34"/>
      <c r="C59" s="12"/>
      <c r="D59" s="34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35"/>
      <c r="P59" s="24" t="str">
        <f aca="false">IF(K59="","",IFERROR(ABS(K59-L59)/IF(ISNUMBER(SEARCH("JPY",E59)),0.01,IF(ISNUMBER(SEARCH("XAU",E59)),0.01,IF(OR(ISNUMBER(SEARCH("30",E59)),ISNUMBER(SEARCH("500",E59)),ISNUMBER(SEARCH("100",E59))),1,0.0001))),0))</f>
        <v/>
      </c>
      <c r="Q59" s="27" t="str">
        <f aca="false">IF(K59="","",SETTINGS!$B$6*O59)</f>
        <v/>
      </c>
      <c r="R59" s="24" t="str">
        <f aca="false">IF(K59="","",IFERROR(Q59/(P59*IF(ISNUMBER(SEARCH("JPY",E59)),9.09,IF(ISNUMBER(SEARCH("XAU",E59)),1,IF(OR(ISNUMBER(SEARCH("30",E59)),ISNUMBER(SEARCH("500",E59)),ISNUMBER(SEARCH("100",E59))),1,10)))),0))</f>
        <v/>
      </c>
      <c r="S59" s="12"/>
      <c r="T59" s="36"/>
      <c r="U59" s="27" t="str">
        <f aca="false">IF(OR(S59="",T59=0),"",IFERROR((S59-K59)*IF(F59="Sell",-1,1)*R59*T59*IF(ISNUMBER(SEARCH("JPY",E59)),1000,IF(ISNUMBER(SEARCH("XAU",E59)),100,IF(OR(ISNUMBER(SEARCH("30",E59)),ISNUMBER(SEARCH("500",E59)),ISNUMBER(SEARCH("100",E59))),100,100000))),0))</f>
        <v/>
      </c>
      <c r="V59" s="12"/>
      <c r="W59" s="36"/>
      <c r="X59" s="27" t="str">
        <f aca="false">IF(OR(V59="",W59=0),"",IFERROR((V59-K59)*IF(F59="Sell",-1,1)*R59*W59*IF(ISNUMBER(SEARCH("JPY",E59)),1000,IF(ISNUMBER(SEARCH("XAU",E59)),100,IF(OR(ISNUMBER(SEARCH("30",E59)),ISNUMBER(SEARCH("500",E59)),ISNUMBER(SEARCH("100",E59))),100,100000))),0))</f>
        <v/>
      </c>
      <c r="Y59" s="12"/>
      <c r="Z59" s="36"/>
      <c r="AA59" s="27" t="str">
        <f aca="false">IF(OR(Y59="",Z59=0),"",IFERROR((Y59-K59)*IF(F59="Sell",-1,1)*R59*Z59*IF(ISNUMBER(SEARCH("JPY",E59)),1000,IF(ISNUMBER(SEARCH("XAU",E59)),100,IF(OR(ISNUMBER(SEARCH("30",E59)),ISNUMBER(SEARCH("500",E59)),ISNUMBER(SEARCH("100",E59))),100,100000))),0))</f>
        <v/>
      </c>
      <c r="AB59" s="12"/>
      <c r="AC59" s="29" t="str">
        <f aca="false">IF(K59="","",1-IFERROR(T59,0)-IFERROR(W59,0)-IFERROR(Z59,0))</f>
        <v/>
      </c>
      <c r="AD59" s="30" t="str">
        <f aca="false">IF(AB59="","",IFERROR((IFERROR(S59*T59,0)+IFERROR(V59*W59,0)+IFERROR(Y59*Z59,0)+AB59*AC59)/(IFERROR(T59,0)+IFERROR(W59,0)+IFERROR(Z59,0)+AC59),AB59))</f>
        <v/>
      </c>
      <c r="AE59" s="27" t="str">
        <f aca="false">IF(AB59="","",IF(U59="",0,U59)+IF(X59="",0,X59)+IF(AA59="",0,AA59)+IFERROR((AB59-K59)*IF(F59="Sell",-1,1)*R59*AC59*IF(ISNUMBER(SEARCH("JPY",E59)),1000,IF(ISNUMBER(SEARCH("XAU",E59)),100,IF(OR(ISNUMBER(SEARCH("30",E59)),ISNUMBER(SEARCH("500",E59)),ISNUMBER(SEARCH("100",E59))),100,100000))),0))</f>
        <v/>
      </c>
      <c r="AF59" s="31" t="str">
        <f aca="false">IF(OR(K59="",M59="",L59=""),"",IFERROR(ABS(M59-K59)/ABS(K59-L59),0))</f>
        <v/>
      </c>
      <c r="AG59" s="31" t="str">
        <f aca="false">IF(OR(AE59="",AE59=0,Q59=0,Q59=""),"",IFERROR(AE59/Q59,0))</f>
        <v/>
      </c>
      <c r="AH59" s="32" t="str">
        <f aca="false">IF(AB59="","Open",IF(AG59="","Open",IF(AG59&gt;0.1,"Win",IF(AG59&lt;-0.1,"Loss","Breakeven"))))</f>
        <v>Open</v>
      </c>
      <c r="AI59" s="33" t="str">
        <f aca="false">IF(OR(B59="",D59=""),"",D59-B59)</f>
        <v/>
      </c>
      <c r="AJ59" s="24" t="str">
        <f aca="false">IF(AD59="","",IFERROR((AD59-K59)*IF(F59="Sell",-1,1)/IF(ISNUMBER(SEARCH("JPY",E59)),0.01,IF(ISNUMBER(SEARCH("XAU",E59)),0.01,IF(OR(ISNUMBER(SEARCH("30",E59)),ISNUMBER(SEARCH("500",E59)),ISNUMBER(SEARCH("100",E59))),1,0.0001))),0))</f>
        <v/>
      </c>
      <c r="AK59" s="12"/>
      <c r="AL59" s="12"/>
      <c r="AM59" s="12"/>
      <c r="AN59" s="12"/>
      <c r="AO59" s="27" t="str">
        <f aca="false">IF(AE59="","",IFERROR(IF(AO58="",SETTINGS!$B$6,AO58),SETTINGS!$B$6)+IF(AE59="",0,AE59))</f>
        <v/>
      </c>
      <c r="AP59" s="2"/>
    </row>
    <row r="60" customFormat="false" ht="15" hidden="false" customHeight="false" outlineLevel="0" collapsed="false">
      <c r="A60" s="24" t="str">
        <f aca="false">IF(B60="","",ROW()-3)</f>
        <v/>
      </c>
      <c r="B60" s="25"/>
      <c r="C60" s="10"/>
      <c r="D60" s="25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26"/>
      <c r="P60" s="24" t="str">
        <f aca="false">IF(K60="","",IFERROR(ABS(K60-L60)/IF(ISNUMBER(SEARCH("JPY",E60)),0.01,IF(ISNUMBER(SEARCH("XAU",E60)),0.01,IF(OR(ISNUMBER(SEARCH("30",E60)),ISNUMBER(SEARCH("500",E60)),ISNUMBER(SEARCH("100",E60))),1,0.0001))),0))</f>
        <v/>
      </c>
      <c r="Q60" s="27" t="str">
        <f aca="false">IF(K60="","",SETTINGS!$B$6*O60)</f>
        <v/>
      </c>
      <c r="R60" s="24" t="str">
        <f aca="false">IF(K60="","",IFERROR(Q60/(P60*IF(ISNUMBER(SEARCH("JPY",E60)),9.09,IF(ISNUMBER(SEARCH("XAU",E60)),1,IF(OR(ISNUMBER(SEARCH("30",E60)),ISNUMBER(SEARCH("500",E60)),ISNUMBER(SEARCH("100",E60))),1,10)))),0))</f>
        <v/>
      </c>
      <c r="S60" s="10"/>
      <c r="T60" s="28"/>
      <c r="U60" s="27" t="str">
        <f aca="false">IF(OR(S60="",T60=0),"",IFERROR((S60-K60)*IF(F60="Sell",-1,1)*R60*T60*IF(ISNUMBER(SEARCH("JPY",E60)),1000,IF(ISNUMBER(SEARCH("XAU",E60)),100,IF(OR(ISNUMBER(SEARCH("30",E60)),ISNUMBER(SEARCH("500",E60)),ISNUMBER(SEARCH("100",E60))),100,100000))),0))</f>
        <v/>
      </c>
      <c r="V60" s="10"/>
      <c r="W60" s="28"/>
      <c r="X60" s="27" t="str">
        <f aca="false">IF(OR(V60="",W60=0),"",IFERROR((V60-K60)*IF(F60="Sell",-1,1)*R60*W60*IF(ISNUMBER(SEARCH("JPY",E60)),1000,IF(ISNUMBER(SEARCH("XAU",E60)),100,IF(OR(ISNUMBER(SEARCH("30",E60)),ISNUMBER(SEARCH("500",E60)),ISNUMBER(SEARCH("100",E60))),100,100000))),0))</f>
        <v/>
      </c>
      <c r="Y60" s="10"/>
      <c r="Z60" s="28"/>
      <c r="AA60" s="27" t="str">
        <f aca="false">IF(OR(Y60="",Z60=0),"",IFERROR((Y60-K60)*IF(F60="Sell",-1,1)*R60*Z60*IF(ISNUMBER(SEARCH("JPY",E60)),1000,IF(ISNUMBER(SEARCH("XAU",E60)),100,IF(OR(ISNUMBER(SEARCH("30",E60)),ISNUMBER(SEARCH("500",E60)),ISNUMBER(SEARCH("100",E60))),100,100000))),0))</f>
        <v/>
      </c>
      <c r="AB60" s="10"/>
      <c r="AC60" s="29" t="str">
        <f aca="false">IF(K60="","",1-IFERROR(T60,0)-IFERROR(W60,0)-IFERROR(Z60,0))</f>
        <v/>
      </c>
      <c r="AD60" s="30" t="str">
        <f aca="false">IF(AB60="","",IFERROR((IFERROR(S60*T60,0)+IFERROR(V60*W60,0)+IFERROR(Y60*Z60,0)+AB60*AC60)/(IFERROR(T60,0)+IFERROR(W60,0)+IFERROR(Z60,0)+AC60),AB60))</f>
        <v/>
      </c>
      <c r="AE60" s="27" t="str">
        <f aca="false">IF(AB60="","",IF(U60="",0,U60)+IF(X60="",0,X60)+IF(AA60="",0,AA60)+IFERROR((AB60-K60)*IF(F60="Sell",-1,1)*R60*AC60*IF(ISNUMBER(SEARCH("JPY",E60)),1000,IF(ISNUMBER(SEARCH("XAU",E60)),100,IF(OR(ISNUMBER(SEARCH("30",E60)),ISNUMBER(SEARCH("500",E60)),ISNUMBER(SEARCH("100",E60))),100,100000))),0))</f>
        <v/>
      </c>
      <c r="AF60" s="31" t="str">
        <f aca="false">IF(OR(K60="",M60="",L60=""),"",IFERROR(ABS(M60-K60)/ABS(K60-L60),0))</f>
        <v/>
      </c>
      <c r="AG60" s="31" t="str">
        <f aca="false">IF(OR(AE60="",AE60=0,Q60=0,Q60=""),"",IFERROR(AE60/Q60,0))</f>
        <v/>
      </c>
      <c r="AH60" s="32" t="str">
        <f aca="false">IF(AB60="","Open",IF(AG60="","Open",IF(AG60&gt;0.1,"Win",IF(AG60&lt;-0.1,"Loss","Breakeven"))))</f>
        <v>Open</v>
      </c>
      <c r="AI60" s="33" t="str">
        <f aca="false">IF(OR(B60="",D60=""),"",D60-B60)</f>
        <v/>
      </c>
      <c r="AJ60" s="24" t="str">
        <f aca="false">IF(AD60="","",IFERROR((AD60-K60)*IF(F60="Sell",-1,1)/IF(ISNUMBER(SEARCH("JPY",E60)),0.01,IF(ISNUMBER(SEARCH("XAU",E60)),0.01,IF(OR(ISNUMBER(SEARCH("30",E60)),ISNUMBER(SEARCH("500",E60)),ISNUMBER(SEARCH("100",E60))),1,0.0001))),0))</f>
        <v/>
      </c>
      <c r="AK60" s="10"/>
      <c r="AL60" s="10"/>
      <c r="AM60" s="10"/>
      <c r="AN60" s="10"/>
      <c r="AO60" s="27" t="str">
        <f aca="false">IF(AE60="","",IFERROR(IF(AO59="",SETTINGS!$B$6,AO59),SETTINGS!$B$6)+IF(AE60="",0,AE60))</f>
        <v/>
      </c>
      <c r="AP60" s="2"/>
    </row>
    <row r="61" customFormat="false" ht="15" hidden="false" customHeight="false" outlineLevel="0" collapsed="false">
      <c r="A61" s="24" t="str">
        <f aca="false">IF(B61="","",ROW()-3)</f>
        <v/>
      </c>
      <c r="B61" s="34"/>
      <c r="C61" s="12"/>
      <c r="D61" s="34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35"/>
      <c r="P61" s="24" t="str">
        <f aca="false">IF(K61="","",IFERROR(ABS(K61-L61)/IF(ISNUMBER(SEARCH("JPY",E61)),0.01,IF(ISNUMBER(SEARCH("XAU",E61)),0.01,IF(OR(ISNUMBER(SEARCH("30",E61)),ISNUMBER(SEARCH("500",E61)),ISNUMBER(SEARCH("100",E61))),1,0.0001))),0))</f>
        <v/>
      </c>
      <c r="Q61" s="27" t="str">
        <f aca="false">IF(K61="","",SETTINGS!$B$6*O61)</f>
        <v/>
      </c>
      <c r="R61" s="24" t="str">
        <f aca="false">IF(K61="","",IFERROR(Q61/(P61*IF(ISNUMBER(SEARCH("JPY",E61)),9.09,IF(ISNUMBER(SEARCH("XAU",E61)),1,IF(OR(ISNUMBER(SEARCH("30",E61)),ISNUMBER(SEARCH("500",E61)),ISNUMBER(SEARCH("100",E61))),1,10)))),0))</f>
        <v/>
      </c>
      <c r="S61" s="12"/>
      <c r="T61" s="36"/>
      <c r="U61" s="27" t="str">
        <f aca="false">IF(OR(S61="",T61=0),"",IFERROR((S61-K61)*IF(F61="Sell",-1,1)*R61*T61*IF(ISNUMBER(SEARCH("JPY",E61)),1000,IF(ISNUMBER(SEARCH("XAU",E61)),100,IF(OR(ISNUMBER(SEARCH("30",E61)),ISNUMBER(SEARCH("500",E61)),ISNUMBER(SEARCH("100",E61))),100,100000))),0))</f>
        <v/>
      </c>
      <c r="V61" s="12"/>
      <c r="W61" s="36"/>
      <c r="X61" s="27" t="str">
        <f aca="false">IF(OR(V61="",W61=0),"",IFERROR((V61-K61)*IF(F61="Sell",-1,1)*R61*W61*IF(ISNUMBER(SEARCH("JPY",E61)),1000,IF(ISNUMBER(SEARCH("XAU",E61)),100,IF(OR(ISNUMBER(SEARCH("30",E61)),ISNUMBER(SEARCH("500",E61)),ISNUMBER(SEARCH("100",E61))),100,100000))),0))</f>
        <v/>
      </c>
      <c r="Y61" s="12"/>
      <c r="Z61" s="36"/>
      <c r="AA61" s="27" t="str">
        <f aca="false">IF(OR(Y61="",Z61=0),"",IFERROR((Y61-K61)*IF(F61="Sell",-1,1)*R61*Z61*IF(ISNUMBER(SEARCH("JPY",E61)),1000,IF(ISNUMBER(SEARCH("XAU",E61)),100,IF(OR(ISNUMBER(SEARCH("30",E61)),ISNUMBER(SEARCH("500",E61)),ISNUMBER(SEARCH("100",E61))),100,100000))),0))</f>
        <v/>
      </c>
      <c r="AB61" s="12"/>
      <c r="AC61" s="29" t="str">
        <f aca="false">IF(K61="","",1-IFERROR(T61,0)-IFERROR(W61,0)-IFERROR(Z61,0))</f>
        <v/>
      </c>
      <c r="AD61" s="30" t="str">
        <f aca="false">IF(AB61="","",IFERROR((IFERROR(S61*T61,0)+IFERROR(V61*W61,0)+IFERROR(Y61*Z61,0)+AB61*AC61)/(IFERROR(T61,0)+IFERROR(W61,0)+IFERROR(Z61,0)+AC61),AB61))</f>
        <v/>
      </c>
      <c r="AE61" s="27" t="str">
        <f aca="false">IF(AB61="","",IF(U61="",0,U61)+IF(X61="",0,X61)+IF(AA61="",0,AA61)+IFERROR((AB61-K61)*IF(F61="Sell",-1,1)*R61*AC61*IF(ISNUMBER(SEARCH("JPY",E61)),1000,IF(ISNUMBER(SEARCH("XAU",E61)),100,IF(OR(ISNUMBER(SEARCH("30",E61)),ISNUMBER(SEARCH("500",E61)),ISNUMBER(SEARCH("100",E61))),100,100000))),0))</f>
        <v/>
      </c>
      <c r="AF61" s="31" t="str">
        <f aca="false">IF(OR(K61="",M61="",L61=""),"",IFERROR(ABS(M61-K61)/ABS(K61-L61),0))</f>
        <v/>
      </c>
      <c r="AG61" s="31" t="str">
        <f aca="false">IF(OR(AE61="",AE61=0,Q61=0,Q61=""),"",IFERROR(AE61/Q61,0))</f>
        <v/>
      </c>
      <c r="AH61" s="32" t="str">
        <f aca="false">IF(AB61="","Open",IF(AG61="","Open",IF(AG61&gt;0.1,"Win",IF(AG61&lt;-0.1,"Loss","Breakeven"))))</f>
        <v>Open</v>
      </c>
      <c r="AI61" s="33" t="str">
        <f aca="false">IF(OR(B61="",D61=""),"",D61-B61)</f>
        <v/>
      </c>
      <c r="AJ61" s="24" t="str">
        <f aca="false">IF(AD61="","",IFERROR((AD61-K61)*IF(F61="Sell",-1,1)/IF(ISNUMBER(SEARCH("JPY",E61)),0.01,IF(ISNUMBER(SEARCH("XAU",E61)),0.01,IF(OR(ISNUMBER(SEARCH("30",E61)),ISNUMBER(SEARCH("500",E61)),ISNUMBER(SEARCH("100",E61))),1,0.0001))),0))</f>
        <v/>
      </c>
      <c r="AK61" s="12"/>
      <c r="AL61" s="12"/>
      <c r="AM61" s="12"/>
      <c r="AN61" s="12"/>
      <c r="AO61" s="27" t="str">
        <f aca="false">IF(AE61="","",IFERROR(IF(AO60="",SETTINGS!$B$6,AO60),SETTINGS!$B$6)+IF(AE61="",0,AE61))</f>
        <v/>
      </c>
      <c r="AP61" s="2"/>
    </row>
    <row r="62" customFormat="false" ht="15" hidden="false" customHeight="false" outlineLevel="0" collapsed="false">
      <c r="A62" s="24" t="str">
        <f aca="false">IF(B62="","",ROW()-3)</f>
        <v/>
      </c>
      <c r="B62" s="25"/>
      <c r="C62" s="10"/>
      <c r="D62" s="2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26"/>
      <c r="P62" s="24" t="str">
        <f aca="false">IF(K62="","",IFERROR(ABS(K62-L62)/IF(ISNUMBER(SEARCH("JPY",E62)),0.01,IF(ISNUMBER(SEARCH("XAU",E62)),0.01,IF(OR(ISNUMBER(SEARCH("30",E62)),ISNUMBER(SEARCH("500",E62)),ISNUMBER(SEARCH("100",E62))),1,0.0001))),0))</f>
        <v/>
      </c>
      <c r="Q62" s="27" t="str">
        <f aca="false">IF(K62="","",SETTINGS!$B$6*O62)</f>
        <v/>
      </c>
      <c r="R62" s="24" t="str">
        <f aca="false">IF(K62="","",IFERROR(Q62/(P62*IF(ISNUMBER(SEARCH("JPY",E62)),9.09,IF(ISNUMBER(SEARCH("XAU",E62)),1,IF(OR(ISNUMBER(SEARCH("30",E62)),ISNUMBER(SEARCH("500",E62)),ISNUMBER(SEARCH("100",E62))),1,10)))),0))</f>
        <v/>
      </c>
      <c r="S62" s="10"/>
      <c r="T62" s="28"/>
      <c r="U62" s="27" t="str">
        <f aca="false">IF(OR(S62="",T62=0),"",IFERROR((S62-K62)*IF(F62="Sell",-1,1)*R62*T62*IF(ISNUMBER(SEARCH("JPY",E62)),1000,IF(ISNUMBER(SEARCH("XAU",E62)),100,IF(OR(ISNUMBER(SEARCH("30",E62)),ISNUMBER(SEARCH("500",E62)),ISNUMBER(SEARCH("100",E62))),100,100000))),0))</f>
        <v/>
      </c>
      <c r="V62" s="10"/>
      <c r="W62" s="28"/>
      <c r="X62" s="27" t="str">
        <f aca="false">IF(OR(V62="",W62=0),"",IFERROR((V62-K62)*IF(F62="Sell",-1,1)*R62*W62*IF(ISNUMBER(SEARCH("JPY",E62)),1000,IF(ISNUMBER(SEARCH("XAU",E62)),100,IF(OR(ISNUMBER(SEARCH("30",E62)),ISNUMBER(SEARCH("500",E62)),ISNUMBER(SEARCH("100",E62))),100,100000))),0))</f>
        <v/>
      </c>
      <c r="Y62" s="10"/>
      <c r="Z62" s="28"/>
      <c r="AA62" s="27" t="str">
        <f aca="false">IF(OR(Y62="",Z62=0),"",IFERROR((Y62-K62)*IF(F62="Sell",-1,1)*R62*Z62*IF(ISNUMBER(SEARCH("JPY",E62)),1000,IF(ISNUMBER(SEARCH("XAU",E62)),100,IF(OR(ISNUMBER(SEARCH("30",E62)),ISNUMBER(SEARCH("500",E62)),ISNUMBER(SEARCH("100",E62))),100,100000))),0))</f>
        <v/>
      </c>
      <c r="AB62" s="10"/>
      <c r="AC62" s="29" t="str">
        <f aca="false">IF(K62="","",1-IFERROR(T62,0)-IFERROR(W62,0)-IFERROR(Z62,0))</f>
        <v/>
      </c>
      <c r="AD62" s="30" t="str">
        <f aca="false">IF(AB62="","",IFERROR((IFERROR(S62*T62,0)+IFERROR(V62*W62,0)+IFERROR(Y62*Z62,0)+AB62*AC62)/(IFERROR(T62,0)+IFERROR(W62,0)+IFERROR(Z62,0)+AC62),AB62))</f>
        <v/>
      </c>
      <c r="AE62" s="27" t="str">
        <f aca="false">IF(AB62="","",IF(U62="",0,U62)+IF(X62="",0,X62)+IF(AA62="",0,AA62)+IFERROR((AB62-K62)*IF(F62="Sell",-1,1)*R62*AC62*IF(ISNUMBER(SEARCH("JPY",E62)),1000,IF(ISNUMBER(SEARCH("XAU",E62)),100,IF(OR(ISNUMBER(SEARCH("30",E62)),ISNUMBER(SEARCH("500",E62)),ISNUMBER(SEARCH("100",E62))),100,100000))),0))</f>
        <v/>
      </c>
      <c r="AF62" s="31" t="str">
        <f aca="false">IF(OR(K62="",M62="",L62=""),"",IFERROR(ABS(M62-K62)/ABS(K62-L62),0))</f>
        <v/>
      </c>
      <c r="AG62" s="31" t="str">
        <f aca="false">IF(OR(AE62="",AE62=0,Q62=0,Q62=""),"",IFERROR(AE62/Q62,0))</f>
        <v/>
      </c>
      <c r="AH62" s="32" t="str">
        <f aca="false">IF(AB62="","Open",IF(AG62="","Open",IF(AG62&gt;0.1,"Win",IF(AG62&lt;-0.1,"Loss","Breakeven"))))</f>
        <v>Open</v>
      </c>
      <c r="AI62" s="33" t="str">
        <f aca="false">IF(OR(B62="",D62=""),"",D62-B62)</f>
        <v/>
      </c>
      <c r="AJ62" s="24" t="str">
        <f aca="false">IF(AD62="","",IFERROR((AD62-K62)*IF(F62="Sell",-1,1)/IF(ISNUMBER(SEARCH("JPY",E62)),0.01,IF(ISNUMBER(SEARCH("XAU",E62)),0.01,IF(OR(ISNUMBER(SEARCH("30",E62)),ISNUMBER(SEARCH("500",E62)),ISNUMBER(SEARCH("100",E62))),1,0.0001))),0))</f>
        <v/>
      </c>
      <c r="AK62" s="10"/>
      <c r="AL62" s="10"/>
      <c r="AM62" s="10"/>
      <c r="AN62" s="10"/>
      <c r="AO62" s="27" t="str">
        <f aca="false">IF(AE62="","",IFERROR(IF(AO61="",SETTINGS!$B$6,AO61),SETTINGS!$B$6)+IF(AE62="",0,AE62))</f>
        <v/>
      </c>
      <c r="AP62" s="2"/>
    </row>
    <row r="63" customFormat="false" ht="15" hidden="false" customHeight="false" outlineLevel="0" collapsed="false">
      <c r="A63" s="24" t="str">
        <f aca="false">IF(B63="","",ROW()-3)</f>
        <v/>
      </c>
      <c r="B63" s="34"/>
      <c r="C63" s="12"/>
      <c r="D63" s="34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35"/>
      <c r="P63" s="24" t="str">
        <f aca="false">IF(K63="","",IFERROR(ABS(K63-L63)/IF(ISNUMBER(SEARCH("JPY",E63)),0.01,IF(ISNUMBER(SEARCH("XAU",E63)),0.01,IF(OR(ISNUMBER(SEARCH("30",E63)),ISNUMBER(SEARCH("500",E63)),ISNUMBER(SEARCH("100",E63))),1,0.0001))),0))</f>
        <v/>
      </c>
      <c r="Q63" s="27" t="str">
        <f aca="false">IF(K63="","",SETTINGS!$B$6*O63)</f>
        <v/>
      </c>
      <c r="R63" s="24" t="str">
        <f aca="false">IF(K63="","",IFERROR(Q63/(P63*IF(ISNUMBER(SEARCH("JPY",E63)),9.09,IF(ISNUMBER(SEARCH("XAU",E63)),1,IF(OR(ISNUMBER(SEARCH("30",E63)),ISNUMBER(SEARCH("500",E63)),ISNUMBER(SEARCH("100",E63))),1,10)))),0))</f>
        <v/>
      </c>
      <c r="S63" s="12"/>
      <c r="T63" s="36"/>
      <c r="U63" s="27" t="str">
        <f aca="false">IF(OR(S63="",T63=0),"",IFERROR((S63-K63)*IF(F63="Sell",-1,1)*R63*T63*IF(ISNUMBER(SEARCH("JPY",E63)),1000,IF(ISNUMBER(SEARCH("XAU",E63)),100,IF(OR(ISNUMBER(SEARCH("30",E63)),ISNUMBER(SEARCH("500",E63)),ISNUMBER(SEARCH("100",E63))),100,100000))),0))</f>
        <v/>
      </c>
      <c r="V63" s="12"/>
      <c r="W63" s="36"/>
      <c r="X63" s="27" t="str">
        <f aca="false">IF(OR(V63="",W63=0),"",IFERROR((V63-K63)*IF(F63="Sell",-1,1)*R63*W63*IF(ISNUMBER(SEARCH("JPY",E63)),1000,IF(ISNUMBER(SEARCH("XAU",E63)),100,IF(OR(ISNUMBER(SEARCH("30",E63)),ISNUMBER(SEARCH("500",E63)),ISNUMBER(SEARCH("100",E63))),100,100000))),0))</f>
        <v/>
      </c>
      <c r="Y63" s="12"/>
      <c r="Z63" s="36"/>
      <c r="AA63" s="27" t="str">
        <f aca="false">IF(OR(Y63="",Z63=0),"",IFERROR((Y63-K63)*IF(F63="Sell",-1,1)*R63*Z63*IF(ISNUMBER(SEARCH("JPY",E63)),1000,IF(ISNUMBER(SEARCH("XAU",E63)),100,IF(OR(ISNUMBER(SEARCH("30",E63)),ISNUMBER(SEARCH("500",E63)),ISNUMBER(SEARCH("100",E63))),100,100000))),0))</f>
        <v/>
      </c>
      <c r="AB63" s="12"/>
      <c r="AC63" s="29" t="str">
        <f aca="false">IF(K63="","",1-IFERROR(T63,0)-IFERROR(W63,0)-IFERROR(Z63,0))</f>
        <v/>
      </c>
      <c r="AD63" s="30" t="str">
        <f aca="false">IF(AB63="","",IFERROR((IFERROR(S63*T63,0)+IFERROR(V63*W63,0)+IFERROR(Y63*Z63,0)+AB63*AC63)/(IFERROR(T63,0)+IFERROR(W63,0)+IFERROR(Z63,0)+AC63),AB63))</f>
        <v/>
      </c>
      <c r="AE63" s="27" t="str">
        <f aca="false">IF(AB63="","",IF(U63="",0,U63)+IF(X63="",0,X63)+IF(AA63="",0,AA63)+IFERROR((AB63-K63)*IF(F63="Sell",-1,1)*R63*AC63*IF(ISNUMBER(SEARCH("JPY",E63)),1000,IF(ISNUMBER(SEARCH("XAU",E63)),100,IF(OR(ISNUMBER(SEARCH("30",E63)),ISNUMBER(SEARCH("500",E63)),ISNUMBER(SEARCH("100",E63))),100,100000))),0))</f>
        <v/>
      </c>
      <c r="AF63" s="31" t="str">
        <f aca="false">IF(OR(K63="",M63="",L63=""),"",IFERROR(ABS(M63-K63)/ABS(K63-L63),0))</f>
        <v/>
      </c>
      <c r="AG63" s="31" t="str">
        <f aca="false">IF(OR(AE63="",AE63=0,Q63=0,Q63=""),"",IFERROR(AE63/Q63,0))</f>
        <v/>
      </c>
      <c r="AH63" s="32" t="str">
        <f aca="false">IF(AB63="","Open",IF(AG63="","Open",IF(AG63&gt;0.1,"Win",IF(AG63&lt;-0.1,"Loss","Breakeven"))))</f>
        <v>Open</v>
      </c>
      <c r="AI63" s="33" t="str">
        <f aca="false">IF(OR(B63="",D63=""),"",D63-B63)</f>
        <v/>
      </c>
      <c r="AJ63" s="24" t="str">
        <f aca="false">IF(AD63="","",IFERROR((AD63-K63)*IF(F63="Sell",-1,1)/IF(ISNUMBER(SEARCH("JPY",E63)),0.01,IF(ISNUMBER(SEARCH("XAU",E63)),0.01,IF(OR(ISNUMBER(SEARCH("30",E63)),ISNUMBER(SEARCH("500",E63)),ISNUMBER(SEARCH("100",E63))),1,0.0001))),0))</f>
        <v/>
      </c>
      <c r="AK63" s="12"/>
      <c r="AL63" s="12"/>
      <c r="AM63" s="12"/>
      <c r="AN63" s="12"/>
      <c r="AO63" s="27" t="str">
        <f aca="false">IF(AE63="","",IFERROR(IF(AO62="",SETTINGS!$B$6,AO62),SETTINGS!$B$6)+IF(AE63="",0,AE63))</f>
        <v/>
      </c>
      <c r="AP63" s="2"/>
    </row>
    <row r="64" customFormat="false" ht="15" hidden="false" customHeight="false" outlineLevel="0" collapsed="false">
      <c r="A64" s="24" t="str">
        <f aca="false">IF(B64="","",ROW()-3)</f>
        <v/>
      </c>
      <c r="B64" s="25"/>
      <c r="C64" s="10"/>
      <c r="D64" s="25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26"/>
      <c r="P64" s="24" t="str">
        <f aca="false">IF(K64="","",IFERROR(ABS(K64-L64)/IF(ISNUMBER(SEARCH("JPY",E64)),0.01,IF(ISNUMBER(SEARCH("XAU",E64)),0.01,IF(OR(ISNUMBER(SEARCH("30",E64)),ISNUMBER(SEARCH("500",E64)),ISNUMBER(SEARCH("100",E64))),1,0.0001))),0))</f>
        <v/>
      </c>
      <c r="Q64" s="27" t="str">
        <f aca="false">IF(K64="","",SETTINGS!$B$6*O64)</f>
        <v/>
      </c>
      <c r="R64" s="24" t="str">
        <f aca="false">IF(K64="","",IFERROR(Q64/(P64*IF(ISNUMBER(SEARCH("JPY",E64)),9.09,IF(ISNUMBER(SEARCH("XAU",E64)),1,IF(OR(ISNUMBER(SEARCH("30",E64)),ISNUMBER(SEARCH("500",E64)),ISNUMBER(SEARCH("100",E64))),1,10)))),0))</f>
        <v/>
      </c>
      <c r="S64" s="10"/>
      <c r="T64" s="28"/>
      <c r="U64" s="27" t="str">
        <f aca="false">IF(OR(S64="",T64=0),"",IFERROR((S64-K64)*IF(F64="Sell",-1,1)*R64*T64*IF(ISNUMBER(SEARCH("JPY",E64)),1000,IF(ISNUMBER(SEARCH("XAU",E64)),100,IF(OR(ISNUMBER(SEARCH("30",E64)),ISNUMBER(SEARCH("500",E64)),ISNUMBER(SEARCH("100",E64))),100,100000))),0))</f>
        <v/>
      </c>
      <c r="V64" s="10"/>
      <c r="W64" s="28"/>
      <c r="X64" s="27" t="str">
        <f aca="false">IF(OR(V64="",W64=0),"",IFERROR((V64-K64)*IF(F64="Sell",-1,1)*R64*W64*IF(ISNUMBER(SEARCH("JPY",E64)),1000,IF(ISNUMBER(SEARCH("XAU",E64)),100,IF(OR(ISNUMBER(SEARCH("30",E64)),ISNUMBER(SEARCH("500",E64)),ISNUMBER(SEARCH("100",E64))),100,100000))),0))</f>
        <v/>
      </c>
      <c r="Y64" s="10"/>
      <c r="Z64" s="28"/>
      <c r="AA64" s="27" t="str">
        <f aca="false">IF(OR(Y64="",Z64=0),"",IFERROR((Y64-K64)*IF(F64="Sell",-1,1)*R64*Z64*IF(ISNUMBER(SEARCH("JPY",E64)),1000,IF(ISNUMBER(SEARCH("XAU",E64)),100,IF(OR(ISNUMBER(SEARCH("30",E64)),ISNUMBER(SEARCH("500",E64)),ISNUMBER(SEARCH("100",E64))),100,100000))),0))</f>
        <v/>
      </c>
      <c r="AB64" s="10"/>
      <c r="AC64" s="29" t="str">
        <f aca="false">IF(K64="","",1-IFERROR(T64,0)-IFERROR(W64,0)-IFERROR(Z64,0))</f>
        <v/>
      </c>
      <c r="AD64" s="30" t="str">
        <f aca="false">IF(AB64="","",IFERROR((IFERROR(S64*T64,0)+IFERROR(V64*W64,0)+IFERROR(Y64*Z64,0)+AB64*AC64)/(IFERROR(T64,0)+IFERROR(W64,0)+IFERROR(Z64,0)+AC64),AB64))</f>
        <v/>
      </c>
      <c r="AE64" s="27" t="str">
        <f aca="false">IF(AB64="","",IF(U64="",0,U64)+IF(X64="",0,X64)+IF(AA64="",0,AA64)+IFERROR((AB64-K64)*IF(F64="Sell",-1,1)*R64*AC64*IF(ISNUMBER(SEARCH("JPY",E64)),1000,IF(ISNUMBER(SEARCH("XAU",E64)),100,IF(OR(ISNUMBER(SEARCH("30",E64)),ISNUMBER(SEARCH("500",E64)),ISNUMBER(SEARCH("100",E64))),100,100000))),0))</f>
        <v/>
      </c>
      <c r="AF64" s="31" t="str">
        <f aca="false">IF(OR(K64="",M64="",L64=""),"",IFERROR(ABS(M64-K64)/ABS(K64-L64),0))</f>
        <v/>
      </c>
      <c r="AG64" s="31" t="str">
        <f aca="false">IF(OR(AE64="",AE64=0,Q64=0,Q64=""),"",IFERROR(AE64/Q64,0))</f>
        <v/>
      </c>
      <c r="AH64" s="32" t="str">
        <f aca="false">IF(AB64="","Open",IF(AG64="","Open",IF(AG64&gt;0.1,"Win",IF(AG64&lt;-0.1,"Loss","Breakeven"))))</f>
        <v>Open</v>
      </c>
      <c r="AI64" s="33" t="str">
        <f aca="false">IF(OR(B64="",D64=""),"",D64-B64)</f>
        <v/>
      </c>
      <c r="AJ64" s="24" t="str">
        <f aca="false">IF(AD64="","",IFERROR((AD64-K64)*IF(F64="Sell",-1,1)/IF(ISNUMBER(SEARCH("JPY",E64)),0.01,IF(ISNUMBER(SEARCH("XAU",E64)),0.01,IF(OR(ISNUMBER(SEARCH("30",E64)),ISNUMBER(SEARCH("500",E64)),ISNUMBER(SEARCH("100",E64))),1,0.0001))),0))</f>
        <v/>
      </c>
      <c r="AK64" s="10"/>
      <c r="AL64" s="10"/>
      <c r="AM64" s="10"/>
      <c r="AN64" s="10"/>
      <c r="AO64" s="27" t="str">
        <f aca="false">IF(AE64="","",IFERROR(IF(AO63="",SETTINGS!$B$6,AO63),SETTINGS!$B$6)+IF(AE64="",0,AE64))</f>
        <v/>
      </c>
      <c r="AP64" s="2"/>
    </row>
    <row r="65" customFormat="false" ht="15" hidden="false" customHeight="false" outlineLevel="0" collapsed="false">
      <c r="A65" s="24" t="str">
        <f aca="false">IF(B65="","",ROW()-3)</f>
        <v/>
      </c>
      <c r="B65" s="34"/>
      <c r="C65" s="12"/>
      <c r="D65" s="34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35"/>
      <c r="P65" s="24" t="str">
        <f aca="false">IF(K65="","",IFERROR(ABS(K65-L65)/IF(ISNUMBER(SEARCH("JPY",E65)),0.01,IF(ISNUMBER(SEARCH("XAU",E65)),0.01,IF(OR(ISNUMBER(SEARCH("30",E65)),ISNUMBER(SEARCH("500",E65)),ISNUMBER(SEARCH("100",E65))),1,0.0001))),0))</f>
        <v/>
      </c>
      <c r="Q65" s="27" t="str">
        <f aca="false">IF(K65="","",SETTINGS!$B$6*O65)</f>
        <v/>
      </c>
      <c r="R65" s="24" t="str">
        <f aca="false">IF(K65="","",IFERROR(Q65/(P65*IF(ISNUMBER(SEARCH("JPY",E65)),9.09,IF(ISNUMBER(SEARCH("XAU",E65)),1,IF(OR(ISNUMBER(SEARCH("30",E65)),ISNUMBER(SEARCH("500",E65)),ISNUMBER(SEARCH("100",E65))),1,10)))),0))</f>
        <v/>
      </c>
      <c r="S65" s="12"/>
      <c r="T65" s="36"/>
      <c r="U65" s="27" t="str">
        <f aca="false">IF(OR(S65="",T65=0),"",IFERROR((S65-K65)*IF(F65="Sell",-1,1)*R65*T65*IF(ISNUMBER(SEARCH("JPY",E65)),1000,IF(ISNUMBER(SEARCH("XAU",E65)),100,IF(OR(ISNUMBER(SEARCH("30",E65)),ISNUMBER(SEARCH("500",E65)),ISNUMBER(SEARCH("100",E65))),100,100000))),0))</f>
        <v/>
      </c>
      <c r="V65" s="12"/>
      <c r="W65" s="36"/>
      <c r="X65" s="27" t="str">
        <f aca="false">IF(OR(V65="",W65=0),"",IFERROR((V65-K65)*IF(F65="Sell",-1,1)*R65*W65*IF(ISNUMBER(SEARCH("JPY",E65)),1000,IF(ISNUMBER(SEARCH("XAU",E65)),100,IF(OR(ISNUMBER(SEARCH("30",E65)),ISNUMBER(SEARCH("500",E65)),ISNUMBER(SEARCH("100",E65))),100,100000))),0))</f>
        <v/>
      </c>
      <c r="Y65" s="12"/>
      <c r="Z65" s="36"/>
      <c r="AA65" s="27" t="str">
        <f aca="false">IF(OR(Y65="",Z65=0),"",IFERROR((Y65-K65)*IF(F65="Sell",-1,1)*R65*Z65*IF(ISNUMBER(SEARCH("JPY",E65)),1000,IF(ISNUMBER(SEARCH("XAU",E65)),100,IF(OR(ISNUMBER(SEARCH("30",E65)),ISNUMBER(SEARCH("500",E65)),ISNUMBER(SEARCH("100",E65))),100,100000))),0))</f>
        <v/>
      </c>
      <c r="AB65" s="12"/>
      <c r="AC65" s="29" t="str">
        <f aca="false">IF(K65="","",1-IFERROR(T65,0)-IFERROR(W65,0)-IFERROR(Z65,0))</f>
        <v/>
      </c>
      <c r="AD65" s="30" t="str">
        <f aca="false">IF(AB65="","",IFERROR((IFERROR(S65*T65,0)+IFERROR(V65*W65,0)+IFERROR(Y65*Z65,0)+AB65*AC65)/(IFERROR(T65,0)+IFERROR(W65,0)+IFERROR(Z65,0)+AC65),AB65))</f>
        <v/>
      </c>
      <c r="AE65" s="27" t="str">
        <f aca="false">IF(AB65="","",IF(U65="",0,U65)+IF(X65="",0,X65)+IF(AA65="",0,AA65)+IFERROR((AB65-K65)*IF(F65="Sell",-1,1)*R65*AC65*IF(ISNUMBER(SEARCH("JPY",E65)),1000,IF(ISNUMBER(SEARCH("XAU",E65)),100,IF(OR(ISNUMBER(SEARCH("30",E65)),ISNUMBER(SEARCH("500",E65)),ISNUMBER(SEARCH("100",E65))),100,100000))),0))</f>
        <v/>
      </c>
      <c r="AF65" s="31" t="str">
        <f aca="false">IF(OR(K65="",M65="",L65=""),"",IFERROR(ABS(M65-K65)/ABS(K65-L65),0))</f>
        <v/>
      </c>
      <c r="AG65" s="31" t="str">
        <f aca="false">IF(OR(AE65="",AE65=0,Q65=0,Q65=""),"",IFERROR(AE65/Q65,0))</f>
        <v/>
      </c>
      <c r="AH65" s="32" t="str">
        <f aca="false">IF(AB65="","Open",IF(AG65="","Open",IF(AG65&gt;0.1,"Win",IF(AG65&lt;-0.1,"Loss","Breakeven"))))</f>
        <v>Open</v>
      </c>
      <c r="AI65" s="33" t="str">
        <f aca="false">IF(OR(B65="",D65=""),"",D65-B65)</f>
        <v/>
      </c>
      <c r="AJ65" s="24" t="str">
        <f aca="false">IF(AD65="","",IFERROR((AD65-K65)*IF(F65="Sell",-1,1)/IF(ISNUMBER(SEARCH("JPY",E65)),0.01,IF(ISNUMBER(SEARCH("XAU",E65)),0.01,IF(OR(ISNUMBER(SEARCH("30",E65)),ISNUMBER(SEARCH("500",E65)),ISNUMBER(SEARCH("100",E65))),1,0.0001))),0))</f>
        <v/>
      </c>
      <c r="AK65" s="12"/>
      <c r="AL65" s="12"/>
      <c r="AM65" s="12"/>
      <c r="AN65" s="12"/>
      <c r="AO65" s="27" t="str">
        <f aca="false">IF(AE65="","",IFERROR(IF(AO64="",SETTINGS!$B$6,AO64),SETTINGS!$B$6)+IF(AE65="",0,AE65))</f>
        <v/>
      </c>
      <c r="AP65" s="2"/>
    </row>
    <row r="66" customFormat="false" ht="15" hidden="false" customHeight="false" outlineLevel="0" collapsed="false">
      <c r="A66" s="24" t="str">
        <f aca="false">IF(B66="","",ROW()-3)</f>
        <v/>
      </c>
      <c r="B66" s="25"/>
      <c r="C66" s="10"/>
      <c r="D66" s="25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26"/>
      <c r="P66" s="24" t="str">
        <f aca="false">IF(K66="","",IFERROR(ABS(K66-L66)/IF(ISNUMBER(SEARCH("JPY",E66)),0.01,IF(ISNUMBER(SEARCH("XAU",E66)),0.01,IF(OR(ISNUMBER(SEARCH("30",E66)),ISNUMBER(SEARCH("500",E66)),ISNUMBER(SEARCH("100",E66))),1,0.0001))),0))</f>
        <v/>
      </c>
      <c r="Q66" s="27" t="str">
        <f aca="false">IF(K66="","",SETTINGS!$B$6*O66)</f>
        <v/>
      </c>
      <c r="R66" s="24" t="str">
        <f aca="false">IF(K66="","",IFERROR(Q66/(P66*IF(ISNUMBER(SEARCH("JPY",E66)),9.09,IF(ISNUMBER(SEARCH("XAU",E66)),1,IF(OR(ISNUMBER(SEARCH("30",E66)),ISNUMBER(SEARCH("500",E66)),ISNUMBER(SEARCH("100",E66))),1,10)))),0))</f>
        <v/>
      </c>
      <c r="S66" s="10"/>
      <c r="T66" s="28"/>
      <c r="U66" s="27" t="str">
        <f aca="false">IF(OR(S66="",T66=0),"",IFERROR((S66-K66)*IF(F66="Sell",-1,1)*R66*T66*IF(ISNUMBER(SEARCH("JPY",E66)),1000,IF(ISNUMBER(SEARCH("XAU",E66)),100,IF(OR(ISNUMBER(SEARCH("30",E66)),ISNUMBER(SEARCH("500",E66)),ISNUMBER(SEARCH("100",E66))),100,100000))),0))</f>
        <v/>
      </c>
      <c r="V66" s="10"/>
      <c r="W66" s="28"/>
      <c r="X66" s="27" t="str">
        <f aca="false">IF(OR(V66="",W66=0),"",IFERROR((V66-K66)*IF(F66="Sell",-1,1)*R66*W66*IF(ISNUMBER(SEARCH("JPY",E66)),1000,IF(ISNUMBER(SEARCH("XAU",E66)),100,IF(OR(ISNUMBER(SEARCH("30",E66)),ISNUMBER(SEARCH("500",E66)),ISNUMBER(SEARCH("100",E66))),100,100000))),0))</f>
        <v/>
      </c>
      <c r="Y66" s="10"/>
      <c r="Z66" s="28"/>
      <c r="AA66" s="27" t="str">
        <f aca="false">IF(OR(Y66="",Z66=0),"",IFERROR((Y66-K66)*IF(F66="Sell",-1,1)*R66*Z66*IF(ISNUMBER(SEARCH("JPY",E66)),1000,IF(ISNUMBER(SEARCH("XAU",E66)),100,IF(OR(ISNUMBER(SEARCH("30",E66)),ISNUMBER(SEARCH("500",E66)),ISNUMBER(SEARCH("100",E66))),100,100000))),0))</f>
        <v/>
      </c>
      <c r="AB66" s="10"/>
      <c r="AC66" s="29" t="str">
        <f aca="false">IF(K66="","",1-IFERROR(T66,0)-IFERROR(W66,0)-IFERROR(Z66,0))</f>
        <v/>
      </c>
      <c r="AD66" s="30" t="str">
        <f aca="false">IF(AB66="","",IFERROR((IFERROR(S66*T66,0)+IFERROR(V66*W66,0)+IFERROR(Y66*Z66,0)+AB66*AC66)/(IFERROR(T66,0)+IFERROR(W66,0)+IFERROR(Z66,0)+AC66),AB66))</f>
        <v/>
      </c>
      <c r="AE66" s="27" t="str">
        <f aca="false">IF(AB66="","",IF(U66="",0,U66)+IF(X66="",0,X66)+IF(AA66="",0,AA66)+IFERROR((AB66-K66)*IF(F66="Sell",-1,1)*R66*AC66*IF(ISNUMBER(SEARCH("JPY",E66)),1000,IF(ISNUMBER(SEARCH("XAU",E66)),100,IF(OR(ISNUMBER(SEARCH("30",E66)),ISNUMBER(SEARCH("500",E66)),ISNUMBER(SEARCH("100",E66))),100,100000))),0))</f>
        <v/>
      </c>
      <c r="AF66" s="31" t="str">
        <f aca="false">IF(OR(K66="",M66="",L66=""),"",IFERROR(ABS(M66-K66)/ABS(K66-L66),0))</f>
        <v/>
      </c>
      <c r="AG66" s="31" t="str">
        <f aca="false">IF(OR(AE66="",AE66=0,Q66=0,Q66=""),"",IFERROR(AE66/Q66,0))</f>
        <v/>
      </c>
      <c r="AH66" s="32" t="str">
        <f aca="false">IF(AB66="","Open",IF(AG66="","Open",IF(AG66&gt;0.1,"Win",IF(AG66&lt;-0.1,"Loss","Breakeven"))))</f>
        <v>Open</v>
      </c>
      <c r="AI66" s="33" t="str">
        <f aca="false">IF(OR(B66="",D66=""),"",D66-B66)</f>
        <v/>
      </c>
      <c r="AJ66" s="24" t="str">
        <f aca="false">IF(AD66="","",IFERROR((AD66-K66)*IF(F66="Sell",-1,1)/IF(ISNUMBER(SEARCH("JPY",E66)),0.01,IF(ISNUMBER(SEARCH("XAU",E66)),0.01,IF(OR(ISNUMBER(SEARCH("30",E66)),ISNUMBER(SEARCH("500",E66)),ISNUMBER(SEARCH("100",E66))),1,0.0001))),0))</f>
        <v/>
      </c>
      <c r="AK66" s="10"/>
      <c r="AL66" s="10"/>
      <c r="AM66" s="10"/>
      <c r="AN66" s="10"/>
      <c r="AO66" s="27" t="str">
        <f aca="false">IF(AE66="","",IFERROR(IF(AO65="",SETTINGS!$B$6,AO65),SETTINGS!$B$6)+IF(AE66="",0,AE66))</f>
        <v/>
      </c>
      <c r="AP66" s="2"/>
    </row>
    <row r="67" customFormat="false" ht="15" hidden="false" customHeight="false" outlineLevel="0" collapsed="false">
      <c r="A67" s="24" t="str">
        <f aca="false">IF(B67="","",ROW()-3)</f>
        <v/>
      </c>
      <c r="B67" s="34"/>
      <c r="C67" s="12"/>
      <c r="D67" s="34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35"/>
      <c r="P67" s="24" t="str">
        <f aca="false">IF(K67="","",IFERROR(ABS(K67-L67)/IF(ISNUMBER(SEARCH("JPY",E67)),0.01,IF(ISNUMBER(SEARCH("XAU",E67)),0.01,IF(OR(ISNUMBER(SEARCH("30",E67)),ISNUMBER(SEARCH("500",E67)),ISNUMBER(SEARCH("100",E67))),1,0.0001))),0))</f>
        <v/>
      </c>
      <c r="Q67" s="27" t="str">
        <f aca="false">IF(K67="","",SETTINGS!$B$6*O67)</f>
        <v/>
      </c>
      <c r="R67" s="24" t="str">
        <f aca="false">IF(K67="","",IFERROR(Q67/(P67*IF(ISNUMBER(SEARCH("JPY",E67)),9.09,IF(ISNUMBER(SEARCH("XAU",E67)),1,IF(OR(ISNUMBER(SEARCH("30",E67)),ISNUMBER(SEARCH("500",E67)),ISNUMBER(SEARCH("100",E67))),1,10)))),0))</f>
        <v/>
      </c>
      <c r="S67" s="12"/>
      <c r="T67" s="36"/>
      <c r="U67" s="27" t="str">
        <f aca="false">IF(OR(S67="",T67=0),"",IFERROR((S67-K67)*IF(F67="Sell",-1,1)*R67*T67*IF(ISNUMBER(SEARCH("JPY",E67)),1000,IF(ISNUMBER(SEARCH("XAU",E67)),100,IF(OR(ISNUMBER(SEARCH("30",E67)),ISNUMBER(SEARCH("500",E67)),ISNUMBER(SEARCH("100",E67))),100,100000))),0))</f>
        <v/>
      </c>
      <c r="V67" s="12"/>
      <c r="W67" s="36"/>
      <c r="X67" s="27" t="str">
        <f aca="false">IF(OR(V67="",W67=0),"",IFERROR((V67-K67)*IF(F67="Sell",-1,1)*R67*W67*IF(ISNUMBER(SEARCH("JPY",E67)),1000,IF(ISNUMBER(SEARCH("XAU",E67)),100,IF(OR(ISNUMBER(SEARCH("30",E67)),ISNUMBER(SEARCH("500",E67)),ISNUMBER(SEARCH("100",E67))),100,100000))),0))</f>
        <v/>
      </c>
      <c r="Y67" s="12"/>
      <c r="Z67" s="36"/>
      <c r="AA67" s="27" t="str">
        <f aca="false">IF(OR(Y67="",Z67=0),"",IFERROR((Y67-K67)*IF(F67="Sell",-1,1)*R67*Z67*IF(ISNUMBER(SEARCH("JPY",E67)),1000,IF(ISNUMBER(SEARCH("XAU",E67)),100,IF(OR(ISNUMBER(SEARCH("30",E67)),ISNUMBER(SEARCH("500",E67)),ISNUMBER(SEARCH("100",E67))),100,100000))),0))</f>
        <v/>
      </c>
      <c r="AB67" s="12"/>
      <c r="AC67" s="29" t="str">
        <f aca="false">IF(K67="","",1-IFERROR(T67,0)-IFERROR(W67,0)-IFERROR(Z67,0))</f>
        <v/>
      </c>
      <c r="AD67" s="30" t="str">
        <f aca="false">IF(AB67="","",IFERROR((IFERROR(S67*T67,0)+IFERROR(V67*W67,0)+IFERROR(Y67*Z67,0)+AB67*AC67)/(IFERROR(T67,0)+IFERROR(W67,0)+IFERROR(Z67,0)+AC67),AB67))</f>
        <v/>
      </c>
      <c r="AE67" s="27" t="str">
        <f aca="false">IF(AB67="","",IF(U67="",0,U67)+IF(X67="",0,X67)+IF(AA67="",0,AA67)+IFERROR((AB67-K67)*IF(F67="Sell",-1,1)*R67*AC67*IF(ISNUMBER(SEARCH("JPY",E67)),1000,IF(ISNUMBER(SEARCH("XAU",E67)),100,IF(OR(ISNUMBER(SEARCH("30",E67)),ISNUMBER(SEARCH("500",E67)),ISNUMBER(SEARCH("100",E67))),100,100000))),0))</f>
        <v/>
      </c>
      <c r="AF67" s="31" t="str">
        <f aca="false">IF(OR(K67="",M67="",L67=""),"",IFERROR(ABS(M67-K67)/ABS(K67-L67),0))</f>
        <v/>
      </c>
      <c r="AG67" s="31" t="str">
        <f aca="false">IF(OR(AE67="",AE67=0,Q67=0,Q67=""),"",IFERROR(AE67/Q67,0))</f>
        <v/>
      </c>
      <c r="AH67" s="32" t="str">
        <f aca="false">IF(AB67="","Open",IF(AG67="","Open",IF(AG67&gt;0.1,"Win",IF(AG67&lt;-0.1,"Loss","Breakeven"))))</f>
        <v>Open</v>
      </c>
      <c r="AI67" s="33" t="str">
        <f aca="false">IF(OR(B67="",D67=""),"",D67-B67)</f>
        <v/>
      </c>
      <c r="AJ67" s="24" t="str">
        <f aca="false">IF(AD67="","",IFERROR((AD67-K67)*IF(F67="Sell",-1,1)/IF(ISNUMBER(SEARCH("JPY",E67)),0.01,IF(ISNUMBER(SEARCH("XAU",E67)),0.01,IF(OR(ISNUMBER(SEARCH("30",E67)),ISNUMBER(SEARCH("500",E67)),ISNUMBER(SEARCH("100",E67))),1,0.0001))),0))</f>
        <v/>
      </c>
      <c r="AK67" s="12"/>
      <c r="AL67" s="12"/>
      <c r="AM67" s="12"/>
      <c r="AN67" s="12"/>
      <c r="AO67" s="27" t="str">
        <f aca="false">IF(AE67="","",IFERROR(IF(AO66="",SETTINGS!$B$6,AO66),SETTINGS!$B$6)+IF(AE67="",0,AE67))</f>
        <v/>
      </c>
      <c r="AP67" s="2"/>
    </row>
    <row r="68" customFormat="false" ht="15" hidden="false" customHeight="false" outlineLevel="0" collapsed="false">
      <c r="A68" s="24" t="str">
        <f aca="false">IF(B68="","",ROW()-3)</f>
        <v/>
      </c>
      <c r="B68" s="25"/>
      <c r="C68" s="10"/>
      <c r="D68" s="25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26"/>
      <c r="P68" s="24" t="str">
        <f aca="false">IF(K68="","",IFERROR(ABS(K68-L68)/IF(ISNUMBER(SEARCH("JPY",E68)),0.01,IF(ISNUMBER(SEARCH("XAU",E68)),0.01,IF(OR(ISNUMBER(SEARCH("30",E68)),ISNUMBER(SEARCH("500",E68)),ISNUMBER(SEARCH("100",E68))),1,0.0001))),0))</f>
        <v/>
      </c>
      <c r="Q68" s="27" t="str">
        <f aca="false">IF(K68="","",SETTINGS!$B$6*O68)</f>
        <v/>
      </c>
      <c r="R68" s="24" t="str">
        <f aca="false">IF(K68="","",IFERROR(Q68/(P68*IF(ISNUMBER(SEARCH("JPY",E68)),9.09,IF(ISNUMBER(SEARCH("XAU",E68)),1,IF(OR(ISNUMBER(SEARCH("30",E68)),ISNUMBER(SEARCH("500",E68)),ISNUMBER(SEARCH("100",E68))),1,10)))),0))</f>
        <v/>
      </c>
      <c r="S68" s="10"/>
      <c r="T68" s="28"/>
      <c r="U68" s="27" t="str">
        <f aca="false">IF(OR(S68="",T68=0),"",IFERROR((S68-K68)*IF(F68="Sell",-1,1)*R68*T68*IF(ISNUMBER(SEARCH("JPY",E68)),1000,IF(ISNUMBER(SEARCH("XAU",E68)),100,IF(OR(ISNUMBER(SEARCH("30",E68)),ISNUMBER(SEARCH("500",E68)),ISNUMBER(SEARCH("100",E68))),100,100000))),0))</f>
        <v/>
      </c>
      <c r="V68" s="10"/>
      <c r="W68" s="28"/>
      <c r="X68" s="27" t="str">
        <f aca="false">IF(OR(V68="",W68=0),"",IFERROR((V68-K68)*IF(F68="Sell",-1,1)*R68*W68*IF(ISNUMBER(SEARCH("JPY",E68)),1000,IF(ISNUMBER(SEARCH("XAU",E68)),100,IF(OR(ISNUMBER(SEARCH("30",E68)),ISNUMBER(SEARCH("500",E68)),ISNUMBER(SEARCH("100",E68))),100,100000))),0))</f>
        <v/>
      </c>
      <c r="Y68" s="10"/>
      <c r="Z68" s="28"/>
      <c r="AA68" s="27" t="str">
        <f aca="false">IF(OR(Y68="",Z68=0),"",IFERROR((Y68-K68)*IF(F68="Sell",-1,1)*R68*Z68*IF(ISNUMBER(SEARCH("JPY",E68)),1000,IF(ISNUMBER(SEARCH("XAU",E68)),100,IF(OR(ISNUMBER(SEARCH("30",E68)),ISNUMBER(SEARCH("500",E68)),ISNUMBER(SEARCH("100",E68))),100,100000))),0))</f>
        <v/>
      </c>
      <c r="AB68" s="10"/>
      <c r="AC68" s="29" t="str">
        <f aca="false">IF(K68="","",1-IFERROR(T68,0)-IFERROR(W68,0)-IFERROR(Z68,0))</f>
        <v/>
      </c>
      <c r="AD68" s="30" t="str">
        <f aca="false">IF(AB68="","",IFERROR((IFERROR(S68*T68,0)+IFERROR(V68*W68,0)+IFERROR(Y68*Z68,0)+AB68*AC68)/(IFERROR(T68,0)+IFERROR(W68,0)+IFERROR(Z68,0)+AC68),AB68))</f>
        <v/>
      </c>
      <c r="AE68" s="27" t="str">
        <f aca="false">IF(AB68="","",IF(U68="",0,U68)+IF(X68="",0,X68)+IF(AA68="",0,AA68)+IFERROR((AB68-K68)*IF(F68="Sell",-1,1)*R68*AC68*IF(ISNUMBER(SEARCH("JPY",E68)),1000,IF(ISNUMBER(SEARCH("XAU",E68)),100,IF(OR(ISNUMBER(SEARCH("30",E68)),ISNUMBER(SEARCH("500",E68)),ISNUMBER(SEARCH("100",E68))),100,100000))),0))</f>
        <v/>
      </c>
      <c r="AF68" s="31" t="str">
        <f aca="false">IF(OR(K68="",M68="",L68=""),"",IFERROR(ABS(M68-K68)/ABS(K68-L68),0))</f>
        <v/>
      </c>
      <c r="AG68" s="31" t="str">
        <f aca="false">IF(OR(AE68="",AE68=0,Q68=0,Q68=""),"",IFERROR(AE68/Q68,0))</f>
        <v/>
      </c>
      <c r="AH68" s="32" t="str">
        <f aca="false">IF(AB68="","Open",IF(AG68="","Open",IF(AG68&gt;0.1,"Win",IF(AG68&lt;-0.1,"Loss","Breakeven"))))</f>
        <v>Open</v>
      </c>
      <c r="AI68" s="33" t="str">
        <f aca="false">IF(OR(B68="",D68=""),"",D68-B68)</f>
        <v/>
      </c>
      <c r="AJ68" s="24" t="str">
        <f aca="false">IF(AD68="","",IFERROR((AD68-K68)*IF(F68="Sell",-1,1)/IF(ISNUMBER(SEARCH("JPY",E68)),0.01,IF(ISNUMBER(SEARCH("XAU",E68)),0.01,IF(OR(ISNUMBER(SEARCH("30",E68)),ISNUMBER(SEARCH("500",E68)),ISNUMBER(SEARCH("100",E68))),1,0.0001))),0))</f>
        <v/>
      </c>
      <c r="AK68" s="10"/>
      <c r="AL68" s="10"/>
      <c r="AM68" s="10"/>
      <c r="AN68" s="10"/>
      <c r="AO68" s="27" t="str">
        <f aca="false">IF(AE68="","",IFERROR(IF(AO67="",SETTINGS!$B$6,AO67),SETTINGS!$B$6)+IF(AE68="",0,AE68))</f>
        <v/>
      </c>
      <c r="AP68" s="2"/>
    </row>
    <row r="69" customFormat="false" ht="15" hidden="false" customHeight="false" outlineLevel="0" collapsed="false">
      <c r="A69" s="24" t="str">
        <f aca="false">IF(B69="","",ROW()-3)</f>
        <v/>
      </c>
      <c r="B69" s="34"/>
      <c r="C69" s="12"/>
      <c r="D69" s="34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35"/>
      <c r="P69" s="24" t="str">
        <f aca="false">IF(K69="","",IFERROR(ABS(K69-L69)/IF(ISNUMBER(SEARCH("JPY",E69)),0.01,IF(ISNUMBER(SEARCH("XAU",E69)),0.01,IF(OR(ISNUMBER(SEARCH("30",E69)),ISNUMBER(SEARCH("500",E69)),ISNUMBER(SEARCH("100",E69))),1,0.0001))),0))</f>
        <v/>
      </c>
      <c r="Q69" s="27" t="str">
        <f aca="false">IF(K69="","",SETTINGS!$B$6*O69)</f>
        <v/>
      </c>
      <c r="R69" s="24" t="str">
        <f aca="false">IF(K69="","",IFERROR(Q69/(P69*IF(ISNUMBER(SEARCH("JPY",E69)),9.09,IF(ISNUMBER(SEARCH("XAU",E69)),1,IF(OR(ISNUMBER(SEARCH("30",E69)),ISNUMBER(SEARCH("500",E69)),ISNUMBER(SEARCH("100",E69))),1,10)))),0))</f>
        <v/>
      </c>
      <c r="S69" s="12"/>
      <c r="T69" s="36"/>
      <c r="U69" s="27" t="str">
        <f aca="false">IF(OR(S69="",T69=0),"",IFERROR((S69-K69)*IF(F69="Sell",-1,1)*R69*T69*IF(ISNUMBER(SEARCH("JPY",E69)),1000,IF(ISNUMBER(SEARCH("XAU",E69)),100,IF(OR(ISNUMBER(SEARCH("30",E69)),ISNUMBER(SEARCH("500",E69)),ISNUMBER(SEARCH("100",E69))),100,100000))),0))</f>
        <v/>
      </c>
      <c r="V69" s="12"/>
      <c r="W69" s="36"/>
      <c r="X69" s="27" t="str">
        <f aca="false">IF(OR(V69="",W69=0),"",IFERROR((V69-K69)*IF(F69="Sell",-1,1)*R69*W69*IF(ISNUMBER(SEARCH("JPY",E69)),1000,IF(ISNUMBER(SEARCH("XAU",E69)),100,IF(OR(ISNUMBER(SEARCH("30",E69)),ISNUMBER(SEARCH("500",E69)),ISNUMBER(SEARCH("100",E69))),100,100000))),0))</f>
        <v/>
      </c>
      <c r="Y69" s="12"/>
      <c r="Z69" s="36"/>
      <c r="AA69" s="27" t="str">
        <f aca="false">IF(OR(Y69="",Z69=0),"",IFERROR((Y69-K69)*IF(F69="Sell",-1,1)*R69*Z69*IF(ISNUMBER(SEARCH("JPY",E69)),1000,IF(ISNUMBER(SEARCH("XAU",E69)),100,IF(OR(ISNUMBER(SEARCH("30",E69)),ISNUMBER(SEARCH("500",E69)),ISNUMBER(SEARCH("100",E69))),100,100000))),0))</f>
        <v/>
      </c>
      <c r="AB69" s="12"/>
      <c r="AC69" s="29" t="str">
        <f aca="false">IF(K69="","",1-IFERROR(T69,0)-IFERROR(W69,0)-IFERROR(Z69,0))</f>
        <v/>
      </c>
      <c r="AD69" s="30" t="str">
        <f aca="false">IF(AB69="","",IFERROR((IFERROR(S69*T69,0)+IFERROR(V69*W69,0)+IFERROR(Y69*Z69,0)+AB69*AC69)/(IFERROR(T69,0)+IFERROR(W69,0)+IFERROR(Z69,0)+AC69),AB69))</f>
        <v/>
      </c>
      <c r="AE69" s="27" t="str">
        <f aca="false">IF(AB69="","",IF(U69="",0,U69)+IF(X69="",0,X69)+IF(AA69="",0,AA69)+IFERROR((AB69-K69)*IF(F69="Sell",-1,1)*R69*AC69*IF(ISNUMBER(SEARCH("JPY",E69)),1000,IF(ISNUMBER(SEARCH("XAU",E69)),100,IF(OR(ISNUMBER(SEARCH("30",E69)),ISNUMBER(SEARCH("500",E69)),ISNUMBER(SEARCH("100",E69))),100,100000))),0))</f>
        <v/>
      </c>
      <c r="AF69" s="31" t="str">
        <f aca="false">IF(OR(K69="",M69="",L69=""),"",IFERROR(ABS(M69-K69)/ABS(K69-L69),0))</f>
        <v/>
      </c>
      <c r="AG69" s="31" t="str">
        <f aca="false">IF(OR(AE69="",AE69=0,Q69=0,Q69=""),"",IFERROR(AE69/Q69,0))</f>
        <v/>
      </c>
      <c r="AH69" s="32" t="str">
        <f aca="false">IF(AB69="","Open",IF(AG69="","Open",IF(AG69&gt;0.1,"Win",IF(AG69&lt;-0.1,"Loss","Breakeven"))))</f>
        <v>Open</v>
      </c>
      <c r="AI69" s="33" t="str">
        <f aca="false">IF(OR(B69="",D69=""),"",D69-B69)</f>
        <v/>
      </c>
      <c r="AJ69" s="24" t="str">
        <f aca="false">IF(AD69="","",IFERROR((AD69-K69)*IF(F69="Sell",-1,1)/IF(ISNUMBER(SEARCH("JPY",E69)),0.01,IF(ISNUMBER(SEARCH("XAU",E69)),0.01,IF(OR(ISNUMBER(SEARCH("30",E69)),ISNUMBER(SEARCH("500",E69)),ISNUMBER(SEARCH("100",E69))),1,0.0001))),0))</f>
        <v/>
      </c>
      <c r="AK69" s="12"/>
      <c r="AL69" s="12"/>
      <c r="AM69" s="12"/>
      <c r="AN69" s="12"/>
      <c r="AO69" s="27" t="str">
        <f aca="false">IF(AE69="","",IFERROR(IF(AO68="",SETTINGS!$B$6,AO68),SETTINGS!$B$6)+IF(AE69="",0,AE69))</f>
        <v/>
      </c>
      <c r="AP69" s="2"/>
    </row>
    <row r="70" customFormat="false" ht="15" hidden="false" customHeight="false" outlineLevel="0" collapsed="false">
      <c r="A70" s="24" t="str">
        <f aca="false">IF(B70="","",ROW()-3)</f>
        <v/>
      </c>
      <c r="B70" s="25"/>
      <c r="C70" s="10"/>
      <c r="D70" s="25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6"/>
      <c r="P70" s="24" t="str">
        <f aca="false">IF(K70="","",IFERROR(ABS(K70-L70)/IF(ISNUMBER(SEARCH("JPY",E70)),0.01,IF(ISNUMBER(SEARCH("XAU",E70)),0.01,IF(OR(ISNUMBER(SEARCH("30",E70)),ISNUMBER(SEARCH("500",E70)),ISNUMBER(SEARCH("100",E70))),1,0.0001))),0))</f>
        <v/>
      </c>
      <c r="Q70" s="27" t="str">
        <f aca="false">IF(K70="","",SETTINGS!$B$6*O70)</f>
        <v/>
      </c>
      <c r="R70" s="24" t="str">
        <f aca="false">IF(K70="","",IFERROR(Q70/(P70*IF(ISNUMBER(SEARCH("JPY",E70)),9.09,IF(ISNUMBER(SEARCH("XAU",E70)),1,IF(OR(ISNUMBER(SEARCH("30",E70)),ISNUMBER(SEARCH("500",E70)),ISNUMBER(SEARCH("100",E70))),1,10)))),0))</f>
        <v/>
      </c>
      <c r="S70" s="10"/>
      <c r="T70" s="28"/>
      <c r="U70" s="27" t="str">
        <f aca="false">IF(OR(S70="",T70=0),"",IFERROR((S70-K70)*IF(F70="Sell",-1,1)*R70*T70*IF(ISNUMBER(SEARCH("JPY",E70)),1000,IF(ISNUMBER(SEARCH("XAU",E70)),100,IF(OR(ISNUMBER(SEARCH("30",E70)),ISNUMBER(SEARCH("500",E70)),ISNUMBER(SEARCH("100",E70))),100,100000))),0))</f>
        <v/>
      </c>
      <c r="V70" s="10"/>
      <c r="W70" s="28"/>
      <c r="X70" s="27" t="str">
        <f aca="false">IF(OR(V70="",W70=0),"",IFERROR((V70-K70)*IF(F70="Sell",-1,1)*R70*W70*IF(ISNUMBER(SEARCH("JPY",E70)),1000,IF(ISNUMBER(SEARCH("XAU",E70)),100,IF(OR(ISNUMBER(SEARCH("30",E70)),ISNUMBER(SEARCH("500",E70)),ISNUMBER(SEARCH("100",E70))),100,100000))),0))</f>
        <v/>
      </c>
      <c r="Y70" s="10"/>
      <c r="Z70" s="28"/>
      <c r="AA70" s="27" t="str">
        <f aca="false">IF(OR(Y70="",Z70=0),"",IFERROR((Y70-K70)*IF(F70="Sell",-1,1)*R70*Z70*IF(ISNUMBER(SEARCH("JPY",E70)),1000,IF(ISNUMBER(SEARCH("XAU",E70)),100,IF(OR(ISNUMBER(SEARCH("30",E70)),ISNUMBER(SEARCH("500",E70)),ISNUMBER(SEARCH("100",E70))),100,100000))),0))</f>
        <v/>
      </c>
      <c r="AB70" s="10"/>
      <c r="AC70" s="29" t="str">
        <f aca="false">IF(K70="","",1-IFERROR(T70,0)-IFERROR(W70,0)-IFERROR(Z70,0))</f>
        <v/>
      </c>
      <c r="AD70" s="30" t="str">
        <f aca="false">IF(AB70="","",IFERROR((IFERROR(S70*T70,0)+IFERROR(V70*W70,0)+IFERROR(Y70*Z70,0)+AB70*AC70)/(IFERROR(T70,0)+IFERROR(W70,0)+IFERROR(Z70,0)+AC70),AB70))</f>
        <v/>
      </c>
      <c r="AE70" s="27" t="str">
        <f aca="false">IF(AB70="","",IF(U70="",0,U70)+IF(X70="",0,X70)+IF(AA70="",0,AA70)+IFERROR((AB70-K70)*IF(F70="Sell",-1,1)*R70*AC70*IF(ISNUMBER(SEARCH("JPY",E70)),1000,IF(ISNUMBER(SEARCH("XAU",E70)),100,IF(OR(ISNUMBER(SEARCH("30",E70)),ISNUMBER(SEARCH("500",E70)),ISNUMBER(SEARCH("100",E70))),100,100000))),0))</f>
        <v/>
      </c>
      <c r="AF70" s="31" t="str">
        <f aca="false">IF(OR(K70="",M70="",L70=""),"",IFERROR(ABS(M70-K70)/ABS(K70-L70),0))</f>
        <v/>
      </c>
      <c r="AG70" s="31" t="str">
        <f aca="false">IF(OR(AE70="",AE70=0,Q70=0,Q70=""),"",IFERROR(AE70/Q70,0))</f>
        <v/>
      </c>
      <c r="AH70" s="32" t="str">
        <f aca="false">IF(AB70="","Open",IF(AG70="","Open",IF(AG70&gt;0.1,"Win",IF(AG70&lt;-0.1,"Loss","Breakeven"))))</f>
        <v>Open</v>
      </c>
      <c r="AI70" s="33" t="str">
        <f aca="false">IF(OR(B70="",D70=""),"",D70-B70)</f>
        <v/>
      </c>
      <c r="AJ70" s="24" t="str">
        <f aca="false">IF(AD70="","",IFERROR((AD70-K70)*IF(F70="Sell",-1,1)/IF(ISNUMBER(SEARCH("JPY",E70)),0.01,IF(ISNUMBER(SEARCH("XAU",E70)),0.01,IF(OR(ISNUMBER(SEARCH("30",E70)),ISNUMBER(SEARCH("500",E70)),ISNUMBER(SEARCH("100",E70))),1,0.0001))),0))</f>
        <v/>
      </c>
      <c r="AK70" s="10"/>
      <c r="AL70" s="10"/>
      <c r="AM70" s="10"/>
      <c r="AN70" s="10"/>
      <c r="AO70" s="27" t="str">
        <f aca="false">IF(AE70="","",IFERROR(IF(AO69="",SETTINGS!$B$6,AO69),SETTINGS!$B$6)+IF(AE70="",0,AE70))</f>
        <v/>
      </c>
      <c r="AP70" s="2"/>
    </row>
    <row r="71" customFormat="false" ht="15" hidden="false" customHeight="false" outlineLevel="0" collapsed="false">
      <c r="A71" s="24" t="str">
        <f aca="false">IF(B71="","",ROW()-3)</f>
        <v/>
      </c>
      <c r="B71" s="34"/>
      <c r="C71" s="12"/>
      <c r="D71" s="34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35"/>
      <c r="P71" s="24" t="str">
        <f aca="false">IF(K71="","",IFERROR(ABS(K71-L71)/IF(ISNUMBER(SEARCH("JPY",E71)),0.01,IF(ISNUMBER(SEARCH("XAU",E71)),0.01,IF(OR(ISNUMBER(SEARCH("30",E71)),ISNUMBER(SEARCH("500",E71)),ISNUMBER(SEARCH("100",E71))),1,0.0001))),0))</f>
        <v/>
      </c>
      <c r="Q71" s="27" t="str">
        <f aca="false">IF(K71="","",SETTINGS!$B$6*O71)</f>
        <v/>
      </c>
      <c r="R71" s="24" t="str">
        <f aca="false">IF(K71="","",IFERROR(Q71/(P71*IF(ISNUMBER(SEARCH("JPY",E71)),9.09,IF(ISNUMBER(SEARCH("XAU",E71)),1,IF(OR(ISNUMBER(SEARCH("30",E71)),ISNUMBER(SEARCH("500",E71)),ISNUMBER(SEARCH("100",E71))),1,10)))),0))</f>
        <v/>
      </c>
      <c r="S71" s="12"/>
      <c r="T71" s="36"/>
      <c r="U71" s="27" t="str">
        <f aca="false">IF(OR(S71="",T71=0),"",IFERROR((S71-K71)*IF(F71="Sell",-1,1)*R71*T71*IF(ISNUMBER(SEARCH("JPY",E71)),1000,IF(ISNUMBER(SEARCH("XAU",E71)),100,IF(OR(ISNUMBER(SEARCH("30",E71)),ISNUMBER(SEARCH("500",E71)),ISNUMBER(SEARCH("100",E71))),100,100000))),0))</f>
        <v/>
      </c>
      <c r="V71" s="12"/>
      <c r="W71" s="36"/>
      <c r="X71" s="27" t="str">
        <f aca="false">IF(OR(V71="",W71=0),"",IFERROR((V71-K71)*IF(F71="Sell",-1,1)*R71*W71*IF(ISNUMBER(SEARCH("JPY",E71)),1000,IF(ISNUMBER(SEARCH("XAU",E71)),100,IF(OR(ISNUMBER(SEARCH("30",E71)),ISNUMBER(SEARCH("500",E71)),ISNUMBER(SEARCH("100",E71))),100,100000))),0))</f>
        <v/>
      </c>
      <c r="Y71" s="12"/>
      <c r="Z71" s="36"/>
      <c r="AA71" s="27" t="str">
        <f aca="false">IF(OR(Y71="",Z71=0),"",IFERROR((Y71-K71)*IF(F71="Sell",-1,1)*R71*Z71*IF(ISNUMBER(SEARCH("JPY",E71)),1000,IF(ISNUMBER(SEARCH("XAU",E71)),100,IF(OR(ISNUMBER(SEARCH("30",E71)),ISNUMBER(SEARCH("500",E71)),ISNUMBER(SEARCH("100",E71))),100,100000))),0))</f>
        <v/>
      </c>
      <c r="AB71" s="12"/>
      <c r="AC71" s="29" t="str">
        <f aca="false">IF(K71="","",1-IFERROR(T71,0)-IFERROR(W71,0)-IFERROR(Z71,0))</f>
        <v/>
      </c>
      <c r="AD71" s="30" t="str">
        <f aca="false">IF(AB71="","",IFERROR((IFERROR(S71*T71,0)+IFERROR(V71*W71,0)+IFERROR(Y71*Z71,0)+AB71*AC71)/(IFERROR(T71,0)+IFERROR(W71,0)+IFERROR(Z71,0)+AC71),AB71))</f>
        <v/>
      </c>
      <c r="AE71" s="27" t="str">
        <f aca="false">IF(AB71="","",IF(U71="",0,U71)+IF(X71="",0,X71)+IF(AA71="",0,AA71)+IFERROR((AB71-K71)*IF(F71="Sell",-1,1)*R71*AC71*IF(ISNUMBER(SEARCH("JPY",E71)),1000,IF(ISNUMBER(SEARCH("XAU",E71)),100,IF(OR(ISNUMBER(SEARCH("30",E71)),ISNUMBER(SEARCH("500",E71)),ISNUMBER(SEARCH("100",E71))),100,100000))),0))</f>
        <v/>
      </c>
      <c r="AF71" s="31" t="str">
        <f aca="false">IF(OR(K71="",M71="",L71=""),"",IFERROR(ABS(M71-K71)/ABS(K71-L71),0))</f>
        <v/>
      </c>
      <c r="AG71" s="31" t="str">
        <f aca="false">IF(OR(AE71="",AE71=0,Q71=0,Q71=""),"",IFERROR(AE71/Q71,0))</f>
        <v/>
      </c>
      <c r="AH71" s="32" t="str">
        <f aca="false">IF(AB71="","Open",IF(AG71="","Open",IF(AG71&gt;0.1,"Win",IF(AG71&lt;-0.1,"Loss","Breakeven"))))</f>
        <v>Open</v>
      </c>
      <c r="AI71" s="33" t="str">
        <f aca="false">IF(OR(B71="",D71=""),"",D71-B71)</f>
        <v/>
      </c>
      <c r="AJ71" s="24" t="str">
        <f aca="false">IF(AD71="","",IFERROR((AD71-K71)*IF(F71="Sell",-1,1)/IF(ISNUMBER(SEARCH("JPY",E71)),0.01,IF(ISNUMBER(SEARCH("XAU",E71)),0.01,IF(OR(ISNUMBER(SEARCH("30",E71)),ISNUMBER(SEARCH("500",E71)),ISNUMBER(SEARCH("100",E71))),1,0.0001))),0))</f>
        <v/>
      </c>
      <c r="AK71" s="12"/>
      <c r="AL71" s="12"/>
      <c r="AM71" s="12"/>
      <c r="AN71" s="12"/>
      <c r="AO71" s="27" t="str">
        <f aca="false">IF(AE71="","",IFERROR(IF(AO70="",SETTINGS!$B$6,AO70),SETTINGS!$B$6)+IF(AE71="",0,AE71))</f>
        <v/>
      </c>
      <c r="AP71" s="2"/>
    </row>
    <row r="72" customFormat="false" ht="15" hidden="false" customHeight="false" outlineLevel="0" collapsed="false">
      <c r="A72" s="24" t="str">
        <f aca="false">IF(B72="","",ROW()-3)</f>
        <v/>
      </c>
      <c r="B72" s="25"/>
      <c r="C72" s="10"/>
      <c r="D72" s="2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26"/>
      <c r="P72" s="24" t="str">
        <f aca="false">IF(K72="","",IFERROR(ABS(K72-L72)/IF(ISNUMBER(SEARCH("JPY",E72)),0.01,IF(ISNUMBER(SEARCH("XAU",E72)),0.01,IF(OR(ISNUMBER(SEARCH("30",E72)),ISNUMBER(SEARCH("500",E72)),ISNUMBER(SEARCH("100",E72))),1,0.0001))),0))</f>
        <v/>
      </c>
      <c r="Q72" s="27" t="str">
        <f aca="false">IF(K72="","",SETTINGS!$B$6*O72)</f>
        <v/>
      </c>
      <c r="R72" s="24" t="str">
        <f aca="false">IF(K72="","",IFERROR(Q72/(P72*IF(ISNUMBER(SEARCH("JPY",E72)),9.09,IF(ISNUMBER(SEARCH("XAU",E72)),1,IF(OR(ISNUMBER(SEARCH("30",E72)),ISNUMBER(SEARCH("500",E72)),ISNUMBER(SEARCH("100",E72))),1,10)))),0))</f>
        <v/>
      </c>
      <c r="S72" s="10"/>
      <c r="T72" s="28"/>
      <c r="U72" s="27" t="str">
        <f aca="false">IF(OR(S72="",T72=0),"",IFERROR((S72-K72)*IF(F72="Sell",-1,1)*R72*T72*IF(ISNUMBER(SEARCH("JPY",E72)),1000,IF(ISNUMBER(SEARCH("XAU",E72)),100,IF(OR(ISNUMBER(SEARCH("30",E72)),ISNUMBER(SEARCH("500",E72)),ISNUMBER(SEARCH("100",E72))),100,100000))),0))</f>
        <v/>
      </c>
      <c r="V72" s="10"/>
      <c r="W72" s="28"/>
      <c r="X72" s="27" t="str">
        <f aca="false">IF(OR(V72="",W72=0),"",IFERROR((V72-K72)*IF(F72="Sell",-1,1)*R72*W72*IF(ISNUMBER(SEARCH("JPY",E72)),1000,IF(ISNUMBER(SEARCH("XAU",E72)),100,IF(OR(ISNUMBER(SEARCH("30",E72)),ISNUMBER(SEARCH("500",E72)),ISNUMBER(SEARCH("100",E72))),100,100000))),0))</f>
        <v/>
      </c>
      <c r="Y72" s="10"/>
      <c r="Z72" s="28"/>
      <c r="AA72" s="27" t="str">
        <f aca="false">IF(OR(Y72="",Z72=0),"",IFERROR((Y72-K72)*IF(F72="Sell",-1,1)*R72*Z72*IF(ISNUMBER(SEARCH("JPY",E72)),1000,IF(ISNUMBER(SEARCH("XAU",E72)),100,IF(OR(ISNUMBER(SEARCH("30",E72)),ISNUMBER(SEARCH("500",E72)),ISNUMBER(SEARCH("100",E72))),100,100000))),0))</f>
        <v/>
      </c>
      <c r="AB72" s="10"/>
      <c r="AC72" s="29" t="str">
        <f aca="false">IF(K72="","",1-IFERROR(T72,0)-IFERROR(W72,0)-IFERROR(Z72,0))</f>
        <v/>
      </c>
      <c r="AD72" s="30" t="str">
        <f aca="false">IF(AB72="","",IFERROR((IFERROR(S72*T72,0)+IFERROR(V72*W72,0)+IFERROR(Y72*Z72,0)+AB72*AC72)/(IFERROR(T72,0)+IFERROR(W72,0)+IFERROR(Z72,0)+AC72),AB72))</f>
        <v/>
      </c>
      <c r="AE72" s="27" t="str">
        <f aca="false">IF(AB72="","",IF(U72="",0,U72)+IF(X72="",0,X72)+IF(AA72="",0,AA72)+IFERROR((AB72-K72)*IF(F72="Sell",-1,1)*R72*AC72*IF(ISNUMBER(SEARCH("JPY",E72)),1000,IF(ISNUMBER(SEARCH("XAU",E72)),100,IF(OR(ISNUMBER(SEARCH("30",E72)),ISNUMBER(SEARCH("500",E72)),ISNUMBER(SEARCH("100",E72))),100,100000))),0))</f>
        <v/>
      </c>
      <c r="AF72" s="31" t="str">
        <f aca="false">IF(OR(K72="",M72="",L72=""),"",IFERROR(ABS(M72-K72)/ABS(K72-L72),0))</f>
        <v/>
      </c>
      <c r="AG72" s="31" t="str">
        <f aca="false">IF(OR(AE72="",AE72=0,Q72=0,Q72=""),"",IFERROR(AE72/Q72,0))</f>
        <v/>
      </c>
      <c r="AH72" s="32" t="str">
        <f aca="false">IF(AB72="","Open",IF(AG72="","Open",IF(AG72&gt;0.1,"Win",IF(AG72&lt;-0.1,"Loss","Breakeven"))))</f>
        <v>Open</v>
      </c>
      <c r="AI72" s="33" t="str">
        <f aca="false">IF(OR(B72="",D72=""),"",D72-B72)</f>
        <v/>
      </c>
      <c r="AJ72" s="24" t="str">
        <f aca="false">IF(AD72="","",IFERROR((AD72-K72)*IF(F72="Sell",-1,1)/IF(ISNUMBER(SEARCH("JPY",E72)),0.01,IF(ISNUMBER(SEARCH("XAU",E72)),0.01,IF(OR(ISNUMBER(SEARCH("30",E72)),ISNUMBER(SEARCH("500",E72)),ISNUMBER(SEARCH("100",E72))),1,0.0001))),0))</f>
        <v/>
      </c>
      <c r="AK72" s="10"/>
      <c r="AL72" s="10"/>
      <c r="AM72" s="10"/>
      <c r="AN72" s="10"/>
      <c r="AO72" s="27" t="str">
        <f aca="false">IF(AE72="","",IFERROR(IF(AO71="",SETTINGS!$B$6,AO71),SETTINGS!$B$6)+IF(AE72="",0,AE72))</f>
        <v/>
      </c>
      <c r="AP72" s="2"/>
    </row>
    <row r="73" customFormat="false" ht="15" hidden="false" customHeight="false" outlineLevel="0" collapsed="false">
      <c r="A73" s="24" t="str">
        <f aca="false">IF(B73="","",ROW()-3)</f>
        <v/>
      </c>
      <c r="B73" s="34"/>
      <c r="C73" s="12"/>
      <c r="D73" s="34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35"/>
      <c r="P73" s="24" t="str">
        <f aca="false">IF(K73="","",IFERROR(ABS(K73-L73)/IF(ISNUMBER(SEARCH("JPY",E73)),0.01,IF(ISNUMBER(SEARCH("XAU",E73)),0.01,IF(OR(ISNUMBER(SEARCH("30",E73)),ISNUMBER(SEARCH("500",E73)),ISNUMBER(SEARCH("100",E73))),1,0.0001))),0))</f>
        <v/>
      </c>
      <c r="Q73" s="27" t="str">
        <f aca="false">IF(K73="","",SETTINGS!$B$6*O73)</f>
        <v/>
      </c>
      <c r="R73" s="24" t="str">
        <f aca="false">IF(K73="","",IFERROR(Q73/(P73*IF(ISNUMBER(SEARCH("JPY",E73)),9.09,IF(ISNUMBER(SEARCH("XAU",E73)),1,IF(OR(ISNUMBER(SEARCH("30",E73)),ISNUMBER(SEARCH("500",E73)),ISNUMBER(SEARCH("100",E73))),1,10)))),0))</f>
        <v/>
      </c>
      <c r="S73" s="12"/>
      <c r="T73" s="36"/>
      <c r="U73" s="27" t="str">
        <f aca="false">IF(OR(S73="",T73=0),"",IFERROR((S73-K73)*IF(F73="Sell",-1,1)*R73*T73*IF(ISNUMBER(SEARCH("JPY",E73)),1000,IF(ISNUMBER(SEARCH("XAU",E73)),100,IF(OR(ISNUMBER(SEARCH("30",E73)),ISNUMBER(SEARCH("500",E73)),ISNUMBER(SEARCH("100",E73))),100,100000))),0))</f>
        <v/>
      </c>
      <c r="V73" s="12"/>
      <c r="W73" s="36"/>
      <c r="X73" s="27" t="str">
        <f aca="false">IF(OR(V73="",W73=0),"",IFERROR((V73-K73)*IF(F73="Sell",-1,1)*R73*W73*IF(ISNUMBER(SEARCH("JPY",E73)),1000,IF(ISNUMBER(SEARCH("XAU",E73)),100,IF(OR(ISNUMBER(SEARCH("30",E73)),ISNUMBER(SEARCH("500",E73)),ISNUMBER(SEARCH("100",E73))),100,100000))),0))</f>
        <v/>
      </c>
      <c r="Y73" s="12"/>
      <c r="Z73" s="36"/>
      <c r="AA73" s="27" t="str">
        <f aca="false">IF(OR(Y73="",Z73=0),"",IFERROR((Y73-K73)*IF(F73="Sell",-1,1)*R73*Z73*IF(ISNUMBER(SEARCH("JPY",E73)),1000,IF(ISNUMBER(SEARCH("XAU",E73)),100,IF(OR(ISNUMBER(SEARCH("30",E73)),ISNUMBER(SEARCH("500",E73)),ISNUMBER(SEARCH("100",E73))),100,100000))),0))</f>
        <v/>
      </c>
      <c r="AB73" s="12"/>
      <c r="AC73" s="29" t="str">
        <f aca="false">IF(K73="","",1-IFERROR(T73,0)-IFERROR(W73,0)-IFERROR(Z73,0))</f>
        <v/>
      </c>
      <c r="AD73" s="30" t="str">
        <f aca="false">IF(AB73="","",IFERROR((IFERROR(S73*T73,0)+IFERROR(V73*W73,0)+IFERROR(Y73*Z73,0)+AB73*AC73)/(IFERROR(T73,0)+IFERROR(W73,0)+IFERROR(Z73,0)+AC73),AB73))</f>
        <v/>
      </c>
      <c r="AE73" s="27" t="str">
        <f aca="false">IF(AB73="","",IF(U73="",0,U73)+IF(X73="",0,X73)+IF(AA73="",0,AA73)+IFERROR((AB73-K73)*IF(F73="Sell",-1,1)*R73*AC73*IF(ISNUMBER(SEARCH("JPY",E73)),1000,IF(ISNUMBER(SEARCH("XAU",E73)),100,IF(OR(ISNUMBER(SEARCH("30",E73)),ISNUMBER(SEARCH("500",E73)),ISNUMBER(SEARCH("100",E73))),100,100000))),0))</f>
        <v/>
      </c>
      <c r="AF73" s="31" t="str">
        <f aca="false">IF(OR(K73="",M73="",L73=""),"",IFERROR(ABS(M73-K73)/ABS(K73-L73),0))</f>
        <v/>
      </c>
      <c r="AG73" s="31" t="str">
        <f aca="false">IF(OR(AE73="",AE73=0,Q73=0,Q73=""),"",IFERROR(AE73/Q73,0))</f>
        <v/>
      </c>
      <c r="AH73" s="32" t="str">
        <f aca="false">IF(AB73="","Open",IF(AG73="","Open",IF(AG73&gt;0.1,"Win",IF(AG73&lt;-0.1,"Loss","Breakeven"))))</f>
        <v>Open</v>
      </c>
      <c r="AI73" s="33" t="str">
        <f aca="false">IF(OR(B73="",D73=""),"",D73-B73)</f>
        <v/>
      </c>
      <c r="AJ73" s="24" t="str">
        <f aca="false">IF(AD73="","",IFERROR((AD73-K73)*IF(F73="Sell",-1,1)/IF(ISNUMBER(SEARCH("JPY",E73)),0.01,IF(ISNUMBER(SEARCH("XAU",E73)),0.01,IF(OR(ISNUMBER(SEARCH("30",E73)),ISNUMBER(SEARCH("500",E73)),ISNUMBER(SEARCH("100",E73))),1,0.0001))),0))</f>
        <v/>
      </c>
      <c r="AK73" s="12"/>
      <c r="AL73" s="12"/>
      <c r="AM73" s="12"/>
      <c r="AN73" s="12"/>
      <c r="AO73" s="27" t="str">
        <f aca="false">IF(AE73="","",IFERROR(IF(AO72="",SETTINGS!$B$6,AO72),SETTINGS!$B$6)+IF(AE73="",0,AE73))</f>
        <v/>
      </c>
      <c r="AP73" s="2"/>
    </row>
    <row r="74" customFormat="false" ht="15" hidden="false" customHeight="false" outlineLevel="0" collapsed="false">
      <c r="A74" s="24" t="str">
        <f aca="false">IF(B74="","",ROW()-3)</f>
        <v/>
      </c>
      <c r="B74" s="25"/>
      <c r="C74" s="10"/>
      <c r="D74" s="2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26"/>
      <c r="P74" s="24" t="str">
        <f aca="false">IF(K74="","",IFERROR(ABS(K74-L74)/IF(ISNUMBER(SEARCH("JPY",E74)),0.01,IF(ISNUMBER(SEARCH("XAU",E74)),0.01,IF(OR(ISNUMBER(SEARCH("30",E74)),ISNUMBER(SEARCH("500",E74)),ISNUMBER(SEARCH("100",E74))),1,0.0001))),0))</f>
        <v/>
      </c>
      <c r="Q74" s="27" t="str">
        <f aca="false">IF(K74="","",SETTINGS!$B$6*O74)</f>
        <v/>
      </c>
      <c r="R74" s="24" t="str">
        <f aca="false">IF(K74="","",IFERROR(Q74/(P74*IF(ISNUMBER(SEARCH("JPY",E74)),9.09,IF(ISNUMBER(SEARCH("XAU",E74)),1,IF(OR(ISNUMBER(SEARCH("30",E74)),ISNUMBER(SEARCH("500",E74)),ISNUMBER(SEARCH("100",E74))),1,10)))),0))</f>
        <v/>
      </c>
      <c r="S74" s="10"/>
      <c r="T74" s="28"/>
      <c r="U74" s="27" t="str">
        <f aca="false">IF(OR(S74="",T74=0),"",IFERROR((S74-K74)*IF(F74="Sell",-1,1)*R74*T74*IF(ISNUMBER(SEARCH("JPY",E74)),1000,IF(ISNUMBER(SEARCH("XAU",E74)),100,IF(OR(ISNUMBER(SEARCH("30",E74)),ISNUMBER(SEARCH("500",E74)),ISNUMBER(SEARCH("100",E74))),100,100000))),0))</f>
        <v/>
      </c>
      <c r="V74" s="10"/>
      <c r="W74" s="28"/>
      <c r="X74" s="27" t="str">
        <f aca="false">IF(OR(V74="",W74=0),"",IFERROR((V74-K74)*IF(F74="Sell",-1,1)*R74*W74*IF(ISNUMBER(SEARCH("JPY",E74)),1000,IF(ISNUMBER(SEARCH("XAU",E74)),100,IF(OR(ISNUMBER(SEARCH("30",E74)),ISNUMBER(SEARCH("500",E74)),ISNUMBER(SEARCH("100",E74))),100,100000))),0))</f>
        <v/>
      </c>
      <c r="Y74" s="10"/>
      <c r="Z74" s="28"/>
      <c r="AA74" s="27" t="str">
        <f aca="false">IF(OR(Y74="",Z74=0),"",IFERROR((Y74-K74)*IF(F74="Sell",-1,1)*R74*Z74*IF(ISNUMBER(SEARCH("JPY",E74)),1000,IF(ISNUMBER(SEARCH("XAU",E74)),100,IF(OR(ISNUMBER(SEARCH("30",E74)),ISNUMBER(SEARCH("500",E74)),ISNUMBER(SEARCH("100",E74))),100,100000))),0))</f>
        <v/>
      </c>
      <c r="AB74" s="10"/>
      <c r="AC74" s="29" t="str">
        <f aca="false">IF(K74="","",1-IFERROR(T74,0)-IFERROR(W74,0)-IFERROR(Z74,0))</f>
        <v/>
      </c>
      <c r="AD74" s="30" t="str">
        <f aca="false">IF(AB74="","",IFERROR((IFERROR(S74*T74,0)+IFERROR(V74*W74,0)+IFERROR(Y74*Z74,0)+AB74*AC74)/(IFERROR(T74,0)+IFERROR(W74,0)+IFERROR(Z74,0)+AC74),AB74))</f>
        <v/>
      </c>
      <c r="AE74" s="27" t="str">
        <f aca="false">IF(AB74="","",IF(U74="",0,U74)+IF(X74="",0,X74)+IF(AA74="",0,AA74)+IFERROR((AB74-K74)*IF(F74="Sell",-1,1)*R74*AC74*IF(ISNUMBER(SEARCH("JPY",E74)),1000,IF(ISNUMBER(SEARCH("XAU",E74)),100,IF(OR(ISNUMBER(SEARCH("30",E74)),ISNUMBER(SEARCH("500",E74)),ISNUMBER(SEARCH("100",E74))),100,100000))),0))</f>
        <v/>
      </c>
      <c r="AF74" s="31" t="str">
        <f aca="false">IF(OR(K74="",M74="",L74=""),"",IFERROR(ABS(M74-K74)/ABS(K74-L74),0))</f>
        <v/>
      </c>
      <c r="AG74" s="31" t="str">
        <f aca="false">IF(OR(AE74="",AE74=0,Q74=0,Q74=""),"",IFERROR(AE74/Q74,0))</f>
        <v/>
      </c>
      <c r="AH74" s="32" t="str">
        <f aca="false">IF(AB74="","Open",IF(AG74="","Open",IF(AG74&gt;0.1,"Win",IF(AG74&lt;-0.1,"Loss","Breakeven"))))</f>
        <v>Open</v>
      </c>
      <c r="AI74" s="33" t="str">
        <f aca="false">IF(OR(B74="",D74=""),"",D74-B74)</f>
        <v/>
      </c>
      <c r="AJ74" s="24" t="str">
        <f aca="false">IF(AD74="","",IFERROR((AD74-K74)*IF(F74="Sell",-1,1)/IF(ISNUMBER(SEARCH("JPY",E74)),0.01,IF(ISNUMBER(SEARCH("XAU",E74)),0.01,IF(OR(ISNUMBER(SEARCH("30",E74)),ISNUMBER(SEARCH("500",E74)),ISNUMBER(SEARCH("100",E74))),1,0.0001))),0))</f>
        <v/>
      </c>
      <c r="AK74" s="10"/>
      <c r="AL74" s="10"/>
      <c r="AM74" s="10"/>
      <c r="AN74" s="10"/>
      <c r="AO74" s="27" t="str">
        <f aca="false">IF(AE74="","",IFERROR(IF(AO73="",SETTINGS!$B$6,AO73),SETTINGS!$B$6)+IF(AE74="",0,AE74))</f>
        <v/>
      </c>
      <c r="AP74" s="2"/>
    </row>
    <row r="75" customFormat="false" ht="15" hidden="false" customHeight="false" outlineLevel="0" collapsed="false">
      <c r="A75" s="24" t="str">
        <f aca="false">IF(B75="","",ROW()-3)</f>
        <v/>
      </c>
      <c r="B75" s="34"/>
      <c r="C75" s="12"/>
      <c r="D75" s="34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35"/>
      <c r="P75" s="24" t="str">
        <f aca="false">IF(K75="","",IFERROR(ABS(K75-L75)/IF(ISNUMBER(SEARCH("JPY",E75)),0.01,IF(ISNUMBER(SEARCH("XAU",E75)),0.01,IF(OR(ISNUMBER(SEARCH("30",E75)),ISNUMBER(SEARCH("500",E75)),ISNUMBER(SEARCH("100",E75))),1,0.0001))),0))</f>
        <v/>
      </c>
      <c r="Q75" s="27" t="str">
        <f aca="false">IF(K75="","",SETTINGS!$B$6*O75)</f>
        <v/>
      </c>
      <c r="R75" s="24" t="str">
        <f aca="false">IF(K75="","",IFERROR(Q75/(P75*IF(ISNUMBER(SEARCH("JPY",E75)),9.09,IF(ISNUMBER(SEARCH("XAU",E75)),1,IF(OR(ISNUMBER(SEARCH("30",E75)),ISNUMBER(SEARCH("500",E75)),ISNUMBER(SEARCH("100",E75))),1,10)))),0))</f>
        <v/>
      </c>
      <c r="S75" s="12"/>
      <c r="T75" s="36"/>
      <c r="U75" s="27" t="str">
        <f aca="false">IF(OR(S75="",T75=0),"",IFERROR((S75-K75)*IF(F75="Sell",-1,1)*R75*T75*IF(ISNUMBER(SEARCH("JPY",E75)),1000,IF(ISNUMBER(SEARCH("XAU",E75)),100,IF(OR(ISNUMBER(SEARCH("30",E75)),ISNUMBER(SEARCH("500",E75)),ISNUMBER(SEARCH("100",E75))),100,100000))),0))</f>
        <v/>
      </c>
      <c r="V75" s="12"/>
      <c r="W75" s="36"/>
      <c r="X75" s="27" t="str">
        <f aca="false">IF(OR(V75="",W75=0),"",IFERROR((V75-K75)*IF(F75="Sell",-1,1)*R75*W75*IF(ISNUMBER(SEARCH("JPY",E75)),1000,IF(ISNUMBER(SEARCH("XAU",E75)),100,IF(OR(ISNUMBER(SEARCH("30",E75)),ISNUMBER(SEARCH("500",E75)),ISNUMBER(SEARCH("100",E75))),100,100000))),0))</f>
        <v/>
      </c>
      <c r="Y75" s="12"/>
      <c r="Z75" s="36"/>
      <c r="AA75" s="27" t="str">
        <f aca="false">IF(OR(Y75="",Z75=0),"",IFERROR((Y75-K75)*IF(F75="Sell",-1,1)*R75*Z75*IF(ISNUMBER(SEARCH("JPY",E75)),1000,IF(ISNUMBER(SEARCH("XAU",E75)),100,IF(OR(ISNUMBER(SEARCH("30",E75)),ISNUMBER(SEARCH("500",E75)),ISNUMBER(SEARCH("100",E75))),100,100000))),0))</f>
        <v/>
      </c>
      <c r="AB75" s="12"/>
      <c r="AC75" s="29" t="str">
        <f aca="false">IF(K75="","",1-IFERROR(T75,0)-IFERROR(W75,0)-IFERROR(Z75,0))</f>
        <v/>
      </c>
      <c r="AD75" s="30" t="str">
        <f aca="false">IF(AB75="","",IFERROR((IFERROR(S75*T75,0)+IFERROR(V75*W75,0)+IFERROR(Y75*Z75,0)+AB75*AC75)/(IFERROR(T75,0)+IFERROR(W75,0)+IFERROR(Z75,0)+AC75),AB75))</f>
        <v/>
      </c>
      <c r="AE75" s="27" t="str">
        <f aca="false">IF(AB75="","",IF(U75="",0,U75)+IF(X75="",0,X75)+IF(AA75="",0,AA75)+IFERROR((AB75-K75)*IF(F75="Sell",-1,1)*R75*AC75*IF(ISNUMBER(SEARCH("JPY",E75)),1000,IF(ISNUMBER(SEARCH("XAU",E75)),100,IF(OR(ISNUMBER(SEARCH("30",E75)),ISNUMBER(SEARCH("500",E75)),ISNUMBER(SEARCH("100",E75))),100,100000))),0))</f>
        <v/>
      </c>
      <c r="AF75" s="31" t="str">
        <f aca="false">IF(OR(K75="",M75="",L75=""),"",IFERROR(ABS(M75-K75)/ABS(K75-L75),0))</f>
        <v/>
      </c>
      <c r="AG75" s="31" t="str">
        <f aca="false">IF(OR(AE75="",AE75=0,Q75=0,Q75=""),"",IFERROR(AE75/Q75,0))</f>
        <v/>
      </c>
      <c r="AH75" s="32" t="str">
        <f aca="false">IF(AB75="","Open",IF(AG75="","Open",IF(AG75&gt;0.1,"Win",IF(AG75&lt;-0.1,"Loss","Breakeven"))))</f>
        <v>Open</v>
      </c>
      <c r="AI75" s="33" t="str">
        <f aca="false">IF(OR(B75="",D75=""),"",D75-B75)</f>
        <v/>
      </c>
      <c r="AJ75" s="24" t="str">
        <f aca="false">IF(AD75="","",IFERROR((AD75-K75)*IF(F75="Sell",-1,1)/IF(ISNUMBER(SEARCH("JPY",E75)),0.01,IF(ISNUMBER(SEARCH("XAU",E75)),0.01,IF(OR(ISNUMBER(SEARCH("30",E75)),ISNUMBER(SEARCH("500",E75)),ISNUMBER(SEARCH("100",E75))),1,0.0001))),0))</f>
        <v/>
      </c>
      <c r="AK75" s="12"/>
      <c r="AL75" s="12"/>
      <c r="AM75" s="12"/>
      <c r="AN75" s="12"/>
      <c r="AO75" s="27" t="str">
        <f aca="false">IF(AE75="","",IFERROR(IF(AO74="",SETTINGS!$B$6,AO74),SETTINGS!$B$6)+IF(AE75="",0,AE75))</f>
        <v/>
      </c>
      <c r="AP75" s="2"/>
    </row>
    <row r="76" customFormat="false" ht="15" hidden="false" customHeight="false" outlineLevel="0" collapsed="false">
      <c r="A76" s="24" t="str">
        <f aca="false">IF(B76="","",ROW()-3)</f>
        <v/>
      </c>
      <c r="B76" s="25"/>
      <c r="C76" s="10"/>
      <c r="D76" s="25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26"/>
      <c r="P76" s="24" t="str">
        <f aca="false">IF(K76="","",IFERROR(ABS(K76-L76)/IF(ISNUMBER(SEARCH("JPY",E76)),0.01,IF(ISNUMBER(SEARCH("XAU",E76)),0.01,IF(OR(ISNUMBER(SEARCH("30",E76)),ISNUMBER(SEARCH("500",E76)),ISNUMBER(SEARCH("100",E76))),1,0.0001))),0))</f>
        <v/>
      </c>
      <c r="Q76" s="27" t="str">
        <f aca="false">IF(K76="","",SETTINGS!$B$6*O76)</f>
        <v/>
      </c>
      <c r="R76" s="24" t="str">
        <f aca="false">IF(K76="","",IFERROR(Q76/(P76*IF(ISNUMBER(SEARCH("JPY",E76)),9.09,IF(ISNUMBER(SEARCH("XAU",E76)),1,IF(OR(ISNUMBER(SEARCH("30",E76)),ISNUMBER(SEARCH("500",E76)),ISNUMBER(SEARCH("100",E76))),1,10)))),0))</f>
        <v/>
      </c>
      <c r="S76" s="10"/>
      <c r="T76" s="28"/>
      <c r="U76" s="27" t="str">
        <f aca="false">IF(OR(S76="",T76=0),"",IFERROR((S76-K76)*IF(F76="Sell",-1,1)*R76*T76*IF(ISNUMBER(SEARCH("JPY",E76)),1000,IF(ISNUMBER(SEARCH("XAU",E76)),100,IF(OR(ISNUMBER(SEARCH("30",E76)),ISNUMBER(SEARCH("500",E76)),ISNUMBER(SEARCH("100",E76))),100,100000))),0))</f>
        <v/>
      </c>
      <c r="V76" s="10"/>
      <c r="W76" s="28"/>
      <c r="X76" s="27" t="str">
        <f aca="false">IF(OR(V76="",W76=0),"",IFERROR((V76-K76)*IF(F76="Sell",-1,1)*R76*W76*IF(ISNUMBER(SEARCH("JPY",E76)),1000,IF(ISNUMBER(SEARCH("XAU",E76)),100,IF(OR(ISNUMBER(SEARCH("30",E76)),ISNUMBER(SEARCH("500",E76)),ISNUMBER(SEARCH("100",E76))),100,100000))),0))</f>
        <v/>
      </c>
      <c r="Y76" s="10"/>
      <c r="Z76" s="28"/>
      <c r="AA76" s="27" t="str">
        <f aca="false">IF(OR(Y76="",Z76=0),"",IFERROR((Y76-K76)*IF(F76="Sell",-1,1)*R76*Z76*IF(ISNUMBER(SEARCH("JPY",E76)),1000,IF(ISNUMBER(SEARCH("XAU",E76)),100,IF(OR(ISNUMBER(SEARCH("30",E76)),ISNUMBER(SEARCH("500",E76)),ISNUMBER(SEARCH("100",E76))),100,100000))),0))</f>
        <v/>
      </c>
      <c r="AB76" s="10"/>
      <c r="AC76" s="29" t="str">
        <f aca="false">IF(K76="","",1-IFERROR(T76,0)-IFERROR(W76,0)-IFERROR(Z76,0))</f>
        <v/>
      </c>
      <c r="AD76" s="30" t="str">
        <f aca="false">IF(AB76="","",IFERROR((IFERROR(S76*T76,0)+IFERROR(V76*W76,0)+IFERROR(Y76*Z76,0)+AB76*AC76)/(IFERROR(T76,0)+IFERROR(W76,0)+IFERROR(Z76,0)+AC76),AB76))</f>
        <v/>
      </c>
      <c r="AE76" s="27" t="str">
        <f aca="false">IF(AB76="","",IF(U76="",0,U76)+IF(X76="",0,X76)+IF(AA76="",0,AA76)+IFERROR((AB76-K76)*IF(F76="Sell",-1,1)*R76*AC76*IF(ISNUMBER(SEARCH("JPY",E76)),1000,IF(ISNUMBER(SEARCH("XAU",E76)),100,IF(OR(ISNUMBER(SEARCH("30",E76)),ISNUMBER(SEARCH("500",E76)),ISNUMBER(SEARCH("100",E76))),100,100000))),0))</f>
        <v/>
      </c>
      <c r="AF76" s="31" t="str">
        <f aca="false">IF(OR(K76="",M76="",L76=""),"",IFERROR(ABS(M76-K76)/ABS(K76-L76),0))</f>
        <v/>
      </c>
      <c r="AG76" s="31" t="str">
        <f aca="false">IF(OR(AE76="",AE76=0,Q76=0,Q76=""),"",IFERROR(AE76/Q76,0))</f>
        <v/>
      </c>
      <c r="AH76" s="32" t="str">
        <f aca="false">IF(AB76="","Open",IF(AG76="","Open",IF(AG76&gt;0.1,"Win",IF(AG76&lt;-0.1,"Loss","Breakeven"))))</f>
        <v>Open</v>
      </c>
      <c r="AI76" s="33" t="str">
        <f aca="false">IF(OR(B76="",D76=""),"",D76-B76)</f>
        <v/>
      </c>
      <c r="AJ76" s="24" t="str">
        <f aca="false">IF(AD76="","",IFERROR((AD76-K76)*IF(F76="Sell",-1,1)/IF(ISNUMBER(SEARCH("JPY",E76)),0.01,IF(ISNUMBER(SEARCH("XAU",E76)),0.01,IF(OR(ISNUMBER(SEARCH("30",E76)),ISNUMBER(SEARCH("500",E76)),ISNUMBER(SEARCH("100",E76))),1,0.0001))),0))</f>
        <v/>
      </c>
      <c r="AK76" s="10"/>
      <c r="AL76" s="10"/>
      <c r="AM76" s="10"/>
      <c r="AN76" s="10"/>
      <c r="AO76" s="27" t="str">
        <f aca="false">IF(AE76="","",IFERROR(IF(AO75="",SETTINGS!$B$6,AO75),SETTINGS!$B$6)+IF(AE76="",0,AE76))</f>
        <v/>
      </c>
      <c r="AP76" s="2"/>
    </row>
    <row r="77" customFormat="false" ht="15" hidden="false" customHeight="false" outlineLevel="0" collapsed="false">
      <c r="A77" s="24" t="str">
        <f aca="false">IF(B77="","",ROW()-3)</f>
        <v/>
      </c>
      <c r="B77" s="34"/>
      <c r="C77" s="12"/>
      <c r="D77" s="34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35"/>
      <c r="P77" s="24" t="str">
        <f aca="false">IF(K77="","",IFERROR(ABS(K77-L77)/IF(ISNUMBER(SEARCH("JPY",E77)),0.01,IF(ISNUMBER(SEARCH("XAU",E77)),0.01,IF(OR(ISNUMBER(SEARCH("30",E77)),ISNUMBER(SEARCH("500",E77)),ISNUMBER(SEARCH("100",E77))),1,0.0001))),0))</f>
        <v/>
      </c>
      <c r="Q77" s="27" t="str">
        <f aca="false">IF(K77="","",SETTINGS!$B$6*O77)</f>
        <v/>
      </c>
      <c r="R77" s="24" t="str">
        <f aca="false">IF(K77="","",IFERROR(Q77/(P77*IF(ISNUMBER(SEARCH("JPY",E77)),9.09,IF(ISNUMBER(SEARCH("XAU",E77)),1,IF(OR(ISNUMBER(SEARCH("30",E77)),ISNUMBER(SEARCH("500",E77)),ISNUMBER(SEARCH("100",E77))),1,10)))),0))</f>
        <v/>
      </c>
      <c r="S77" s="12"/>
      <c r="T77" s="36"/>
      <c r="U77" s="27" t="str">
        <f aca="false">IF(OR(S77="",T77=0),"",IFERROR((S77-K77)*IF(F77="Sell",-1,1)*R77*T77*IF(ISNUMBER(SEARCH("JPY",E77)),1000,IF(ISNUMBER(SEARCH("XAU",E77)),100,IF(OR(ISNUMBER(SEARCH("30",E77)),ISNUMBER(SEARCH("500",E77)),ISNUMBER(SEARCH("100",E77))),100,100000))),0))</f>
        <v/>
      </c>
      <c r="V77" s="12"/>
      <c r="W77" s="36"/>
      <c r="X77" s="27" t="str">
        <f aca="false">IF(OR(V77="",W77=0),"",IFERROR((V77-K77)*IF(F77="Sell",-1,1)*R77*W77*IF(ISNUMBER(SEARCH("JPY",E77)),1000,IF(ISNUMBER(SEARCH("XAU",E77)),100,IF(OR(ISNUMBER(SEARCH("30",E77)),ISNUMBER(SEARCH("500",E77)),ISNUMBER(SEARCH("100",E77))),100,100000))),0))</f>
        <v/>
      </c>
      <c r="Y77" s="12"/>
      <c r="Z77" s="36"/>
      <c r="AA77" s="27" t="str">
        <f aca="false">IF(OR(Y77="",Z77=0),"",IFERROR((Y77-K77)*IF(F77="Sell",-1,1)*R77*Z77*IF(ISNUMBER(SEARCH("JPY",E77)),1000,IF(ISNUMBER(SEARCH("XAU",E77)),100,IF(OR(ISNUMBER(SEARCH("30",E77)),ISNUMBER(SEARCH("500",E77)),ISNUMBER(SEARCH("100",E77))),100,100000))),0))</f>
        <v/>
      </c>
      <c r="AB77" s="12"/>
      <c r="AC77" s="29" t="str">
        <f aca="false">IF(K77="","",1-IFERROR(T77,0)-IFERROR(W77,0)-IFERROR(Z77,0))</f>
        <v/>
      </c>
      <c r="AD77" s="30" t="str">
        <f aca="false">IF(AB77="","",IFERROR((IFERROR(S77*T77,0)+IFERROR(V77*W77,0)+IFERROR(Y77*Z77,0)+AB77*AC77)/(IFERROR(T77,0)+IFERROR(W77,0)+IFERROR(Z77,0)+AC77),AB77))</f>
        <v/>
      </c>
      <c r="AE77" s="27" t="str">
        <f aca="false">IF(AB77="","",IF(U77="",0,U77)+IF(X77="",0,X77)+IF(AA77="",0,AA77)+IFERROR((AB77-K77)*IF(F77="Sell",-1,1)*R77*AC77*IF(ISNUMBER(SEARCH("JPY",E77)),1000,IF(ISNUMBER(SEARCH("XAU",E77)),100,IF(OR(ISNUMBER(SEARCH("30",E77)),ISNUMBER(SEARCH("500",E77)),ISNUMBER(SEARCH("100",E77))),100,100000))),0))</f>
        <v/>
      </c>
      <c r="AF77" s="31" t="str">
        <f aca="false">IF(OR(K77="",M77="",L77=""),"",IFERROR(ABS(M77-K77)/ABS(K77-L77),0))</f>
        <v/>
      </c>
      <c r="AG77" s="31" t="str">
        <f aca="false">IF(OR(AE77="",AE77=0,Q77=0,Q77=""),"",IFERROR(AE77/Q77,0))</f>
        <v/>
      </c>
      <c r="AH77" s="32" t="str">
        <f aca="false">IF(AB77="","Open",IF(AG77="","Open",IF(AG77&gt;0.1,"Win",IF(AG77&lt;-0.1,"Loss","Breakeven"))))</f>
        <v>Open</v>
      </c>
      <c r="AI77" s="33" t="str">
        <f aca="false">IF(OR(B77="",D77=""),"",D77-B77)</f>
        <v/>
      </c>
      <c r="AJ77" s="24" t="str">
        <f aca="false">IF(AD77="","",IFERROR((AD77-K77)*IF(F77="Sell",-1,1)/IF(ISNUMBER(SEARCH("JPY",E77)),0.01,IF(ISNUMBER(SEARCH("XAU",E77)),0.01,IF(OR(ISNUMBER(SEARCH("30",E77)),ISNUMBER(SEARCH("500",E77)),ISNUMBER(SEARCH("100",E77))),1,0.0001))),0))</f>
        <v/>
      </c>
      <c r="AK77" s="12"/>
      <c r="AL77" s="12"/>
      <c r="AM77" s="12"/>
      <c r="AN77" s="12"/>
      <c r="AO77" s="27" t="str">
        <f aca="false">IF(AE77="","",IFERROR(IF(AO76="",SETTINGS!$B$6,AO76),SETTINGS!$B$6)+IF(AE77="",0,AE77))</f>
        <v/>
      </c>
      <c r="AP77" s="2"/>
    </row>
    <row r="78" customFormat="false" ht="15" hidden="false" customHeight="false" outlineLevel="0" collapsed="false">
      <c r="A78" s="24" t="str">
        <f aca="false">IF(B78="","",ROW()-3)</f>
        <v/>
      </c>
      <c r="B78" s="25"/>
      <c r="C78" s="10"/>
      <c r="D78" s="25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26"/>
      <c r="P78" s="24" t="str">
        <f aca="false">IF(K78="","",IFERROR(ABS(K78-L78)/IF(ISNUMBER(SEARCH("JPY",E78)),0.01,IF(ISNUMBER(SEARCH("XAU",E78)),0.01,IF(OR(ISNUMBER(SEARCH("30",E78)),ISNUMBER(SEARCH("500",E78)),ISNUMBER(SEARCH("100",E78))),1,0.0001))),0))</f>
        <v/>
      </c>
      <c r="Q78" s="27" t="str">
        <f aca="false">IF(K78="","",SETTINGS!$B$6*O78)</f>
        <v/>
      </c>
      <c r="R78" s="24" t="str">
        <f aca="false">IF(K78="","",IFERROR(Q78/(P78*IF(ISNUMBER(SEARCH("JPY",E78)),9.09,IF(ISNUMBER(SEARCH("XAU",E78)),1,IF(OR(ISNUMBER(SEARCH("30",E78)),ISNUMBER(SEARCH("500",E78)),ISNUMBER(SEARCH("100",E78))),1,10)))),0))</f>
        <v/>
      </c>
      <c r="S78" s="10"/>
      <c r="T78" s="28"/>
      <c r="U78" s="27" t="str">
        <f aca="false">IF(OR(S78="",T78=0),"",IFERROR((S78-K78)*IF(F78="Sell",-1,1)*R78*T78*IF(ISNUMBER(SEARCH("JPY",E78)),1000,IF(ISNUMBER(SEARCH("XAU",E78)),100,IF(OR(ISNUMBER(SEARCH("30",E78)),ISNUMBER(SEARCH("500",E78)),ISNUMBER(SEARCH("100",E78))),100,100000))),0))</f>
        <v/>
      </c>
      <c r="V78" s="10"/>
      <c r="W78" s="28"/>
      <c r="X78" s="27" t="str">
        <f aca="false">IF(OR(V78="",W78=0),"",IFERROR((V78-K78)*IF(F78="Sell",-1,1)*R78*W78*IF(ISNUMBER(SEARCH("JPY",E78)),1000,IF(ISNUMBER(SEARCH("XAU",E78)),100,IF(OR(ISNUMBER(SEARCH("30",E78)),ISNUMBER(SEARCH("500",E78)),ISNUMBER(SEARCH("100",E78))),100,100000))),0))</f>
        <v/>
      </c>
      <c r="Y78" s="10"/>
      <c r="Z78" s="28"/>
      <c r="AA78" s="27" t="str">
        <f aca="false">IF(OR(Y78="",Z78=0),"",IFERROR((Y78-K78)*IF(F78="Sell",-1,1)*R78*Z78*IF(ISNUMBER(SEARCH("JPY",E78)),1000,IF(ISNUMBER(SEARCH("XAU",E78)),100,IF(OR(ISNUMBER(SEARCH("30",E78)),ISNUMBER(SEARCH("500",E78)),ISNUMBER(SEARCH("100",E78))),100,100000))),0))</f>
        <v/>
      </c>
      <c r="AB78" s="10"/>
      <c r="AC78" s="29" t="str">
        <f aca="false">IF(K78="","",1-IFERROR(T78,0)-IFERROR(W78,0)-IFERROR(Z78,0))</f>
        <v/>
      </c>
      <c r="AD78" s="30" t="str">
        <f aca="false">IF(AB78="","",IFERROR((IFERROR(S78*T78,0)+IFERROR(V78*W78,0)+IFERROR(Y78*Z78,0)+AB78*AC78)/(IFERROR(T78,0)+IFERROR(W78,0)+IFERROR(Z78,0)+AC78),AB78))</f>
        <v/>
      </c>
      <c r="AE78" s="27" t="str">
        <f aca="false">IF(AB78="","",IF(U78="",0,U78)+IF(X78="",0,X78)+IF(AA78="",0,AA78)+IFERROR((AB78-K78)*IF(F78="Sell",-1,1)*R78*AC78*IF(ISNUMBER(SEARCH("JPY",E78)),1000,IF(ISNUMBER(SEARCH("XAU",E78)),100,IF(OR(ISNUMBER(SEARCH("30",E78)),ISNUMBER(SEARCH("500",E78)),ISNUMBER(SEARCH("100",E78))),100,100000))),0))</f>
        <v/>
      </c>
      <c r="AF78" s="31" t="str">
        <f aca="false">IF(OR(K78="",M78="",L78=""),"",IFERROR(ABS(M78-K78)/ABS(K78-L78),0))</f>
        <v/>
      </c>
      <c r="AG78" s="31" t="str">
        <f aca="false">IF(OR(AE78="",AE78=0,Q78=0,Q78=""),"",IFERROR(AE78/Q78,0))</f>
        <v/>
      </c>
      <c r="AH78" s="32" t="str">
        <f aca="false">IF(AB78="","Open",IF(AG78="","Open",IF(AG78&gt;0.1,"Win",IF(AG78&lt;-0.1,"Loss","Breakeven"))))</f>
        <v>Open</v>
      </c>
      <c r="AI78" s="33" t="str">
        <f aca="false">IF(OR(B78="",D78=""),"",D78-B78)</f>
        <v/>
      </c>
      <c r="AJ78" s="24" t="str">
        <f aca="false">IF(AD78="","",IFERROR((AD78-K78)*IF(F78="Sell",-1,1)/IF(ISNUMBER(SEARCH("JPY",E78)),0.01,IF(ISNUMBER(SEARCH("XAU",E78)),0.01,IF(OR(ISNUMBER(SEARCH("30",E78)),ISNUMBER(SEARCH("500",E78)),ISNUMBER(SEARCH("100",E78))),1,0.0001))),0))</f>
        <v/>
      </c>
      <c r="AK78" s="10"/>
      <c r="AL78" s="10"/>
      <c r="AM78" s="10"/>
      <c r="AN78" s="10"/>
      <c r="AO78" s="27" t="str">
        <f aca="false">IF(AE78="","",IFERROR(IF(AO77="",SETTINGS!$B$6,AO77),SETTINGS!$B$6)+IF(AE78="",0,AE78))</f>
        <v/>
      </c>
      <c r="AP78" s="2"/>
    </row>
    <row r="79" customFormat="false" ht="15" hidden="false" customHeight="false" outlineLevel="0" collapsed="false">
      <c r="A79" s="24" t="str">
        <f aca="false">IF(B79="","",ROW()-3)</f>
        <v/>
      </c>
      <c r="B79" s="34"/>
      <c r="C79" s="12"/>
      <c r="D79" s="34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35"/>
      <c r="P79" s="24" t="str">
        <f aca="false">IF(K79="","",IFERROR(ABS(K79-L79)/IF(ISNUMBER(SEARCH("JPY",E79)),0.01,IF(ISNUMBER(SEARCH("XAU",E79)),0.01,IF(OR(ISNUMBER(SEARCH("30",E79)),ISNUMBER(SEARCH("500",E79)),ISNUMBER(SEARCH("100",E79))),1,0.0001))),0))</f>
        <v/>
      </c>
      <c r="Q79" s="27" t="str">
        <f aca="false">IF(K79="","",SETTINGS!$B$6*O79)</f>
        <v/>
      </c>
      <c r="R79" s="24" t="str">
        <f aca="false">IF(K79="","",IFERROR(Q79/(P79*IF(ISNUMBER(SEARCH("JPY",E79)),9.09,IF(ISNUMBER(SEARCH("XAU",E79)),1,IF(OR(ISNUMBER(SEARCH("30",E79)),ISNUMBER(SEARCH("500",E79)),ISNUMBER(SEARCH("100",E79))),1,10)))),0))</f>
        <v/>
      </c>
      <c r="S79" s="12"/>
      <c r="T79" s="36"/>
      <c r="U79" s="27" t="str">
        <f aca="false">IF(OR(S79="",T79=0),"",IFERROR((S79-K79)*IF(F79="Sell",-1,1)*R79*T79*IF(ISNUMBER(SEARCH("JPY",E79)),1000,IF(ISNUMBER(SEARCH("XAU",E79)),100,IF(OR(ISNUMBER(SEARCH("30",E79)),ISNUMBER(SEARCH("500",E79)),ISNUMBER(SEARCH("100",E79))),100,100000))),0))</f>
        <v/>
      </c>
      <c r="V79" s="12"/>
      <c r="W79" s="36"/>
      <c r="X79" s="27" t="str">
        <f aca="false">IF(OR(V79="",W79=0),"",IFERROR((V79-K79)*IF(F79="Sell",-1,1)*R79*W79*IF(ISNUMBER(SEARCH("JPY",E79)),1000,IF(ISNUMBER(SEARCH("XAU",E79)),100,IF(OR(ISNUMBER(SEARCH("30",E79)),ISNUMBER(SEARCH("500",E79)),ISNUMBER(SEARCH("100",E79))),100,100000))),0))</f>
        <v/>
      </c>
      <c r="Y79" s="12"/>
      <c r="Z79" s="36"/>
      <c r="AA79" s="27" t="str">
        <f aca="false">IF(OR(Y79="",Z79=0),"",IFERROR((Y79-K79)*IF(F79="Sell",-1,1)*R79*Z79*IF(ISNUMBER(SEARCH("JPY",E79)),1000,IF(ISNUMBER(SEARCH("XAU",E79)),100,IF(OR(ISNUMBER(SEARCH("30",E79)),ISNUMBER(SEARCH("500",E79)),ISNUMBER(SEARCH("100",E79))),100,100000))),0))</f>
        <v/>
      </c>
      <c r="AB79" s="12"/>
      <c r="AC79" s="29" t="str">
        <f aca="false">IF(K79="","",1-IFERROR(T79,0)-IFERROR(W79,0)-IFERROR(Z79,0))</f>
        <v/>
      </c>
      <c r="AD79" s="30" t="str">
        <f aca="false">IF(AB79="","",IFERROR((IFERROR(S79*T79,0)+IFERROR(V79*W79,0)+IFERROR(Y79*Z79,0)+AB79*AC79)/(IFERROR(T79,0)+IFERROR(W79,0)+IFERROR(Z79,0)+AC79),AB79))</f>
        <v/>
      </c>
      <c r="AE79" s="27" t="str">
        <f aca="false">IF(AB79="","",IF(U79="",0,U79)+IF(X79="",0,X79)+IF(AA79="",0,AA79)+IFERROR((AB79-K79)*IF(F79="Sell",-1,1)*R79*AC79*IF(ISNUMBER(SEARCH("JPY",E79)),1000,IF(ISNUMBER(SEARCH("XAU",E79)),100,IF(OR(ISNUMBER(SEARCH("30",E79)),ISNUMBER(SEARCH("500",E79)),ISNUMBER(SEARCH("100",E79))),100,100000))),0))</f>
        <v/>
      </c>
      <c r="AF79" s="31" t="str">
        <f aca="false">IF(OR(K79="",M79="",L79=""),"",IFERROR(ABS(M79-K79)/ABS(K79-L79),0))</f>
        <v/>
      </c>
      <c r="AG79" s="31" t="str">
        <f aca="false">IF(OR(AE79="",AE79=0,Q79=0,Q79=""),"",IFERROR(AE79/Q79,0))</f>
        <v/>
      </c>
      <c r="AH79" s="32" t="str">
        <f aca="false">IF(AB79="","Open",IF(AG79="","Open",IF(AG79&gt;0.1,"Win",IF(AG79&lt;-0.1,"Loss","Breakeven"))))</f>
        <v>Open</v>
      </c>
      <c r="AI79" s="33" t="str">
        <f aca="false">IF(OR(B79="",D79=""),"",D79-B79)</f>
        <v/>
      </c>
      <c r="AJ79" s="24" t="str">
        <f aca="false">IF(AD79="","",IFERROR((AD79-K79)*IF(F79="Sell",-1,1)/IF(ISNUMBER(SEARCH("JPY",E79)),0.01,IF(ISNUMBER(SEARCH("XAU",E79)),0.01,IF(OR(ISNUMBER(SEARCH("30",E79)),ISNUMBER(SEARCH("500",E79)),ISNUMBER(SEARCH("100",E79))),1,0.0001))),0))</f>
        <v/>
      </c>
      <c r="AK79" s="12"/>
      <c r="AL79" s="12"/>
      <c r="AM79" s="12"/>
      <c r="AN79" s="12"/>
      <c r="AO79" s="27" t="str">
        <f aca="false">IF(AE79="","",IFERROR(IF(AO78="",SETTINGS!$B$6,AO78),SETTINGS!$B$6)+IF(AE79="",0,AE79))</f>
        <v/>
      </c>
      <c r="AP79" s="2"/>
    </row>
    <row r="80" customFormat="false" ht="15" hidden="false" customHeight="false" outlineLevel="0" collapsed="false">
      <c r="A80" s="24" t="str">
        <f aca="false">IF(B80="","",ROW()-3)</f>
        <v/>
      </c>
      <c r="B80" s="25"/>
      <c r="C80" s="10"/>
      <c r="D80" s="25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6"/>
      <c r="P80" s="24" t="str">
        <f aca="false">IF(K80="","",IFERROR(ABS(K80-L80)/IF(ISNUMBER(SEARCH("JPY",E80)),0.01,IF(ISNUMBER(SEARCH("XAU",E80)),0.01,IF(OR(ISNUMBER(SEARCH("30",E80)),ISNUMBER(SEARCH("500",E80)),ISNUMBER(SEARCH("100",E80))),1,0.0001))),0))</f>
        <v/>
      </c>
      <c r="Q80" s="27" t="str">
        <f aca="false">IF(K80="","",SETTINGS!$B$6*O80)</f>
        <v/>
      </c>
      <c r="R80" s="24" t="str">
        <f aca="false">IF(K80="","",IFERROR(Q80/(P80*IF(ISNUMBER(SEARCH("JPY",E80)),9.09,IF(ISNUMBER(SEARCH("XAU",E80)),1,IF(OR(ISNUMBER(SEARCH("30",E80)),ISNUMBER(SEARCH("500",E80)),ISNUMBER(SEARCH("100",E80))),1,10)))),0))</f>
        <v/>
      </c>
      <c r="S80" s="10"/>
      <c r="T80" s="28"/>
      <c r="U80" s="27" t="str">
        <f aca="false">IF(OR(S80="",T80=0),"",IFERROR((S80-K80)*IF(F80="Sell",-1,1)*R80*T80*IF(ISNUMBER(SEARCH("JPY",E80)),1000,IF(ISNUMBER(SEARCH("XAU",E80)),100,IF(OR(ISNUMBER(SEARCH("30",E80)),ISNUMBER(SEARCH("500",E80)),ISNUMBER(SEARCH("100",E80))),100,100000))),0))</f>
        <v/>
      </c>
      <c r="V80" s="10"/>
      <c r="W80" s="28"/>
      <c r="X80" s="27" t="str">
        <f aca="false">IF(OR(V80="",W80=0),"",IFERROR((V80-K80)*IF(F80="Sell",-1,1)*R80*W80*IF(ISNUMBER(SEARCH("JPY",E80)),1000,IF(ISNUMBER(SEARCH("XAU",E80)),100,IF(OR(ISNUMBER(SEARCH("30",E80)),ISNUMBER(SEARCH("500",E80)),ISNUMBER(SEARCH("100",E80))),100,100000))),0))</f>
        <v/>
      </c>
      <c r="Y80" s="10"/>
      <c r="Z80" s="28"/>
      <c r="AA80" s="27" t="str">
        <f aca="false">IF(OR(Y80="",Z80=0),"",IFERROR((Y80-K80)*IF(F80="Sell",-1,1)*R80*Z80*IF(ISNUMBER(SEARCH("JPY",E80)),1000,IF(ISNUMBER(SEARCH("XAU",E80)),100,IF(OR(ISNUMBER(SEARCH("30",E80)),ISNUMBER(SEARCH("500",E80)),ISNUMBER(SEARCH("100",E80))),100,100000))),0))</f>
        <v/>
      </c>
      <c r="AB80" s="10"/>
      <c r="AC80" s="29" t="str">
        <f aca="false">IF(K80="","",1-IFERROR(T80,0)-IFERROR(W80,0)-IFERROR(Z80,0))</f>
        <v/>
      </c>
      <c r="AD80" s="30" t="str">
        <f aca="false">IF(AB80="","",IFERROR((IFERROR(S80*T80,0)+IFERROR(V80*W80,0)+IFERROR(Y80*Z80,0)+AB80*AC80)/(IFERROR(T80,0)+IFERROR(W80,0)+IFERROR(Z80,0)+AC80),AB80))</f>
        <v/>
      </c>
      <c r="AE80" s="27" t="str">
        <f aca="false">IF(AB80="","",IF(U80="",0,U80)+IF(X80="",0,X80)+IF(AA80="",0,AA80)+IFERROR((AB80-K80)*IF(F80="Sell",-1,1)*R80*AC80*IF(ISNUMBER(SEARCH("JPY",E80)),1000,IF(ISNUMBER(SEARCH("XAU",E80)),100,IF(OR(ISNUMBER(SEARCH("30",E80)),ISNUMBER(SEARCH("500",E80)),ISNUMBER(SEARCH("100",E80))),100,100000))),0))</f>
        <v/>
      </c>
      <c r="AF80" s="31" t="str">
        <f aca="false">IF(OR(K80="",M80="",L80=""),"",IFERROR(ABS(M80-K80)/ABS(K80-L80),0))</f>
        <v/>
      </c>
      <c r="AG80" s="31" t="str">
        <f aca="false">IF(OR(AE80="",AE80=0,Q80=0,Q80=""),"",IFERROR(AE80/Q80,0))</f>
        <v/>
      </c>
      <c r="AH80" s="32" t="str">
        <f aca="false">IF(AB80="","Open",IF(AG80="","Open",IF(AG80&gt;0.1,"Win",IF(AG80&lt;-0.1,"Loss","Breakeven"))))</f>
        <v>Open</v>
      </c>
      <c r="AI80" s="33" t="str">
        <f aca="false">IF(OR(B80="",D80=""),"",D80-B80)</f>
        <v/>
      </c>
      <c r="AJ80" s="24" t="str">
        <f aca="false">IF(AD80="","",IFERROR((AD80-K80)*IF(F80="Sell",-1,1)/IF(ISNUMBER(SEARCH("JPY",E80)),0.01,IF(ISNUMBER(SEARCH("XAU",E80)),0.01,IF(OR(ISNUMBER(SEARCH("30",E80)),ISNUMBER(SEARCH("500",E80)),ISNUMBER(SEARCH("100",E80))),1,0.0001))),0))</f>
        <v/>
      </c>
      <c r="AK80" s="10"/>
      <c r="AL80" s="10"/>
      <c r="AM80" s="10"/>
      <c r="AN80" s="10"/>
      <c r="AO80" s="27" t="str">
        <f aca="false">IF(AE80="","",IFERROR(IF(AO79="",SETTINGS!$B$6,AO79),SETTINGS!$B$6)+IF(AE80="",0,AE80))</f>
        <v/>
      </c>
      <c r="AP80" s="2"/>
    </row>
    <row r="81" customFormat="false" ht="15" hidden="false" customHeight="false" outlineLevel="0" collapsed="false">
      <c r="A81" s="24" t="str">
        <f aca="false">IF(B81="","",ROW()-3)</f>
        <v/>
      </c>
      <c r="B81" s="34"/>
      <c r="C81" s="12"/>
      <c r="D81" s="34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35"/>
      <c r="P81" s="24" t="str">
        <f aca="false">IF(K81="","",IFERROR(ABS(K81-L81)/IF(ISNUMBER(SEARCH("JPY",E81)),0.01,IF(ISNUMBER(SEARCH("XAU",E81)),0.01,IF(OR(ISNUMBER(SEARCH("30",E81)),ISNUMBER(SEARCH("500",E81)),ISNUMBER(SEARCH("100",E81))),1,0.0001))),0))</f>
        <v/>
      </c>
      <c r="Q81" s="27" t="str">
        <f aca="false">IF(K81="","",SETTINGS!$B$6*O81)</f>
        <v/>
      </c>
      <c r="R81" s="24" t="str">
        <f aca="false">IF(K81="","",IFERROR(Q81/(P81*IF(ISNUMBER(SEARCH("JPY",E81)),9.09,IF(ISNUMBER(SEARCH("XAU",E81)),1,IF(OR(ISNUMBER(SEARCH("30",E81)),ISNUMBER(SEARCH("500",E81)),ISNUMBER(SEARCH("100",E81))),1,10)))),0))</f>
        <v/>
      </c>
      <c r="S81" s="12"/>
      <c r="T81" s="36"/>
      <c r="U81" s="27" t="str">
        <f aca="false">IF(OR(S81="",T81=0),"",IFERROR((S81-K81)*IF(F81="Sell",-1,1)*R81*T81*IF(ISNUMBER(SEARCH("JPY",E81)),1000,IF(ISNUMBER(SEARCH("XAU",E81)),100,IF(OR(ISNUMBER(SEARCH("30",E81)),ISNUMBER(SEARCH("500",E81)),ISNUMBER(SEARCH("100",E81))),100,100000))),0))</f>
        <v/>
      </c>
      <c r="V81" s="12"/>
      <c r="W81" s="36"/>
      <c r="X81" s="27" t="str">
        <f aca="false">IF(OR(V81="",W81=0),"",IFERROR((V81-K81)*IF(F81="Sell",-1,1)*R81*W81*IF(ISNUMBER(SEARCH("JPY",E81)),1000,IF(ISNUMBER(SEARCH("XAU",E81)),100,IF(OR(ISNUMBER(SEARCH("30",E81)),ISNUMBER(SEARCH("500",E81)),ISNUMBER(SEARCH("100",E81))),100,100000))),0))</f>
        <v/>
      </c>
      <c r="Y81" s="12"/>
      <c r="Z81" s="36"/>
      <c r="AA81" s="27" t="str">
        <f aca="false">IF(OR(Y81="",Z81=0),"",IFERROR((Y81-K81)*IF(F81="Sell",-1,1)*R81*Z81*IF(ISNUMBER(SEARCH("JPY",E81)),1000,IF(ISNUMBER(SEARCH("XAU",E81)),100,IF(OR(ISNUMBER(SEARCH("30",E81)),ISNUMBER(SEARCH("500",E81)),ISNUMBER(SEARCH("100",E81))),100,100000))),0))</f>
        <v/>
      </c>
      <c r="AB81" s="12"/>
      <c r="AC81" s="29" t="str">
        <f aca="false">IF(K81="","",1-IFERROR(T81,0)-IFERROR(W81,0)-IFERROR(Z81,0))</f>
        <v/>
      </c>
      <c r="AD81" s="30" t="str">
        <f aca="false">IF(AB81="","",IFERROR((IFERROR(S81*T81,0)+IFERROR(V81*W81,0)+IFERROR(Y81*Z81,0)+AB81*AC81)/(IFERROR(T81,0)+IFERROR(W81,0)+IFERROR(Z81,0)+AC81),AB81))</f>
        <v/>
      </c>
      <c r="AE81" s="27" t="str">
        <f aca="false">IF(AB81="","",IF(U81="",0,U81)+IF(X81="",0,X81)+IF(AA81="",0,AA81)+IFERROR((AB81-K81)*IF(F81="Sell",-1,1)*R81*AC81*IF(ISNUMBER(SEARCH("JPY",E81)),1000,IF(ISNUMBER(SEARCH("XAU",E81)),100,IF(OR(ISNUMBER(SEARCH("30",E81)),ISNUMBER(SEARCH("500",E81)),ISNUMBER(SEARCH("100",E81))),100,100000))),0))</f>
        <v/>
      </c>
      <c r="AF81" s="31" t="str">
        <f aca="false">IF(OR(K81="",M81="",L81=""),"",IFERROR(ABS(M81-K81)/ABS(K81-L81),0))</f>
        <v/>
      </c>
      <c r="AG81" s="31" t="str">
        <f aca="false">IF(OR(AE81="",AE81=0,Q81=0,Q81=""),"",IFERROR(AE81/Q81,0))</f>
        <v/>
      </c>
      <c r="AH81" s="32" t="str">
        <f aca="false">IF(AB81="","Open",IF(AG81="","Open",IF(AG81&gt;0.1,"Win",IF(AG81&lt;-0.1,"Loss","Breakeven"))))</f>
        <v>Open</v>
      </c>
      <c r="AI81" s="33" t="str">
        <f aca="false">IF(OR(B81="",D81=""),"",D81-B81)</f>
        <v/>
      </c>
      <c r="AJ81" s="24" t="str">
        <f aca="false">IF(AD81="","",IFERROR((AD81-K81)*IF(F81="Sell",-1,1)/IF(ISNUMBER(SEARCH("JPY",E81)),0.01,IF(ISNUMBER(SEARCH("XAU",E81)),0.01,IF(OR(ISNUMBER(SEARCH("30",E81)),ISNUMBER(SEARCH("500",E81)),ISNUMBER(SEARCH("100",E81))),1,0.0001))),0))</f>
        <v/>
      </c>
      <c r="AK81" s="12"/>
      <c r="AL81" s="12"/>
      <c r="AM81" s="12"/>
      <c r="AN81" s="12"/>
      <c r="AO81" s="27" t="str">
        <f aca="false">IF(AE81="","",IFERROR(IF(AO80="",SETTINGS!$B$6,AO80),SETTINGS!$B$6)+IF(AE81="",0,AE81))</f>
        <v/>
      </c>
      <c r="AP81" s="2"/>
    </row>
    <row r="82" customFormat="false" ht="15" hidden="false" customHeight="false" outlineLevel="0" collapsed="false">
      <c r="A82" s="24" t="str">
        <f aca="false">IF(B82="","",ROW()-3)</f>
        <v/>
      </c>
      <c r="B82" s="25"/>
      <c r="C82" s="10"/>
      <c r="D82" s="25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26"/>
      <c r="P82" s="24" t="str">
        <f aca="false">IF(K82="","",IFERROR(ABS(K82-L82)/IF(ISNUMBER(SEARCH("JPY",E82)),0.01,IF(ISNUMBER(SEARCH("XAU",E82)),0.01,IF(OR(ISNUMBER(SEARCH("30",E82)),ISNUMBER(SEARCH("500",E82)),ISNUMBER(SEARCH("100",E82))),1,0.0001))),0))</f>
        <v/>
      </c>
      <c r="Q82" s="27" t="str">
        <f aca="false">IF(K82="","",SETTINGS!$B$6*O82)</f>
        <v/>
      </c>
      <c r="R82" s="24" t="str">
        <f aca="false">IF(K82="","",IFERROR(Q82/(P82*IF(ISNUMBER(SEARCH("JPY",E82)),9.09,IF(ISNUMBER(SEARCH("XAU",E82)),1,IF(OR(ISNUMBER(SEARCH("30",E82)),ISNUMBER(SEARCH("500",E82)),ISNUMBER(SEARCH("100",E82))),1,10)))),0))</f>
        <v/>
      </c>
      <c r="S82" s="10"/>
      <c r="T82" s="28"/>
      <c r="U82" s="27" t="str">
        <f aca="false">IF(OR(S82="",T82=0),"",IFERROR((S82-K82)*IF(F82="Sell",-1,1)*R82*T82*IF(ISNUMBER(SEARCH("JPY",E82)),1000,IF(ISNUMBER(SEARCH("XAU",E82)),100,IF(OR(ISNUMBER(SEARCH("30",E82)),ISNUMBER(SEARCH("500",E82)),ISNUMBER(SEARCH("100",E82))),100,100000))),0))</f>
        <v/>
      </c>
      <c r="V82" s="10"/>
      <c r="W82" s="28"/>
      <c r="X82" s="27" t="str">
        <f aca="false">IF(OR(V82="",W82=0),"",IFERROR((V82-K82)*IF(F82="Sell",-1,1)*R82*W82*IF(ISNUMBER(SEARCH("JPY",E82)),1000,IF(ISNUMBER(SEARCH("XAU",E82)),100,IF(OR(ISNUMBER(SEARCH("30",E82)),ISNUMBER(SEARCH("500",E82)),ISNUMBER(SEARCH("100",E82))),100,100000))),0))</f>
        <v/>
      </c>
      <c r="Y82" s="10"/>
      <c r="Z82" s="28"/>
      <c r="AA82" s="27" t="str">
        <f aca="false">IF(OR(Y82="",Z82=0),"",IFERROR((Y82-K82)*IF(F82="Sell",-1,1)*R82*Z82*IF(ISNUMBER(SEARCH("JPY",E82)),1000,IF(ISNUMBER(SEARCH("XAU",E82)),100,IF(OR(ISNUMBER(SEARCH("30",E82)),ISNUMBER(SEARCH("500",E82)),ISNUMBER(SEARCH("100",E82))),100,100000))),0))</f>
        <v/>
      </c>
      <c r="AB82" s="10"/>
      <c r="AC82" s="29" t="str">
        <f aca="false">IF(K82="","",1-IFERROR(T82,0)-IFERROR(W82,0)-IFERROR(Z82,0))</f>
        <v/>
      </c>
      <c r="AD82" s="30" t="str">
        <f aca="false">IF(AB82="","",IFERROR((IFERROR(S82*T82,0)+IFERROR(V82*W82,0)+IFERROR(Y82*Z82,0)+AB82*AC82)/(IFERROR(T82,0)+IFERROR(W82,0)+IFERROR(Z82,0)+AC82),AB82))</f>
        <v/>
      </c>
      <c r="AE82" s="27" t="str">
        <f aca="false">IF(AB82="","",IF(U82="",0,U82)+IF(X82="",0,X82)+IF(AA82="",0,AA82)+IFERROR((AB82-K82)*IF(F82="Sell",-1,1)*R82*AC82*IF(ISNUMBER(SEARCH("JPY",E82)),1000,IF(ISNUMBER(SEARCH("XAU",E82)),100,IF(OR(ISNUMBER(SEARCH("30",E82)),ISNUMBER(SEARCH("500",E82)),ISNUMBER(SEARCH("100",E82))),100,100000))),0))</f>
        <v/>
      </c>
      <c r="AF82" s="31" t="str">
        <f aca="false">IF(OR(K82="",M82="",L82=""),"",IFERROR(ABS(M82-K82)/ABS(K82-L82),0))</f>
        <v/>
      </c>
      <c r="AG82" s="31" t="str">
        <f aca="false">IF(OR(AE82="",AE82=0,Q82=0,Q82=""),"",IFERROR(AE82/Q82,0))</f>
        <v/>
      </c>
      <c r="AH82" s="32" t="str">
        <f aca="false">IF(AB82="","Open",IF(AG82="","Open",IF(AG82&gt;0.1,"Win",IF(AG82&lt;-0.1,"Loss","Breakeven"))))</f>
        <v>Open</v>
      </c>
      <c r="AI82" s="33" t="str">
        <f aca="false">IF(OR(B82="",D82=""),"",D82-B82)</f>
        <v/>
      </c>
      <c r="AJ82" s="24" t="str">
        <f aca="false">IF(AD82="","",IFERROR((AD82-K82)*IF(F82="Sell",-1,1)/IF(ISNUMBER(SEARCH("JPY",E82)),0.01,IF(ISNUMBER(SEARCH("XAU",E82)),0.01,IF(OR(ISNUMBER(SEARCH("30",E82)),ISNUMBER(SEARCH("500",E82)),ISNUMBER(SEARCH("100",E82))),1,0.0001))),0))</f>
        <v/>
      </c>
      <c r="AK82" s="10"/>
      <c r="AL82" s="10"/>
      <c r="AM82" s="10"/>
      <c r="AN82" s="10"/>
      <c r="AO82" s="27" t="str">
        <f aca="false">IF(AE82="","",IFERROR(IF(AO81="",SETTINGS!$B$6,AO81),SETTINGS!$B$6)+IF(AE82="",0,AE82))</f>
        <v/>
      </c>
      <c r="AP82" s="2"/>
    </row>
    <row r="83" customFormat="false" ht="15" hidden="false" customHeight="false" outlineLevel="0" collapsed="false">
      <c r="A83" s="24" t="str">
        <f aca="false">IF(B83="","",ROW()-3)</f>
        <v/>
      </c>
      <c r="B83" s="34"/>
      <c r="C83" s="12"/>
      <c r="D83" s="34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35"/>
      <c r="P83" s="24" t="str">
        <f aca="false">IF(K83="","",IFERROR(ABS(K83-L83)/IF(ISNUMBER(SEARCH("JPY",E83)),0.01,IF(ISNUMBER(SEARCH("XAU",E83)),0.01,IF(OR(ISNUMBER(SEARCH("30",E83)),ISNUMBER(SEARCH("500",E83)),ISNUMBER(SEARCH("100",E83))),1,0.0001))),0))</f>
        <v/>
      </c>
      <c r="Q83" s="27" t="str">
        <f aca="false">IF(K83="","",SETTINGS!$B$6*O83)</f>
        <v/>
      </c>
      <c r="R83" s="24" t="str">
        <f aca="false">IF(K83="","",IFERROR(Q83/(P83*IF(ISNUMBER(SEARCH("JPY",E83)),9.09,IF(ISNUMBER(SEARCH("XAU",E83)),1,IF(OR(ISNUMBER(SEARCH("30",E83)),ISNUMBER(SEARCH("500",E83)),ISNUMBER(SEARCH("100",E83))),1,10)))),0))</f>
        <v/>
      </c>
      <c r="S83" s="12"/>
      <c r="T83" s="36"/>
      <c r="U83" s="27" t="str">
        <f aca="false">IF(OR(S83="",T83=0),"",IFERROR((S83-K83)*IF(F83="Sell",-1,1)*R83*T83*IF(ISNUMBER(SEARCH("JPY",E83)),1000,IF(ISNUMBER(SEARCH("XAU",E83)),100,IF(OR(ISNUMBER(SEARCH("30",E83)),ISNUMBER(SEARCH("500",E83)),ISNUMBER(SEARCH("100",E83))),100,100000))),0))</f>
        <v/>
      </c>
      <c r="V83" s="12"/>
      <c r="W83" s="36"/>
      <c r="X83" s="27" t="str">
        <f aca="false">IF(OR(V83="",W83=0),"",IFERROR((V83-K83)*IF(F83="Sell",-1,1)*R83*W83*IF(ISNUMBER(SEARCH("JPY",E83)),1000,IF(ISNUMBER(SEARCH("XAU",E83)),100,IF(OR(ISNUMBER(SEARCH("30",E83)),ISNUMBER(SEARCH("500",E83)),ISNUMBER(SEARCH("100",E83))),100,100000))),0))</f>
        <v/>
      </c>
      <c r="Y83" s="12"/>
      <c r="Z83" s="36"/>
      <c r="AA83" s="27" t="str">
        <f aca="false">IF(OR(Y83="",Z83=0),"",IFERROR((Y83-K83)*IF(F83="Sell",-1,1)*R83*Z83*IF(ISNUMBER(SEARCH("JPY",E83)),1000,IF(ISNUMBER(SEARCH("XAU",E83)),100,IF(OR(ISNUMBER(SEARCH("30",E83)),ISNUMBER(SEARCH("500",E83)),ISNUMBER(SEARCH("100",E83))),100,100000))),0))</f>
        <v/>
      </c>
      <c r="AB83" s="12"/>
      <c r="AC83" s="29" t="str">
        <f aca="false">IF(K83="","",1-IFERROR(T83,0)-IFERROR(W83,0)-IFERROR(Z83,0))</f>
        <v/>
      </c>
      <c r="AD83" s="30" t="str">
        <f aca="false">IF(AB83="","",IFERROR((IFERROR(S83*T83,0)+IFERROR(V83*W83,0)+IFERROR(Y83*Z83,0)+AB83*AC83)/(IFERROR(T83,0)+IFERROR(W83,0)+IFERROR(Z83,0)+AC83),AB83))</f>
        <v/>
      </c>
      <c r="AE83" s="27" t="str">
        <f aca="false">IF(AB83="","",IF(U83="",0,U83)+IF(X83="",0,X83)+IF(AA83="",0,AA83)+IFERROR((AB83-K83)*IF(F83="Sell",-1,1)*R83*AC83*IF(ISNUMBER(SEARCH("JPY",E83)),1000,IF(ISNUMBER(SEARCH("XAU",E83)),100,IF(OR(ISNUMBER(SEARCH("30",E83)),ISNUMBER(SEARCH("500",E83)),ISNUMBER(SEARCH("100",E83))),100,100000))),0))</f>
        <v/>
      </c>
      <c r="AF83" s="31" t="str">
        <f aca="false">IF(OR(K83="",M83="",L83=""),"",IFERROR(ABS(M83-K83)/ABS(K83-L83),0))</f>
        <v/>
      </c>
      <c r="AG83" s="31" t="str">
        <f aca="false">IF(OR(AE83="",AE83=0,Q83=0,Q83=""),"",IFERROR(AE83/Q83,0))</f>
        <v/>
      </c>
      <c r="AH83" s="32" t="str">
        <f aca="false">IF(AB83="","Open",IF(AG83="","Open",IF(AG83&gt;0.1,"Win",IF(AG83&lt;-0.1,"Loss","Breakeven"))))</f>
        <v>Open</v>
      </c>
      <c r="AI83" s="33" t="str">
        <f aca="false">IF(OR(B83="",D83=""),"",D83-B83)</f>
        <v/>
      </c>
      <c r="AJ83" s="24" t="str">
        <f aca="false">IF(AD83="","",IFERROR((AD83-K83)*IF(F83="Sell",-1,1)/IF(ISNUMBER(SEARCH("JPY",E83)),0.01,IF(ISNUMBER(SEARCH("XAU",E83)),0.01,IF(OR(ISNUMBER(SEARCH("30",E83)),ISNUMBER(SEARCH("500",E83)),ISNUMBER(SEARCH("100",E83))),1,0.0001))),0))</f>
        <v/>
      </c>
      <c r="AK83" s="12"/>
      <c r="AL83" s="12"/>
      <c r="AM83" s="12"/>
      <c r="AN83" s="12"/>
      <c r="AO83" s="27" t="str">
        <f aca="false">IF(AE83="","",IFERROR(IF(AO82="",SETTINGS!$B$6,AO82),SETTINGS!$B$6)+IF(AE83="",0,AE83))</f>
        <v/>
      </c>
      <c r="AP83" s="2"/>
    </row>
    <row r="84" customFormat="false" ht="15" hidden="false" customHeight="false" outlineLevel="0" collapsed="false">
      <c r="A84" s="24" t="str">
        <f aca="false">IF(B84="","",ROW()-3)</f>
        <v/>
      </c>
      <c r="B84" s="25"/>
      <c r="C84" s="10"/>
      <c r="D84" s="25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26"/>
      <c r="P84" s="24" t="str">
        <f aca="false">IF(K84="","",IFERROR(ABS(K84-L84)/IF(ISNUMBER(SEARCH("JPY",E84)),0.01,IF(ISNUMBER(SEARCH("XAU",E84)),0.01,IF(OR(ISNUMBER(SEARCH("30",E84)),ISNUMBER(SEARCH("500",E84)),ISNUMBER(SEARCH("100",E84))),1,0.0001))),0))</f>
        <v/>
      </c>
      <c r="Q84" s="27" t="str">
        <f aca="false">IF(K84="","",SETTINGS!$B$6*O84)</f>
        <v/>
      </c>
      <c r="R84" s="24" t="str">
        <f aca="false">IF(K84="","",IFERROR(Q84/(P84*IF(ISNUMBER(SEARCH("JPY",E84)),9.09,IF(ISNUMBER(SEARCH("XAU",E84)),1,IF(OR(ISNUMBER(SEARCH("30",E84)),ISNUMBER(SEARCH("500",E84)),ISNUMBER(SEARCH("100",E84))),1,10)))),0))</f>
        <v/>
      </c>
      <c r="S84" s="10"/>
      <c r="T84" s="28"/>
      <c r="U84" s="27" t="str">
        <f aca="false">IF(OR(S84="",T84=0),"",IFERROR((S84-K84)*IF(F84="Sell",-1,1)*R84*T84*IF(ISNUMBER(SEARCH("JPY",E84)),1000,IF(ISNUMBER(SEARCH("XAU",E84)),100,IF(OR(ISNUMBER(SEARCH("30",E84)),ISNUMBER(SEARCH("500",E84)),ISNUMBER(SEARCH("100",E84))),100,100000))),0))</f>
        <v/>
      </c>
      <c r="V84" s="10"/>
      <c r="W84" s="28"/>
      <c r="X84" s="27" t="str">
        <f aca="false">IF(OR(V84="",W84=0),"",IFERROR((V84-K84)*IF(F84="Sell",-1,1)*R84*W84*IF(ISNUMBER(SEARCH("JPY",E84)),1000,IF(ISNUMBER(SEARCH("XAU",E84)),100,IF(OR(ISNUMBER(SEARCH("30",E84)),ISNUMBER(SEARCH("500",E84)),ISNUMBER(SEARCH("100",E84))),100,100000))),0))</f>
        <v/>
      </c>
      <c r="Y84" s="10"/>
      <c r="Z84" s="28"/>
      <c r="AA84" s="27" t="str">
        <f aca="false">IF(OR(Y84="",Z84=0),"",IFERROR((Y84-K84)*IF(F84="Sell",-1,1)*R84*Z84*IF(ISNUMBER(SEARCH("JPY",E84)),1000,IF(ISNUMBER(SEARCH("XAU",E84)),100,IF(OR(ISNUMBER(SEARCH("30",E84)),ISNUMBER(SEARCH("500",E84)),ISNUMBER(SEARCH("100",E84))),100,100000))),0))</f>
        <v/>
      </c>
      <c r="AB84" s="10"/>
      <c r="AC84" s="29" t="str">
        <f aca="false">IF(K84="","",1-IFERROR(T84,0)-IFERROR(W84,0)-IFERROR(Z84,0))</f>
        <v/>
      </c>
      <c r="AD84" s="30" t="str">
        <f aca="false">IF(AB84="","",IFERROR((IFERROR(S84*T84,0)+IFERROR(V84*W84,0)+IFERROR(Y84*Z84,0)+AB84*AC84)/(IFERROR(T84,0)+IFERROR(W84,0)+IFERROR(Z84,0)+AC84),AB84))</f>
        <v/>
      </c>
      <c r="AE84" s="27" t="str">
        <f aca="false">IF(AB84="","",IF(U84="",0,U84)+IF(X84="",0,X84)+IF(AA84="",0,AA84)+IFERROR((AB84-K84)*IF(F84="Sell",-1,1)*R84*AC84*IF(ISNUMBER(SEARCH("JPY",E84)),1000,IF(ISNUMBER(SEARCH("XAU",E84)),100,IF(OR(ISNUMBER(SEARCH("30",E84)),ISNUMBER(SEARCH("500",E84)),ISNUMBER(SEARCH("100",E84))),100,100000))),0))</f>
        <v/>
      </c>
      <c r="AF84" s="31" t="str">
        <f aca="false">IF(OR(K84="",M84="",L84=""),"",IFERROR(ABS(M84-K84)/ABS(K84-L84),0))</f>
        <v/>
      </c>
      <c r="AG84" s="31" t="str">
        <f aca="false">IF(OR(AE84="",AE84=0,Q84=0,Q84=""),"",IFERROR(AE84/Q84,0))</f>
        <v/>
      </c>
      <c r="AH84" s="32" t="str">
        <f aca="false">IF(AB84="","Open",IF(AG84="","Open",IF(AG84&gt;0.1,"Win",IF(AG84&lt;-0.1,"Loss","Breakeven"))))</f>
        <v>Open</v>
      </c>
      <c r="AI84" s="33" t="str">
        <f aca="false">IF(OR(B84="",D84=""),"",D84-B84)</f>
        <v/>
      </c>
      <c r="AJ84" s="24" t="str">
        <f aca="false">IF(AD84="","",IFERROR((AD84-K84)*IF(F84="Sell",-1,1)/IF(ISNUMBER(SEARCH("JPY",E84)),0.01,IF(ISNUMBER(SEARCH("XAU",E84)),0.01,IF(OR(ISNUMBER(SEARCH("30",E84)),ISNUMBER(SEARCH("500",E84)),ISNUMBER(SEARCH("100",E84))),1,0.0001))),0))</f>
        <v/>
      </c>
      <c r="AK84" s="10"/>
      <c r="AL84" s="10"/>
      <c r="AM84" s="10"/>
      <c r="AN84" s="10"/>
      <c r="AO84" s="27" t="str">
        <f aca="false">IF(AE84="","",IFERROR(IF(AO83="",SETTINGS!$B$6,AO83),SETTINGS!$B$6)+IF(AE84="",0,AE84))</f>
        <v/>
      </c>
      <c r="AP84" s="2"/>
    </row>
    <row r="85" customFormat="false" ht="15" hidden="false" customHeight="false" outlineLevel="0" collapsed="false">
      <c r="A85" s="24" t="str">
        <f aca="false">IF(B85="","",ROW()-3)</f>
        <v/>
      </c>
      <c r="B85" s="34"/>
      <c r="C85" s="12"/>
      <c r="D85" s="34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35"/>
      <c r="P85" s="24" t="str">
        <f aca="false">IF(K85="","",IFERROR(ABS(K85-L85)/IF(ISNUMBER(SEARCH("JPY",E85)),0.01,IF(ISNUMBER(SEARCH("XAU",E85)),0.01,IF(OR(ISNUMBER(SEARCH("30",E85)),ISNUMBER(SEARCH("500",E85)),ISNUMBER(SEARCH("100",E85))),1,0.0001))),0))</f>
        <v/>
      </c>
      <c r="Q85" s="27" t="str">
        <f aca="false">IF(K85="","",SETTINGS!$B$6*O85)</f>
        <v/>
      </c>
      <c r="R85" s="24" t="str">
        <f aca="false">IF(K85="","",IFERROR(Q85/(P85*IF(ISNUMBER(SEARCH("JPY",E85)),9.09,IF(ISNUMBER(SEARCH("XAU",E85)),1,IF(OR(ISNUMBER(SEARCH("30",E85)),ISNUMBER(SEARCH("500",E85)),ISNUMBER(SEARCH("100",E85))),1,10)))),0))</f>
        <v/>
      </c>
      <c r="S85" s="12"/>
      <c r="T85" s="36"/>
      <c r="U85" s="27" t="str">
        <f aca="false">IF(OR(S85="",T85=0),"",IFERROR((S85-K85)*IF(F85="Sell",-1,1)*R85*T85*IF(ISNUMBER(SEARCH("JPY",E85)),1000,IF(ISNUMBER(SEARCH("XAU",E85)),100,IF(OR(ISNUMBER(SEARCH("30",E85)),ISNUMBER(SEARCH("500",E85)),ISNUMBER(SEARCH("100",E85))),100,100000))),0))</f>
        <v/>
      </c>
      <c r="V85" s="12"/>
      <c r="W85" s="36"/>
      <c r="X85" s="27" t="str">
        <f aca="false">IF(OR(V85="",W85=0),"",IFERROR((V85-K85)*IF(F85="Sell",-1,1)*R85*W85*IF(ISNUMBER(SEARCH("JPY",E85)),1000,IF(ISNUMBER(SEARCH("XAU",E85)),100,IF(OR(ISNUMBER(SEARCH("30",E85)),ISNUMBER(SEARCH("500",E85)),ISNUMBER(SEARCH("100",E85))),100,100000))),0))</f>
        <v/>
      </c>
      <c r="Y85" s="12"/>
      <c r="Z85" s="36"/>
      <c r="AA85" s="27" t="str">
        <f aca="false">IF(OR(Y85="",Z85=0),"",IFERROR((Y85-K85)*IF(F85="Sell",-1,1)*R85*Z85*IF(ISNUMBER(SEARCH("JPY",E85)),1000,IF(ISNUMBER(SEARCH("XAU",E85)),100,IF(OR(ISNUMBER(SEARCH("30",E85)),ISNUMBER(SEARCH("500",E85)),ISNUMBER(SEARCH("100",E85))),100,100000))),0))</f>
        <v/>
      </c>
      <c r="AB85" s="12"/>
      <c r="AC85" s="29" t="str">
        <f aca="false">IF(K85="","",1-IFERROR(T85,0)-IFERROR(W85,0)-IFERROR(Z85,0))</f>
        <v/>
      </c>
      <c r="AD85" s="30" t="str">
        <f aca="false">IF(AB85="","",IFERROR((IFERROR(S85*T85,0)+IFERROR(V85*W85,0)+IFERROR(Y85*Z85,0)+AB85*AC85)/(IFERROR(T85,0)+IFERROR(W85,0)+IFERROR(Z85,0)+AC85),AB85))</f>
        <v/>
      </c>
      <c r="AE85" s="27" t="str">
        <f aca="false">IF(AB85="","",IF(U85="",0,U85)+IF(X85="",0,X85)+IF(AA85="",0,AA85)+IFERROR((AB85-K85)*IF(F85="Sell",-1,1)*R85*AC85*IF(ISNUMBER(SEARCH("JPY",E85)),1000,IF(ISNUMBER(SEARCH("XAU",E85)),100,IF(OR(ISNUMBER(SEARCH("30",E85)),ISNUMBER(SEARCH("500",E85)),ISNUMBER(SEARCH("100",E85))),100,100000))),0))</f>
        <v/>
      </c>
      <c r="AF85" s="31" t="str">
        <f aca="false">IF(OR(K85="",M85="",L85=""),"",IFERROR(ABS(M85-K85)/ABS(K85-L85),0))</f>
        <v/>
      </c>
      <c r="AG85" s="31" t="str">
        <f aca="false">IF(OR(AE85="",AE85=0,Q85=0,Q85=""),"",IFERROR(AE85/Q85,0))</f>
        <v/>
      </c>
      <c r="AH85" s="32" t="str">
        <f aca="false">IF(AB85="","Open",IF(AG85="","Open",IF(AG85&gt;0.1,"Win",IF(AG85&lt;-0.1,"Loss","Breakeven"))))</f>
        <v>Open</v>
      </c>
      <c r="AI85" s="33" t="str">
        <f aca="false">IF(OR(B85="",D85=""),"",D85-B85)</f>
        <v/>
      </c>
      <c r="AJ85" s="24" t="str">
        <f aca="false">IF(AD85="","",IFERROR((AD85-K85)*IF(F85="Sell",-1,1)/IF(ISNUMBER(SEARCH("JPY",E85)),0.01,IF(ISNUMBER(SEARCH("XAU",E85)),0.01,IF(OR(ISNUMBER(SEARCH("30",E85)),ISNUMBER(SEARCH("500",E85)),ISNUMBER(SEARCH("100",E85))),1,0.0001))),0))</f>
        <v/>
      </c>
      <c r="AK85" s="12"/>
      <c r="AL85" s="12"/>
      <c r="AM85" s="12"/>
      <c r="AN85" s="12"/>
      <c r="AO85" s="27" t="str">
        <f aca="false">IF(AE85="","",IFERROR(IF(AO84="",SETTINGS!$B$6,AO84),SETTINGS!$B$6)+IF(AE85="",0,AE85))</f>
        <v/>
      </c>
      <c r="AP85" s="2"/>
    </row>
    <row r="86" customFormat="false" ht="15" hidden="false" customHeight="false" outlineLevel="0" collapsed="false">
      <c r="A86" s="24" t="str">
        <f aca="false">IF(B86="","",ROW()-3)</f>
        <v/>
      </c>
      <c r="B86" s="25"/>
      <c r="C86" s="10"/>
      <c r="D86" s="25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26"/>
      <c r="P86" s="24" t="str">
        <f aca="false">IF(K86="","",IFERROR(ABS(K86-L86)/IF(ISNUMBER(SEARCH("JPY",E86)),0.01,IF(ISNUMBER(SEARCH("XAU",E86)),0.01,IF(OR(ISNUMBER(SEARCH("30",E86)),ISNUMBER(SEARCH("500",E86)),ISNUMBER(SEARCH("100",E86))),1,0.0001))),0))</f>
        <v/>
      </c>
      <c r="Q86" s="27" t="str">
        <f aca="false">IF(K86="","",SETTINGS!$B$6*O86)</f>
        <v/>
      </c>
      <c r="R86" s="24" t="str">
        <f aca="false">IF(K86="","",IFERROR(Q86/(P86*IF(ISNUMBER(SEARCH("JPY",E86)),9.09,IF(ISNUMBER(SEARCH("XAU",E86)),1,IF(OR(ISNUMBER(SEARCH("30",E86)),ISNUMBER(SEARCH("500",E86)),ISNUMBER(SEARCH("100",E86))),1,10)))),0))</f>
        <v/>
      </c>
      <c r="S86" s="10"/>
      <c r="T86" s="28"/>
      <c r="U86" s="27" t="str">
        <f aca="false">IF(OR(S86="",T86=0),"",IFERROR((S86-K86)*IF(F86="Sell",-1,1)*R86*T86*IF(ISNUMBER(SEARCH("JPY",E86)),1000,IF(ISNUMBER(SEARCH("XAU",E86)),100,IF(OR(ISNUMBER(SEARCH("30",E86)),ISNUMBER(SEARCH("500",E86)),ISNUMBER(SEARCH("100",E86))),100,100000))),0))</f>
        <v/>
      </c>
      <c r="V86" s="10"/>
      <c r="W86" s="28"/>
      <c r="X86" s="27" t="str">
        <f aca="false">IF(OR(V86="",W86=0),"",IFERROR((V86-K86)*IF(F86="Sell",-1,1)*R86*W86*IF(ISNUMBER(SEARCH("JPY",E86)),1000,IF(ISNUMBER(SEARCH("XAU",E86)),100,IF(OR(ISNUMBER(SEARCH("30",E86)),ISNUMBER(SEARCH("500",E86)),ISNUMBER(SEARCH("100",E86))),100,100000))),0))</f>
        <v/>
      </c>
      <c r="Y86" s="10"/>
      <c r="Z86" s="28"/>
      <c r="AA86" s="27" t="str">
        <f aca="false">IF(OR(Y86="",Z86=0),"",IFERROR((Y86-K86)*IF(F86="Sell",-1,1)*R86*Z86*IF(ISNUMBER(SEARCH("JPY",E86)),1000,IF(ISNUMBER(SEARCH("XAU",E86)),100,IF(OR(ISNUMBER(SEARCH("30",E86)),ISNUMBER(SEARCH("500",E86)),ISNUMBER(SEARCH("100",E86))),100,100000))),0))</f>
        <v/>
      </c>
      <c r="AB86" s="10"/>
      <c r="AC86" s="29" t="str">
        <f aca="false">IF(K86="","",1-IFERROR(T86,0)-IFERROR(W86,0)-IFERROR(Z86,0))</f>
        <v/>
      </c>
      <c r="AD86" s="30" t="str">
        <f aca="false">IF(AB86="","",IFERROR((IFERROR(S86*T86,0)+IFERROR(V86*W86,0)+IFERROR(Y86*Z86,0)+AB86*AC86)/(IFERROR(T86,0)+IFERROR(W86,0)+IFERROR(Z86,0)+AC86),AB86))</f>
        <v/>
      </c>
      <c r="AE86" s="27" t="str">
        <f aca="false">IF(AB86="","",IF(U86="",0,U86)+IF(X86="",0,X86)+IF(AA86="",0,AA86)+IFERROR((AB86-K86)*IF(F86="Sell",-1,1)*R86*AC86*IF(ISNUMBER(SEARCH("JPY",E86)),1000,IF(ISNUMBER(SEARCH("XAU",E86)),100,IF(OR(ISNUMBER(SEARCH("30",E86)),ISNUMBER(SEARCH("500",E86)),ISNUMBER(SEARCH("100",E86))),100,100000))),0))</f>
        <v/>
      </c>
      <c r="AF86" s="31" t="str">
        <f aca="false">IF(OR(K86="",M86="",L86=""),"",IFERROR(ABS(M86-K86)/ABS(K86-L86),0))</f>
        <v/>
      </c>
      <c r="AG86" s="31" t="str">
        <f aca="false">IF(OR(AE86="",AE86=0,Q86=0,Q86=""),"",IFERROR(AE86/Q86,0))</f>
        <v/>
      </c>
      <c r="AH86" s="32" t="str">
        <f aca="false">IF(AB86="","Open",IF(AG86="","Open",IF(AG86&gt;0.1,"Win",IF(AG86&lt;-0.1,"Loss","Breakeven"))))</f>
        <v>Open</v>
      </c>
      <c r="AI86" s="33" t="str">
        <f aca="false">IF(OR(B86="",D86=""),"",D86-B86)</f>
        <v/>
      </c>
      <c r="AJ86" s="24" t="str">
        <f aca="false">IF(AD86="","",IFERROR((AD86-K86)*IF(F86="Sell",-1,1)/IF(ISNUMBER(SEARCH("JPY",E86)),0.01,IF(ISNUMBER(SEARCH("XAU",E86)),0.01,IF(OR(ISNUMBER(SEARCH("30",E86)),ISNUMBER(SEARCH("500",E86)),ISNUMBER(SEARCH("100",E86))),1,0.0001))),0))</f>
        <v/>
      </c>
      <c r="AK86" s="10"/>
      <c r="AL86" s="10"/>
      <c r="AM86" s="10"/>
      <c r="AN86" s="10"/>
      <c r="AO86" s="27" t="str">
        <f aca="false">IF(AE86="","",IFERROR(IF(AO85="",SETTINGS!$B$6,AO85),SETTINGS!$B$6)+IF(AE86="",0,AE86))</f>
        <v/>
      </c>
      <c r="AP86" s="2"/>
    </row>
    <row r="87" customFormat="false" ht="15" hidden="false" customHeight="false" outlineLevel="0" collapsed="false">
      <c r="A87" s="24" t="str">
        <f aca="false">IF(B87="","",ROW()-3)</f>
        <v/>
      </c>
      <c r="B87" s="34"/>
      <c r="C87" s="12"/>
      <c r="D87" s="34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35"/>
      <c r="P87" s="24" t="str">
        <f aca="false">IF(K87="","",IFERROR(ABS(K87-L87)/IF(ISNUMBER(SEARCH("JPY",E87)),0.01,IF(ISNUMBER(SEARCH("XAU",E87)),0.01,IF(OR(ISNUMBER(SEARCH("30",E87)),ISNUMBER(SEARCH("500",E87)),ISNUMBER(SEARCH("100",E87))),1,0.0001))),0))</f>
        <v/>
      </c>
      <c r="Q87" s="27" t="str">
        <f aca="false">IF(K87="","",SETTINGS!$B$6*O87)</f>
        <v/>
      </c>
      <c r="R87" s="24" t="str">
        <f aca="false">IF(K87="","",IFERROR(Q87/(P87*IF(ISNUMBER(SEARCH("JPY",E87)),9.09,IF(ISNUMBER(SEARCH("XAU",E87)),1,IF(OR(ISNUMBER(SEARCH("30",E87)),ISNUMBER(SEARCH("500",E87)),ISNUMBER(SEARCH("100",E87))),1,10)))),0))</f>
        <v/>
      </c>
      <c r="S87" s="12"/>
      <c r="T87" s="36"/>
      <c r="U87" s="27" t="str">
        <f aca="false">IF(OR(S87="",T87=0),"",IFERROR((S87-K87)*IF(F87="Sell",-1,1)*R87*T87*IF(ISNUMBER(SEARCH("JPY",E87)),1000,IF(ISNUMBER(SEARCH("XAU",E87)),100,IF(OR(ISNUMBER(SEARCH("30",E87)),ISNUMBER(SEARCH("500",E87)),ISNUMBER(SEARCH("100",E87))),100,100000))),0))</f>
        <v/>
      </c>
      <c r="V87" s="12"/>
      <c r="W87" s="36"/>
      <c r="X87" s="27" t="str">
        <f aca="false">IF(OR(V87="",W87=0),"",IFERROR((V87-K87)*IF(F87="Sell",-1,1)*R87*W87*IF(ISNUMBER(SEARCH("JPY",E87)),1000,IF(ISNUMBER(SEARCH("XAU",E87)),100,IF(OR(ISNUMBER(SEARCH("30",E87)),ISNUMBER(SEARCH("500",E87)),ISNUMBER(SEARCH("100",E87))),100,100000))),0))</f>
        <v/>
      </c>
      <c r="Y87" s="12"/>
      <c r="Z87" s="36"/>
      <c r="AA87" s="27" t="str">
        <f aca="false">IF(OR(Y87="",Z87=0),"",IFERROR((Y87-K87)*IF(F87="Sell",-1,1)*R87*Z87*IF(ISNUMBER(SEARCH("JPY",E87)),1000,IF(ISNUMBER(SEARCH("XAU",E87)),100,IF(OR(ISNUMBER(SEARCH("30",E87)),ISNUMBER(SEARCH("500",E87)),ISNUMBER(SEARCH("100",E87))),100,100000))),0))</f>
        <v/>
      </c>
      <c r="AB87" s="12"/>
      <c r="AC87" s="29" t="str">
        <f aca="false">IF(K87="","",1-IFERROR(T87,0)-IFERROR(W87,0)-IFERROR(Z87,0))</f>
        <v/>
      </c>
      <c r="AD87" s="30" t="str">
        <f aca="false">IF(AB87="","",IFERROR((IFERROR(S87*T87,0)+IFERROR(V87*W87,0)+IFERROR(Y87*Z87,0)+AB87*AC87)/(IFERROR(T87,0)+IFERROR(W87,0)+IFERROR(Z87,0)+AC87),AB87))</f>
        <v/>
      </c>
      <c r="AE87" s="27" t="str">
        <f aca="false">IF(AB87="","",IF(U87="",0,U87)+IF(X87="",0,X87)+IF(AA87="",0,AA87)+IFERROR((AB87-K87)*IF(F87="Sell",-1,1)*R87*AC87*IF(ISNUMBER(SEARCH("JPY",E87)),1000,IF(ISNUMBER(SEARCH("XAU",E87)),100,IF(OR(ISNUMBER(SEARCH("30",E87)),ISNUMBER(SEARCH("500",E87)),ISNUMBER(SEARCH("100",E87))),100,100000))),0))</f>
        <v/>
      </c>
      <c r="AF87" s="31" t="str">
        <f aca="false">IF(OR(K87="",M87="",L87=""),"",IFERROR(ABS(M87-K87)/ABS(K87-L87),0))</f>
        <v/>
      </c>
      <c r="AG87" s="31" t="str">
        <f aca="false">IF(OR(AE87="",AE87=0,Q87=0,Q87=""),"",IFERROR(AE87/Q87,0))</f>
        <v/>
      </c>
      <c r="AH87" s="32" t="str">
        <f aca="false">IF(AB87="","Open",IF(AG87="","Open",IF(AG87&gt;0.1,"Win",IF(AG87&lt;-0.1,"Loss","Breakeven"))))</f>
        <v>Open</v>
      </c>
      <c r="AI87" s="33" t="str">
        <f aca="false">IF(OR(B87="",D87=""),"",D87-B87)</f>
        <v/>
      </c>
      <c r="AJ87" s="24" t="str">
        <f aca="false">IF(AD87="","",IFERROR((AD87-K87)*IF(F87="Sell",-1,1)/IF(ISNUMBER(SEARCH("JPY",E87)),0.01,IF(ISNUMBER(SEARCH("XAU",E87)),0.01,IF(OR(ISNUMBER(SEARCH("30",E87)),ISNUMBER(SEARCH("500",E87)),ISNUMBER(SEARCH("100",E87))),1,0.0001))),0))</f>
        <v/>
      </c>
      <c r="AK87" s="12"/>
      <c r="AL87" s="12"/>
      <c r="AM87" s="12"/>
      <c r="AN87" s="12"/>
      <c r="AO87" s="27" t="str">
        <f aca="false">IF(AE87="","",IFERROR(IF(AO86="",SETTINGS!$B$6,AO86),SETTINGS!$B$6)+IF(AE87="",0,AE87))</f>
        <v/>
      </c>
      <c r="AP87" s="2"/>
    </row>
    <row r="88" customFormat="false" ht="15" hidden="false" customHeight="false" outlineLevel="0" collapsed="false">
      <c r="A88" s="24" t="str">
        <f aca="false">IF(B88="","",ROW()-3)</f>
        <v/>
      </c>
      <c r="B88" s="25"/>
      <c r="C88" s="10"/>
      <c r="D88" s="25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26"/>
      <c r="P88" s="24" t="str">
        <f aca="false">IF(K88="","",IFERROR(ABS(K88-L88)/IF(ISNUMBER(SEARCH("JPY",E88)),0.01,IF(ISNUMBER(SEARCH("XAU",E88)),0.01,IF(OR(ISNUMBER(SEARCH("30",E88)),ISNUMBER(SEARCH("500",E88)),ISNUMBER(SEARCH("100",E88))),1,0.0001))),0))</f>
        <v/>
      </c>
      <c r="Q88" s="27" t="str">
        <f aca="false">IF(K88="","",SETTINGS!$B$6*O88)</f>
        <v/>
      </c>
      <c r="R88" s="24" t="str">
        <f aca="false">IF(K88="","",IFERROR(Q88/(P88*IF(ISNUMBER(SEARCH("JPY",E88)),9.09,IF(ISNUMBER(SEARCH("XAU",E88)),1,IF(OR(ISNUMBER(SEARCH("30",E88)),ISNUMBER(SEARCH("500",E88)),ISNUMBER(SEARCH("100",E88))),1,10)))),0))</f>
        <v/>
      </c>
      <c r="S88" s="10"/>
      <c r="T88" s="28"/>
      <c r="U88" s="27" t="str">
        <f aca="false">IF(OR(S88="",T88=0),"",IFERROR((S88-K88)*IF(F88="Sell",-1,1)*R88*T88*IF(ISNUMBER(SEARCH("JPY",E88)),1000,IF(ISNUMBER(SEARCH("XAU",E88)),100,IF(OR(ISNUMBER(SEARCH("30",E88)),ISNUMBER(SEARCH("500",E88)),ISNUMBER(SEARCH("100",E88))),100,100000))),0))</f>
        <v/>
      </c>
      <c r="V88" s="10"/>
      <c r="W88" s="28"/>
      <c r="X88" s="27" t="str">
        <f aca="false">IF(OR(V88="",W88=0),"",IFERROR((V88-K88)*IF(F88="Sell",-1,1)*R88*W88*IF(ISNUMBER(SEARCH("JPY",E88)),1000,IF(ISNUMBER(SEARCH("XAU",E88)),100,IF(OR(ISNUMBER(SEARCH("30",E88)),ISNUMBER(SEARCH("500",E88)),ISNUMBER(SEARCH("100",E88))),100,100000))),0))</f>
        <v/>
      </c>
      <c r="Y88" s="10"/>
      <c r="Z88" s="28"/>
      <c r="AA88" s="27" t="str">
        <f aca="false">IF(OR(Y88="",Z88=0),"",IFERROR((Y88-K88)*IF(F88="Sell",-1,1)*R88*Z88*IF(ISNUMBER(SEARCH("JPY",E88)),1000,IF(ISNUMBER(SEARCH("XAU",E88)),100,IF(OR(ISNUMBER(SEARCH("30",E88)),ISNUMBER(SEARCH("500",E88)),ISNUMBER(SEARCH("100",E88))),100,100000))),0))</f>
        <v/>
      </c>
      <c r="AB88" s="10"/>
      <c r="AC88" s="29" t="str">
        <f aca="false">IF(K88="","",1-IFERROR(T88,0)-IFERROR(W88,0)-IFERROR(Z88,0))</f>
        <v/>
      </c>
      <c r="AD88" s="30" t="str">
        <f aca="false">IF(AB88="","",IFERROR((IFERROR(S88*T88,0)+IFERROR(V88*W88,0)+IFERROR(Y88*Z88,0)+AB88*AC88)/(IFERROR(T88,0)+IFERROR(W88,0)+IFERROR(Z88,0)+AC88),AB88))</f>
        <v/>
      </c>
      <c r="AE88" s="27" t="str">
        <f aca="false">IF(AB88="","",IF(U88="",0,U88)+IF(X88="",0,X88)+IF(AA88="",0,AA88)+IFERROR((AB88-K88)*IF(F88="Sell",-1,1)*R88*AC88*IF(ISNUMBER(SEARCH("JPY",E88)),1000,IF(ISNUMBER(SEARCH("XAU",E88)),100,IF(OR(ISNUMBER(SEARCH("30",E88)),ISNUMBER(SEARCH("500",E88)),ISNUMBER(SEARCH("100",E88))),100,100000))),0))</f>
        <v/>
      </c>
      <c r="AF88" s="31" t="str">
        <f aca="false">IF(OR(K88="",M88="",L88=""),"",IFERROR(ABS(M88-K88)/ABS(K88-L88),0))</f>
        <v/>
      </c>
      <c r="AG88" s="31" t="str">
        <f aca="false">IF(OR(AE88="",AE88=0,Q88=0,Q88=""),"",IFERROR(AE88/Q88,0))</f>
        <v/>
      </c>
      <c r="AH88" s="32" t="str">
        <f aca="false">IF(AB88="","Open",IF(AG88="","Open",IF(AG88&gt;0.1,"Win",IF(AG88&lt;-0.1,"Loss","Breakeven"))))</f>
        <v>Open</v>
      </c>
      <c r="AI88" s="33" t="str">
        <f aca="false">IF(OR(B88="",D88=""),"",D88-B88)</f>
        <v/>
      </c>
      <c r="AJ88" s="24" t="str">
        <f aca="false">IF(AD88="","",IFERROR((AD88-K88)*IF(F88="Sell",-1,1)/IF(ISNUMBER(SEARCH("JPY",E88)),0.01,IF(ISNUMBER(SEARCH("XAU",E88)),0.01,IF(OR(ISNUMBER(SEARCH("30",E88)),ISNUMBER(SEARCH("500",E88)),ISNUMBER(SEARCH("100",E88))),1,0.0001))),0))</f>
        <v/>
      </c>
      <c r="AK88" s="10"/>
      <c r="AL88" s="10"/>
      <c r="AM88" s="10"/>
      <c r="AN88" s="10"/>
      <c r="AO88" s="27" t="str">
        <f aca="false">IF(AE88="","",IFERROR(IF(AO87="",SETTINGS!$B$6,AO87),SETTINGS!$B$6)+IF(AE88="",0,AE88))</f>
        <v/>
      </c>
      <c r="AP88" s="2"/>
    </row>
    <row r="89" customFormat="false" ht="15" hidden="false" customHeight="false" outlineLevel="0" collapsed="false">
      <c r="A89" s="24" t="str">
        <f aca="false">IF(B89="","",ROW()-3)</f>
        <v/>
      </c>
      <c r="B89" s="34"/>
      <c r="C89" s="12"/>
      <c r="D89" s="34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35"/>
      <c r="P89" s="24" t="str">
        <f aca="false">IF(K89="","",IFERROR(ABS(K89-L89)/IF(ISNUMBER(SEARCH("JPY",E89)),0.01,IF(ISNUMBER(SEARCH("XAU",E89)),0.01,IF(OR(ISNUMBER(SEARCH("30",E89)),ISNUMBER(SEARCH("500",E89)),ISNUMBER(SEARCH("100",E89))),1,0.0001))),0))</f>
        <v/>
      </c>
      <c r="Q89" s="27" t="str">
        <f aca="false">IF(K89="","",SETTINGS!$B$6*O89)</f>
        <v/>
      </c>
      <c r="R89" s="24" t="str">
        <f aca="false">IF(K89="","",IFERROR(Q89/(P89*IF(ISNUMBER(SEARCH("JPY",E89)),9.09,IF(ISNUMBER(SEARCH("XAU",E89)),1,IF(OR(ISNUMBER(SEARCH("30",E89)),ISNUMBER(SEARCH("500",E89)),ISNUMBER(SEARCH("100",E89))),1,10)))),0))</f>
        <v/>
      </c>
      <c r="S89" s="12"/>
      <c r="T89" s="36"/>
      <c r="U89" s="27" t="str">
        <f aca="false">IF(OR(S89="",T89=0),"",IFERROR((S89-K89)*IF(F89="Sell",-1,1)*R89*T89*IF(ISNUMBER(SEARCH("JPY",E89)),1000,IF(ISNUMBER(SEARCH("XAU",E89)),100,IF(OR(ISNUMBER(SEARCH("30",E89)),ISNUMBER(SEARCH("500",E89)),ISNUMBER(SEARCH("100",E89))),100,100000))),0))</f>
        <v/>
      </c>
      <c r="V89" s="12"/>
      <c r="W89" s="36"/>
      <c r="X89" s="27" t="str">
        <f aca="false">IF(OR(V89="",W89=0),"",IFERROR((V89-K89)*IF(F89="Sell",-1,1)*R89*W89*IF(ISNUMBER(SEARCH("JPY",E89)),1000,IF(ISNUMBER(SEARCH("XAU",E89)),100,IF(OR(ISNUMBER(SEARCH("30",E89)),ISNUMBER(SEARCH("500",E89)),ISNUMBER(SEARCH("100",E89))),100,100000))),0))</f>
        <v/>
      </c>
      <c r="Y89" s="12"/>
      <c r="Z89" s="36"/>
      <c r="AA89" s="27" t="str">
        <f aca="false">IF(OR(Y89="",Z89=0),"",IFERROR((Y89-K89)*IF(F89="Sell",-1,1)*R89*Z89*IF(ISNUMBER(SEARCH("JPY",E89)),1000,IF(ISNUMBER(SEARCH("XAU",E89)),100,IF(OR(ISNUMBER(SEARCH("30",E89)),ISNUMBER(SEARCH("500",E89)),ISNUMBER(SEARCH("100",E89))),100,100000))),0))</f>
        <v/>
      </c>
      <c r="AB89" s="12"/>
      <c r="AC89" s="29" t="str">
        <f aca="false">IF(K89="","",1-IFERROR(T89,0)-IFERROR(W89,0)-IFERROR(Z89,0))</f>
        <v/>
      </c>
      <c r="AD89" s="30" t="str">
        <f aca="false">IF(AB89="","",IFERROR((IFERROR(S89*T89,0)+IFERROR(V89*W89,0)+IFERROR(Y89*Z89,0)+AB89*AC89)/(IFERROR(T89,0)+IFERROR(W89,0)+IFERROR(Z89,0)+AC89),AB89))</f>
        <v/>
      </c>
      <c r="AE89" s="27" t="str">
        <f aca="false">IF(AB89="","",IF(U89="",0,U89)+IF(X89="",0,X89)+IF(AA89="",0,AA89)+IFERROR((AB89-K89)*IF(F89="Sell",-1,1)*R89*AC89*IF(ISNUMBER(SEARCH("JPY",E89)),1000,IF(ISNUMBER(SEARCH("XAU",E89)),100,IF(OR(ISNUMBER(SEARCH("30",E89)),ISNUMBER(SEARCH("500",E89)),ISNUMBER(SEARCH("100",E89))),100,100000))),0))</f>
        <v/>
      </c>
      <c r="AF89" s="31" t="str">
        <f aca="false">IF(OR(K89="",M89="",L89=""),"",IFERROR(ABS(M89-K89)/ABS(K89-L89),0))</f>
        <v/>
      </c>
      <c r="AG89" s="31" t="str">
        <f aca="false">IF(OR(AE89="",AE89=0,Q89=0,Q89=""),"",IFERROR(AE89/Q89,0))</f>
        <v/>
      </c>
      <c r="AH89" s="32" t="str">
        <f aca="false">IF(AB89="","Open",IF(AG89="","Open",IF(AG89&gt;0.1,"Win",IF(AG89&lt;-0.1,"Loss","Breakeven"))))</f>
        <v>Open</v>
      </c>
      <c r="AI89" s="33" t="str">
        <f aca="false">IF(OR(B89="",D89=""),"",D89-B89)</f>
        <v/>
      </c>
      <c r="AJ89" s="24" t="str">
        <f aca="false">IF(AD89="","",IFERROR((AD89-K89)*IF(F89="Sell",-1,1)/IF(ISNUMBER(SEARCH("JPY",E89)),0.01,IF(ISNUMBER(SEARCH("XAU",E89)),0.01,IF(OR(ISNUMBER(SEARCH("30",E89)),ISNUMBER(SEARCH("500",E89)),ISNUMBER(SEARCH("100",E89))),1,0.0001))),0))</f>
        <v/>
      </c>
      <c r="AK89" s="12"/>
      <c r="AL89" s="12"/>
      <c r="AM89" s="12"/>
      <c r="AN89" s="12"/>
      <c r="AO89" s="27" t="str">
        <f aca="false">IF(AE89="","",IFERROR(IF(AO88="",SETTINGS!$B$6,AO88),SETTINGS!$B$6)+IF(AE89="",0,AE89))</f>
        <v/>
      </c>
      <c r="AP89" s="2"/>
    </row>
    <row r="90" customFormat="false" ht="15" hidden="false" customHeight="false" outlineLevel="0" collapsed="false">
      <c r="A90" s="24" t="str">
        <f aca="false">IF(B90="","",ROW()-3)</f>
        <v/>
      </c>
      <c r="B90" s="25"/>
      <c r="C90" s="10"/>
      <c r="D90" s="25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6"/>
      <c r="P90" s="24" t="str">
        <f aca="false">IF(K90="","",IFERROR(ABS(K90-L90)/IF(ISNUMBER(SEARCH("JPY",E90)),0.01,IF(ISNUMBER(SEARCH("XAU",E90)),0.01,IF(OR(ISNUMBER(SEARCH("30",E90)),ISNUMBER(SEARCH("500",E90)),ISNUMBER(SEARCH("100",E90))),1,0.0001))),0))</f>
        <v/>
      </c>
      <c r="Q90" s="27" t="str">
        <f aca="false">IF(K90="","",SETTINGS!$B$6*O90)</f>
        <v/>
      </c>
      <c r="R90" s="24" t="str">
        <f aca="false">IF(K90="","",IFERROR(Q90/(P90*IF(ISNUMBER(SEARCH("JPY",E90)),9.09,IF(ISNUMBER(SEARCH("XAU",E90)),1,IF(OR(ISNUMBER(SEARCH("30",E90)),ISNUMBER(SEARCH("500",E90)),ISNUMBER(SEARCH("100",E90))),1,10)))),0))</f>
        <v/>
      </c>
      <c r="S90" s="10"/>
      <c r="T90" s="28"/>
      <c r="U90" s="27" t="str">
        <f aca="false">IF(OR(S90="",T90=0),"",IFERROR((S90-K90)*IF(F90="Sell",-1,1)*R90*T90*IF(ISNUMBER(SEARCH("JPY",E90)),1000,IF(ISNUMBER(SEARCH("XAU",E90)),100,IF(OR(ISNUMBER(SEARCH("30",E90)),ISNUMBER(SEARCH("500",E90)),ISNUMBER(SEARCH("100",E90))),100,100000))),0))</f>
        <v/>
      </c>
      <c r="V90" s="10"/>
      <c r="W90" s="28"/>
      <c r="X90" s="27" t="str">
        <f aca="false">IF(OR(V90="",W90=0),"",IFERROR((V90-K90)*IF(F90="Sell",-1,1)*R90*W90*IF(ISNUMBER(SEARCH("JPY",E90)),1000,IF(ISNUMBER(SEARCH("XAU",E90)),100,IF(OR(ISNUMBER(SEARCH("30",E90)),ISNUMBER(SEARCH("500",E90)),ISNUMBER(SEARCH("100",E90))),100,100000))),0))</f>
        <v/>
      </c>
      <c r="Y90" s="10"/>
      <c r="Z90" s="28"/>
      <c r="AA90" s="27" t="str">
        <f aca="false">IF(OR(Y90="",Z90=0),"",IFERROR((Y90-K90)*IF(F90="Sell",-1,1)*R90*Z90*IF(ISNUMBER(SEARCH("JPY",E90)),1000,IF(ISNUMBER(SEARCH("XAU",E90)),100,IF(OR(ISNUMBER(SEARCH("30",E90)),ISNUMBER(SEARCH("500",E90)),ISNUMBER(SEARCH("100",E90))),100,100000))),0))</f>
        <v/>
      </c>
      <c r="AB90" s="10"/>
      <c r="AC90" s="29" t="str">
        <f aca="false">IF(K90="","",1-IFERROR(T90,0)-IFERROR(W90,0)-IFERROR(Z90,0))</f>
        <v/>
      </c>
      <c r="AD90" s="30" t="str">
        <f aca="false">IF(AB90="","",IFERROR((IFERROR(S90*T90,0)+IFERROR(V90*W90,0)+IFERROR(Y90*Z90,0)+AB90*AC90)/(IFERROR(T90,0)+IFERROR(W90,0)+IFERROR(Z90,0)+AC90),AB90))</f>
        <v/>
      </c>
      <c r="AE90" s="27" t="str">
        <f aca="false">IF(AB90="","",IF(U90="",0,U90)+IF(X90="",0,X90)+IF(AA90="",0,AA90)+IFERROR((AB90-K90)*IF(F90="Sell",-1,1)*R90*AC90*IF(ISNUMBER(SEARCH("JPY",E90)),1000,IF(ISNUMBER(SEARCH("XAU",E90)),100,IF(OR(ISNUMBER(SEARCH("30",E90)),ISNUMBER(SEARCH("500",E90)),ISNUMBER(SEARCH("100",E90))),100,100000))),0))</f>
        <v/>
      </c>
      <c r="AF90" s="31" t="str">
        <f aca="false">IF(OR(K90="",M90="",L90=""),"",IFERROR(ABS(M90-K90)/ABS(K90-L90),0))</f>
        <v/>
      </c>
      <c r="AG90" s="31" t="str">
        <f aca="false">IF(OR(AE90="",AE90=0,Q90=0,Q90=""),"",IFERROR(AE90/Q90,0))</f>
        <v/>
      </c>
      <c r="AH90" s="32" t="str">
        <f aca="false">IF(AB90="","Open",IF(AG90="","Open",IF(AG90&gt;0.1,"Win",IF(AG90&lt;-0.1,"Loss","Breakeven"))))</f>
        <v>Open</v>
      </c>
      <c r="AI90" s="33" t="str">
        <f aca="false">IF(OR(B90="",D90=""),"",D90-B90)</f>
        <v/>
      </c>
      <c r="AJ90" s="24" t="str">
        <f aca="false">IF(AD90="","",IFERROR((AD90-K90)*IF(F90="Sell",-1,1)/IF(ISNUMBER(SEARCH("JPY",E90)),0.01,IF(ISNUMBER(SEARCH("XAU",E90)),0.01,IF(OR(ISNUMBER(SEARCH("30",E90)),ISNUMBER(SEARCH("500",E90)),ISNUMBER(SEARCH("100",E90))),1,0.0001))),0))</f>
        <v/>
      </c>
      <c r="AK90" s="10"/>
      <c r="AL90" s="10"/>
      <c r="AM90" s="10"/>
      <c r="AN90" s="10"/>
      <c r="AO90" s="27" t="str">
        <f aca="false">IF(AE90="","",IFERROR(IF(AO89="",SETTINGS!$B$6,AO89),SETTINGS!$B$6)+IF(AE90="",0,AE90))</f>
        <v/>
      </c>
      <c r="AP90" s="2"/>
    </row>
    <row r="91" customFormat="false" ht="15" hidden="false" customHeight="false" outlineLevel="0" collapsed="false">
      <c r="A91" s="24" t="str">
        <f aca="false">IF(B91="","",ROW()-3)</f>
        <v/>
      </c>
      <c r="B91" s="34"/>
      <c r="C91" s="12"/>
      <c r="D91" s="34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35"/>
      <c r="P91" s="24" t="str">
        <f aca="false">IF(K91="","",IFERROR(ABS(K91-L91)/IF(ISNUMBER(SEARCH("JPY",E91)),0.01,IF(ISNUMBER(SEARCH("XAU",E91)),0.01,IF(OR(ISNUMBER(SEARCH("30",E91)),ISNUMBER(SEARCH("500",E91)),ISNUMBER(SEARCH("100",E91))),1,0.0001))),0))</f>
        <v/>
      </c>
      <c r="Q91" s="27" t="str">
        <f aca="false">IF(K91="","",SETTINGS!$B$6*O91)</f>
        <v/>
      </c>
      <c r="R91" s="24" t="str">
        <f aca="false">IF(K91="","",IFERROR(Q91/(P91*IF(ISNUMBER(SEARCH("JPY",E91)),9.09,IF(ISNUMBER(SEARCH("XAU",E91)),1,IF(OR(ISNUMBER(SEARCH("30",E91)),ISNUMBER(SEARCH("500",E91)),ISNUMBER(SEARCH("100",E91))),1,10)))),0))</f>
        <v/>
      </c>
      <c r="S91" s="12"/>
      <c r="T91" s="36"/>
      <c r="U91" s="27" t="str">
        <f aca="false">IF(OR(S91="",T91=0),"",IFERROR((S91-K91)*IF(F91="Sell",-1,1)*R91*T91*IF(ISNUMBER(SEARCH("JPY",E91)),1000,IF(ISNUMBER(SEARCH("XAU",E91)),100,IF(OR(ISNUMBER(SEARCH("30",E91)),ISNUMBER(SEARCH("500",E91)),ISNUMBER(SEARCH("100",E91))),100,100000))),0))</f>
        <v/>
      </c>
      <c r="V91" s="12"/>
      <c r="W91" s="36"/>
      <c r="X91" s="27" t="str">
        <f aca="false">IF(OR(V91="",W91=0),"",IFERROR((V91-K91)*IF(F91="Sell",-1,1)*R91*W91*IF(ISNUMBER(SEARCH("JPY",E91)),1000,IF(ISNUMBER(SEARCH("XAU",E91)),100,IF(OR(ISNUMBER(SEARCH("30",E91)),ISNUMBER(SEARCH("500",E91)),ISNUMBER(SEARCH("100",E91))),100,100000))),0))</f>
        <v/>
      </c>
      <c r="Y91" s="12"/>
      <c r="Z91" s="36"/>
      <c r="AA91" s="27" t="str">
        <f aca="false">IF(OR(Y91="",Z91=0),"",IFERROR((Y91-K91)*IF(F91="Sell",-1,1)*R91*Z91*IF(ISNUMBER(SEARCH("JPY",E91)),1000,IF(ISNUMBER(SEARCH("XAU",E91)),100,IF(OR(ISNUMBER(SEARCH("30",E91)),ISNUMBER(SEARCH("500",E91)),ISNUMBER(SEARCH("100",E91))),100,100000))),0))</f>
        <v/>
      </c>
      <c r="AB91" s="12"/>
      <c r="AC91" s="29" t="str">
        <f aca="false">IF(K91="","",1-IFERROR(T91,0)-IFERROR(W91,0)-IFERROR(Z91,0))</f>
        <v/>
      </c>
      <c r="AD91" s="30" t="str">
        <f aca="false">IF(AB91="","",IFERROR((IFERROR(S91*T91,0)+IFERROR(V91*W91,0)+IFERROR(Y91*Z91,0)+AB91*AC91)/(IFERROR(T91,0)+IFERROR(W91,0)+IFERROR(Z91,0)+AC91),AB91))</f>
        <v/>
      </c>
      <c r="AE91" s="27" t="str">
        <f aca="false">IF(AB91="","",IF(U91="",0,U91)+IF(X91="",0,X91)+IF(AA91="",0,AA91)+IFERROR((AB91-K91)*IF(F91="Sell",-1,1)*R91*AC91*IF(ISNUMBER(SEARCH("JPY",E91)),1000,IF(ISNUMBER(SEARCH("XAU",E91)),100,IF(OR(ISNUMBER(SEARCH("30",E91)),ISNUMBER(SEARCH("500",E91)),ISNUMBER(SEARCH("100",E91))),100,100000))),0))</f>
        <v/>
      </c>
      <c r="AF91" s="31" t="str">
        <f aca="false">IF(OR(K91="",M91="",L91=""),"",IFERROR(ABS(M91-K91)/ABS(K91-L91),0))</f>
        <v/>
      </c>
      <c r="AG91" s="31" t="str">
        <f aca="false">IF(OR(AE91="",AE91=0,Q91=0,Q91=""),"",IFERROR(AE91/Q91,0))</f>
        <v/>
      </c>
      <c r="AH91" s="32" t="str">
        <f aca="false">IF(AB91="","Open",IF(AG91="","Open",IF(AG91&gt;0.1,"Win",IF(AG91&lt;-0.1,"Loss","Breakeven"))))</f>
        <v>Open</v>
      </c>
      <c r="AI91" s="33" t="str">
        <f aca="false">IF(OR(B91="",D91=""),"",D91-B91)</f>
        <v/>
      </c>
      <c r="AJ91" s="24" t="str">
        <f aca="false">IF(AD91="","",IFERROR((AD91-K91)*IF(F91="Sell",-1,1)/IF(ISNUMBER(SEARCH("JPY",E91)),0.01,IF(ISNUMBER(SEARCH("XAU",E91)),0.01,IF(OR(ISNUMBER(SEARCH("30",E91)),ISNUMBER(SEARCH("500",E91)),ISNUMBER(SEARCH("100",E91))),1,0.0001))),0))</f>
        <v/>
      </c>
      <c r="AK91" s="12"/>
      <c r="AL91" s="12"/>
      <c r="AM91" s="12"/>
      <c r="AN91" s="12"/>
      <c r="AO91" s="27" t="str">
        <f aca="false">IF(AE91="","",IFERROR(IF(AO90="",SETTINGS!$B$6,AO90),SETTINGS!$B$6)+IF(AE91="",0,AE91))</f>
        <v/>
      </c>
      <c r="AP91" s="2"/>
    </row>
    <row r="92" customFormat="false" ht="15" hidden="false" customHeight="false" outlineLevel="0" collapsed="false">
      <c r="A92" s="24" t="str">
        <f aca="false">IF(B92="","",ROW()-3)</f>
        <v/>
      </c>
      <c r="B92" s="25"/>
      <c r="C92" s="10"/>
      <c r="D92" s="2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26"/>
      <c r="P92" s="24" t="str">
        <f aca="false">IF(K92="","",IFERROR(ABS(K92-L92)/IF(ISNUMBER(SEARCH("JPY",E92)),0.01,IF(ISNUMBER(SEARCH("XAU",E92)),0.01,IF(OR(ISNUMBER(SEARCH("30",E92)),ISNUMBER(SEARCH("500",E92)),ISNUMBER(SEARCH("100",E92))),1,0.0001))),0))</f>
        <v/>
      </c>
      <c r="Q92" s="27" t="str">
        <f aca="false">IF(K92="","",SETTINGS!$B$6*O92)</f>
        <v/>
      </c>
      <c r="R92" s="24" t="str">
        <f aca="false">IF(K92="","",IFERROR(Q92/(P92*IF(ISNUMBER(SEARCH("JPY",E92)),9.09,IF(ISNUMBER(SEARCH("XAU",E92)),1,IF(OR(ISNUMBER(SEARCH("30",E92)),ISNUMBER(SEARCH("500",E92)),ISNUMBER(SEARCH("100",E92))),1,10)))),0))</f>
        <v/>
      </c>
      <c r="S92" s="10"/>
      <c r="T92" s="28"/>
      <c r="U92" s="27" t="str">
        <f aca="false">IF(OR(S92="",T92=0),"",IFERROR((S92-K92)*IF(F92="Sell",-1,1)*R92*T92*IF(ISNUMBER(SEARCH("JPY",E92)),1000,IF(ISNUMBER(SEARCH("XAU",E92)),100,IF(OR(ISNUMBER(SEARCH("30",E92)),ISNUMBER(SEARCH("500",E92)),ISNUMBER(SEARCH("100",E92))),100,100000))),0))</f>
        <v/>
      </c>
      <c r="V92" s="10"/>
      <c r="W92" s="28"/>
      <c r="X92" s="27" t="str">
        <f aca="false">IF(OR(V92="",W92=0),"",IFERROR((V92-K92)*IF(F92="Sell",-1,1)*R92*W92*IF(ISNUMBER(SEARCH("JPY",E92)),1000,IF(ISNUMBER(SEARCH("XAU",E92)),100,IF(OR(ISNUMBER(SEARCH("30",E92)),ISNUMBER(SEARCH("500",E92)),ISNUMBER(SEARCH("100",E92))),100,100000))),0))</f>
        <v/>
      </c>
      <c r="Y92" s="10"/>
      <c r="Z92" s="28"/>
      <c r="AA92" s="27" t="str">
        <f aca="false">IF(OR(Y92="",Z92=0),"",IFERROR((Y92-K92)*IF(F92="Sell",-1,1)*R92*Z92*IF(ISNUMBER(SEARCH("JPY",E92)),1000,IF(ISNUMBER(SEARCH("XAU",E92)),100,IF(OR(ISNUMBER(SEARCH("30",E92)),ISNUMBER(SEARCH("500",E92)),ISNUMBER(SEARCH("100",E92))),100,100000))),0))</f>
        <v/>
      </c>
      <c r="AB92" s="10"/>
      <c r="AC92" s="29" t="str">
        <f aca="false">IF(K92="","",1-IFERROR(T92,0)-IFERROR(W92,0)-IFERROR(Z92,0))</f>
        <v/>
      </c>
      <c r="AD92" s="30" t="str">
        <f aca="false">IF(AB92="","",IFERROR((IFERROR(S92*T92,0)+IFERROR(V92*W92,0)+IFERROR(Y92*Z92,0)+AB92*AC92)/(IFERROR(T92,0)+IFERROR(W92,0)+IFERROR(Z92,0)+AC92),AB92))</f>
        <v/>
      </c>
      <c r="AE92" s="27" t="str">
        <f aca="false">IF(AB92="","",IF(U92="",0,U92)+IF(X92="",0,X92)+IF(AA92="",0,AA92)+IFERROR((AB92-K92)*IF(F92="Sell",-1,1)*R92*AC92*IF(ISNUMBER(SEARCH("JPY",E92)),1000,IF(ISNUMBER(SEARCH("XAU",E92)),100,IF(OR(ISNUMBER(SEARCH("30",E92)),ISNUMBER(SEARCH("500",E92)),ISNUMBER(SEARCH("100",E92))),100,100000))),0))</f>
        <v/>
      </c>
      <c r="AF92" s="31" t="str">
        <f aca="false">IF(OR(K92="",M92="",L92=""),"",IFERROR(ABS(M92-K92)/ABS(K92-L92),0))</f>
        <v/>
      </c>
      <c r="AG92" s="31" t="str">
        <f aca="false">IF(OR(AE92="",AE92=0,Q92=0,Q92=""),"",IFERROR(AE92/Q92,0))</f>
        <v/>
      </c>
      <c r="AH92" s="32" t="str">
        <f aca="false">IF(AB92="","Open",IF(AG92="","Open",IF(AG92&gt;0.1,"Win",IF(AG92&lt;-0.1,"Loss","Breakeven"))))</f>
        <v>Open</v>
      </c>
      <c r="AI92" s="33" t="str">
        <f aca="false">IF(OR(B92="",D92=""),"",D92-B92)</f>
        <v/>
      </c>
      <c r="AJ92" s="24" t="str">
        <f aca="false">IF(AD92="","",IFERROR((AD92-K92)*IF(F92="Sell",-1,1)/IF(ISNUMBER(SEARCH("JPY",E92)),0.01,IF(ISNUMBER(SEARCH("XAU",E92)),0.01,IF(OR(ISNUMBER(SEARCH("30",E92)),ISNUMBER(SEARCH("500",E92)),ISNUMBER(SEARCH("100",E92))),1,0.0001))),0))</f>
        <v/>
      </c>
      <c r="AK92" s="10"/>
      <c r="AL92" s="10"/>
      <c r="AM92" s="10"/>
      <c r="AN92" s="10"/>
      <c r="AO92" s="27" t="str">
        <f aca="false">IF(AE92="","",IFERROR(IF(AO91="",SETTINGS!$B$6,AO91),SETTINGS!$B$6)+IF(AE92="",0,AE92))</f>
        <v/>
      </c>
      <c r="AP92" s="2"/>
    </row>
    <row r="93" customFormat="false" ht="15" hidden="false" customHeight="false" outlineLevel="0" collapsed="false">
      <c r="A93" s="24" t="str">
        <f aca="false">IF(B93="","",ROW()-3)</f>
        <v/>
      </c>
      <c r="B93" s="34"/>
      <c r="C93" s="12"/>
      <c r="D93" s="34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35"/>
      <c r="P93" s="24" t="str">
        <f aca="false">IF(K93="","",IFERROR(ABS(K93-L93)/IF(ISNUMBER(SEARCH("JPY",E93)),0.01,IF(ISNUMBER(SEARCH("XAU",E93)),0.01,IF(OR(ISNUMBER(SEARCH("30",E93)),ISNUMBER(SEARCH("500",E93)),ISNUMBER(SEARCH("100",E93))),1,0.0001))),0))</f>
        <v/>
      </c>
      <c r="Q93" s="27" t="str">
        <f aca="false">IF(K93="","",SETTINGS!$B$6*O93)</f>
        <v/>
      </c>
      <c r="R93" s="24" t="str">
        <f aca="false">IF(K93="","",IFERROR(Q93/(P93*IF(ISNUMBER(SEARCH("JPY",E93)),9.09,IF(ISNUMBER(SEARCH("XAU",E93)),1,IF(OR(ISNUMBER(SEARCH("30",E93)),ISNUMBER(SEARCH("500",E93)),ISNUMBER(SEARCH("100",E93))),1,10)))),0))</f>
        <v/>
      </c>
      <c r="S93" s="12"/>
      <c r="T93" s="36"/>
      <c r="U93" s="27" t="str">
        <f aca="false">IF(OR(S93="",T93=0),"",IFERROR((S93-K93)*IF(F93="Sell",-1,1)*R93*T93*IF(ISNUMBER(SEARCH("JPY",E93)),1000,IF(ISNUMBER(SEARCH("XAU",E93)),100,IF(OR(ISNUMBER(SEARCH("30",E93)),ISNUMBER(SEARCH("500",E93)),ISNUMBER(SEARCH("100",E93))),100,100000))),0))</f>
        <v/>
      </c>
      <c r="V93" s="12"/>
      <c r="W93" s="36"/>
      <c r="X93" s="27" t="str">
        <f aca="false">IF(OR(V93="",W93=0),"",IFERROR((V93-K93)*IF(F93="Sell",-1,1)*R93*W93*IF(ISNUMBER(SEARCH("JPY",E93)),1000,IF(ISNUMBER(SEARCH("XAU",E93)),100,IF(OR(ISNUMBER(SEARCH("30",E93)),ISNUMBER(SEARCH("500",E93)),ISNUMBER(SEARCH("100",E93))),100,100000))),0))</f>
        <v/>
      </c>
      <c r="Y93" s="12"/>
      <c r="Z93" s="36"/>
      <c r="AA93" s="27" t="str">
        <f aca="false">IF(OR(Y93="",Z93=0),"",IFERROR((Y93-K93)*IF(F93="Sell",-1,1)*R93*Z93*IF(ISNUMBER(SEARCH("JPY",E93)),1000,IF(ISNUMBER(SEARCH("XAU",E93)),100,IF(OR(ISNUMBER(SEARCH("30",E93)),ISNUMBER(SEARCH("500",E93)),ISNUMBER(SEARCH("100",E93))),100,100000))),0))</f>
        <v/>
      </c>
      <c r="AB93" s="12"/>
      <c r="AC93" s="29" t="str">
        <f aca="false">IF(K93="","",1-IFERROR(T93,0)-IFERROR(W93,0)-IFERROR(Z93,0))</f>
        <v/>
      </c>
      <c r="AD93" s="30" t="str">
        <f aca="false">IF(AB93="","",IFERROR((IFERROR(S93*T93,0)+IFERROR(V93*W93,0)+IFERROR(Y93*Z93,0)+AB93*AC93)/(IFERROR(T93,0)+IFERROR(W93,0)+IFERROR(Z93,0)+AC93),AB93))</f>
        <v/>
      </c>
      <c r="AE93" s="27" t="str">
        <f aca="false">IF(AB93="","",IF(U93="",0,U93)+IF(X93="",0,X93)+IF(AA93="",0,AA93)+IFERROR((AB93-K93)*IF(F93="Sell",-1,1)*R93*AC93*IF(ISNUMBER(SEARCH("JPY",E93)),1000,IF(ISNUMBER(SEARCH("XAU",E93)),100,IF(OR(ISNUMBER(SEARCH("30",E93)),ISNUMBER(SEARCH("500",E93)),ISNUMBER(SEARCH("100",E93))),100,100000))),0))</f>
        <v/>
      </c>
      <c r="AF93" s="31" t="str">
        <f aca="false">IF(OR(K93="",M93="",L93=""),"",IFERROR(ABS(M93-K93)/ABS(K93-L93),0))</f>
        <v/>
      </c>
      <c r="AG93" s="31" t="str">
        <f aca="false">IF(OR(AE93="",AE93=0,Q93=0,Q93=""),"",IFERROR(AE93/Q93,0))</f>
        <v/>
      </c>
      <c r="AH93" s="32" t="str">
        <f aca="false">IF(AB93="","Open",IF(AG93="","Open",IF(AG93&gt;0.1,"Win",IF(AG93&lt;-0.1,"Loss","Breakeven"))))</f>
        <v>Open</v>
      </c>
      <c r="AI93" s="33" t="str">
        <f aca="false">IF(OR(B93="",D93=""),"",D93-B93)</f>
        <v/>
      </c>
      <c r="AJ93" s="24" t="str">
        <f aca="false">IF(AD93="","",IFERROR((AD93-K93)*IF(F93="Sell",-1,1)/IF(ISNUMBER(SEARCH("JPY",E93)),0.01,IF(ISNUMBER(SEARCH("XAU",E93)),0.01,IF(OR(ISNUMBER(SEARCH("30",E93)),ISNUMBER(SEARCH("500",E93)),ISNUMBER(SEARCH("100",E93))),1,0.0001))),0))</f>
        <v/>
      </c>
      <c r="AK93" s="12"/>
      <c r="AL93" s="12"/>
      <c r="AM93" s="12"/>
      <c r="AN93" s="12"/>
      <c r="AO93" s="27" t="str">
        <f aca="false">IF(AE93="","",IFERROR(IF(AO92="",SETTINGS!$B$6,AO92),SETTINGS!$B$6)+IF(AE93="",0,AE93))</f>
        <v/>
      </c>
      <c r="AP93" s="2"/>
    </row>
    <row r="94" customFormat="false" ht="15" hidden="false" customHeight="false" outlineLevel="0" collapsed="false">
      <c r="A94" s="24" t="str">
        <f aca="false">IF(B94="","",ROW()-3)</f>
        <v/>
      </c>
      <c r="B94" s="25"/>
      <c r="C94" s="10"/>
      <c r="D94" s="25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26"/>
      <c r="P94" s="24" t="str">
        <f aca="false">IF(K94="","",IFERROR(ABS(K94-L94)/IF(ISNUMBER(SEARCH("JPY",E94)),0.01,IF(ISNUMBER(SEARCH("XAU",E94)),0.01,IF(OR(ISNUMBER(SEARCH("30",E94)),ISNUMBER(SEARCH("500",E94)),ISNUMBER(SEARCH("100",E94))),1,0.0001))),0))</f>
        <v/>
      </c>
      <c r="Q94" s="27" t="str">
        <f aca="false">IF(K94="","",SETTINGS!$B$6*O94)</f>
        <v/>
      </c>
      <c r="R94" s="24" t="str">
        <f aca="false">IF(K94="","",IFERROR(Q94/(P94*IF(ISNUMBER(SEARCH("JPY",E94)),9.09,IF(ISNUMBER(SEARCH("XAU",E94)),1,IF(OR(ISNUMBER(SEARCH("30",E94)),ISNUMBER(SEARCH("500",E94)),ISNUMBER(SEARCH("100",E94))),1,10)))),0))</f>
        <v/>
      </c>
      <c r="S94" s="10"/>
      <c r="T94" s="28"/>
      <c r="U94" s="27" t="str">
        <f aca="false">IF(OR(S94="",T94=0),"",IFERROR((S94-K94)*IF(F94="Sell",-1,1)*R94*T94*IF(ISNUMBER(SEARCH("JPY",E94)),1000,IF(ISNUMBER(SEARCH("XAU",E94)),100,IF(OR(ISNUMBER(SEARCH("30",E94)),ISNUMBER(SEARCH("500",E94)),ISNUMBER(SEARCH("100",E94))),100,100000))),0))</f>
        <v/>
      </c>
      <c r="V94" s="10"/>
      <c r="W94" s="28"/>
      <c r="X94" s="27" t="str">
        <f aca="false">IF(OR(V94="",W94=0),"",IFERROR((V94-K94)*IF(F94="Sell",-1,1)*R94*W94*IF(ISNUMBER(SEARCH("JPY",E94)),1000,IF(ISNUMBER(SEARCH("XAU",E94)),100,IF(OR(ISNUMBER(SEARCH("30",E94)),ISNUMBER(SEARCH("500",E94)),ISNUMBER(SEARCH("100",E94))),100,100000))),0))</f>
        <v/>
      </c>
      <c r="Y94" s="10"/>
      <c r="Z94" s="28"/>
      <c r="AA94" s="27" t="str">
        <f aca="false">IF(OR(Y94="",Z94=0),"",IFERROR((Y94-K94)*IF(F94="Sell",-1,1)*R94*Z94*IF(ISNUMBER(SEARCH("JPY",E94)),1000,IF(ISNUMBER(SEARCH("XAU",E94)),100,IF(OR(ISNUMBER(SEARCH("30",E94)),ISNUMBER(SEARCH("500",E94)),ISNUMBER(SEARCH("100",E94))),100,100000))),0))</f>
        <v/>
      </c>
      <c r="AB94" s="10"/>
      <c r="AC94" s="29" t="str">
        <f aca="false">IF(K94="","",1-IFERROR(T94,0)-IFERROR(W94,0)-IFERROR(Z94,0))</f>
        <v/>
      </c>
      <c r="AD94" s="30" t="str">
        <f aca="false">IF(AB94="","",IFERROR((IFERROR(S94*T94,0)+IFERROR(V94*W94,0)+IFERROR(Y94*Z94,0)+AB94*AC94)/(IFERROR(T94,0)+IFERROR(W94,0)+IFERROR(Z94,0)+AC94),AB94))</f>
        <v/>
      </c>
      <c r="AE94" s="27" t="str">
        <f aca="false">IF(AB94="","",IF(U94="",0,U94)+IF(X94="",0,X94)+IF(AA94="",0,AA94)+IFERROR((AB94-K94)*IF(F94="Sell",-1,1)*R94*AC94*IF(ISNUMBER(SEARCH("JPY",E94)),1000,IF(ISNUMBER(SEARCH("XAU",E94)),100,IF(OR(ISNUMBER(SEARCH("30",E94)),ISNUMBER(SEARCH("500",E94)),ISNUMBER(SEARCH("100",E94))),100,100000))),0))</f>
        <v/>
      </c>
      <c r="AF94" s="31" t="str">
        <f aca="false">IF(OR(K94="",M94="",L94=""),"",IFERROR(ABS(M94-K94)/ABS(K94-L94),0))</f>
        <v/>
      </c>
      <c r="AG94" s="31" t="str">
        <f aca="false">IF(OR(AE94="",AE94=0,Q94=0,Q94=""),"",IFERROR(AE94/Q94,0))</f>
        <v/>
      </c>
      <c r="AH94" s="32" t="str">
        <f aca="false">IF(AB94="","Open",IF(AG94="","Open",IF(AG94&gt;0.1,"Win",IF(AG94&lt;-0.1,"Loss","Breakeven"))))</f>
        <v>Open</v>
      </c>
      <c r="AI94" s="33" t="str">
        <f aca="false">IF(OR(B94="",D94=""),"",D94-B94)</f>
        <v/>
      </c>
      <c r="AJ94" s="24" t="str">
        <f aca="false">IF(AD94="","",IFERROR((AD94-K94)*IF(F94="Sell",-1,1)/IF(ISNUMBER(SEARCH("JPY",E94)),0.01,IF(ISNUMBER(SEARCH("XAU",E94)),0.01,IF(OR(ISNUMBER(SEARCH("30",E94)),ISNUMBER(SEARCH("500",E94)),ISNUMBER(SEARCH("100",E94))),1,0.0001))),0))</f>
        <v/>
      </c>
      <c r="AK94" s="10"/>
      <c r="AL94" s="10"/>
      <c r="AM94" s="10"/>
      <c r="AN94" s="10"/>
      <c r="AO94" s="27" t="str">
        <f aca="false">IF(AE94="","",IFERROR(IF(AO93="",SETTINGS!$B$6,AO93),SETTINGS!$B$6)+IF(AE94="",0,AE94))</f>
        <v/>
      </c>
      <c r="AP94" s="2"/>
    </row>
    <row r="95" customFormat="false" ht="15" hidden="false" customHeight="false" outlineLevel="0" collapsed="false">
      <c r="A95" s="24" t="str">
        <f aca="false">IF(B95="","",ROW()-3)</f>
        <v/>
      </c>
      <c r="B95" s="34"/>
      <c r="C95" s="12"/>
      <c r="D95" s="34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35"/>
      <c r="P95" s="24" t="str">
        <f aca="false">IF(K95="","",IFERROR(ABS(K95-L95)/IF(ISNUMBER(SEARCH("JPY",E95)),0.01,IF(ISNUMBER(SEARCH("XAU",E95)),0.01,IF(OR(ISNUMBER(SEARCH("30",E95)),ISNUMBER(SEARCH("500",E95)),ISNUMBER(SEARCH("100",E95))),1,0.0001))),0))</f>
        <v/>
      </c>
      <c r="Q95" s="27" t="str">
        <f aca="false">IF(K95="","",SETTINGS!$B$6*O95)</f>
        <v/>
      </c>
      <c r="R95" s="24" t="str">
        <f aca="false">IF(K95="","",IFERROR(Q95/(P95*IF(ISNUMBER(SEARCH("JPY",E95)),9.09,IF(ISNUMBER(SEARCH("XAU",E95)),1,IF(OR(ISNUMBER(SEARCH("30",E95)),ISNUMBER(SEARCH("500",E95)),ISNUMBER(SEARCH("100",E95))),1,10)))),0))</f>
        <v/>
      </c>
      <c r="S95" s="12"/>
      <c r="T95" s="36"/>
      <c r="U95" s="27" t="str">
        <f aca="false">IF(OR(S95="",T95=0),"",IFERROR((S95-K95)*IF(F95="Sell",-1,1)*R95*T95*IF(ISNUMBER(SEARCH("JPY",E95)),1000,IF(ISNUMBER(SEARCH("XAU",E95)),100,IF(OR(ISNUMBER(SEARCH("30",E95)),ISNUMBER(SEARCH("500",E95)),ISNUMBER(SEARCH("100",E95))),100,100000))),0))</f>
        <v/>
      </c>
      <c r="V95" s="12"/>
      <c r="W95" s="36"/>
      <c r="X95" s="27" t="str">
        <f aca="false">IF(OR(V95="",W95=0),"",IFERROR((V95-K95)*IF(F95="Sell",-1,1)*R95*W95*IF(ISNUMBER(SEARCH("JPY",E95)),1000,IF(ISNUMBER(SEARCH("XAU",E95)),100,IF(OR(ISNUMBER(SEARCH("30",E95)),ISNUMBER(SEARCH("500",E95)),ISNUMBER(SEARCH("100",E95))),100,100000))),0))</f>
        <v/>
      </c>
      <c r="Y95" s="12"/>
      <c r="Z95" s="36"/>
      <c r="AA95" s="27" t="str">
        <f aca="false">IF(OR(Y95="",Z95=0),"",IFERROR((Y95-K95)*IF(F95="Sell",-1,1)*R95*Z95*IF(ISNUMBER(SEARCH("JPY",E95)),1000,IF(ISNUMBER(SEARCH("XAU",E95)),100,IF(OR(ISNUMBER(SEARCH("30",E95)),ISNUMBER(SEARCH("500",E95)),ISNUMBER(SEARCH("100",E95))),100,100000))),0))</f>
        <v/>
      </c>
      <c r="AB95" s="12"/>
      <c r="AC95" s="29" t="str">
        <f aca="false">IF(K95="","",1-IFERROR(T95,0)-IFERROR(W95,0)-IFERROR(Z95,0))</f>
        <v/>
      </c>
      <c r="AD95" s="30" t="str">
        <f aca="false">IF(AB95="","",IFERROR((IFERROR(S95*T95,0)+IFERROR(V95*W95,0)+IFERROR(Y95*Z95,0)+AB95*AC95)/(IFERROR(T95,0)+IFERROR(W95,0)+IFERROR(Z95,0)+AC95),AB95))</f>
        <v/>
      </c>
      <c r="AE95" s="27" t="str">
        <f aca="false">IF(AB95="","",IF(U95="",0,U95)+IF(X95="",0,X95)+IF(AA95="",0,AA95)+IFERROR((AB95-K95)*IF(F95="Sell",-1,1)*R95*AC95*IF(ISNUMBER(SEARCH("JPY",E95)),1000,IF(ISNUMBER(SEARCH("XAU",E95)),100,IF(OR(ISNUMBER(SEARCH("30",E95)),ISNUMBER(SEARCH("500",E95)),ISNUMBER(SEARCH("100",E95))),100,100000))),0))</f>
        <v/>
      </c>
      <c r="AF95" s="31" t="str">
        <f aca="false">IF(OR(K95="",M95="",L95=""),"",IFERROR(ABS(M95-K95)/ABS(K95-L95),0))</f>
        <v/>
      </c>
      <c r="AG95" s="31" t="str">
        <f aca="false">IF(OR(AE95="",AE95=0,Q95=0,Q95=""),"",IFERROR(AE95/Q95,0))</f>
        <v/>
      </c>
      <c r="AH95" s="32" t="str">
        <f aca="false">IF(AB95="","Open",IF(AG95="","Open",IF(AG95&gt;0.1,"Win",IF(AG95&lt;-0.1,"Loss","Breakeven"))))</f>
        <v>Open</v>
      </c>
      <c r="AI95" s="33" t="str">
        <f aca="false">IF(OR(B95="",D95=""),"",D95-B95)</f>
        <v/>
      </c>
      <c r="AJ95" s="24" t="str">
        <f aca="false">IF(AD95="","",IFERROR((AD95-K95)*IF(F95="Sell",-1,1)/IF(ISNUMBER(SEARCH("JPY",E95)),0.01,IF(ISNUMBER(SEARCH("XAU",E95)),0.01,IF(OR(ISNUMBER(SEARCH("30",E95)),ISNUMBER(SEARCH("500",E95)),ISNUMBER(SEARCH("100",E95))),1,0.0001))),0))</f>
        <v/>
      </c>
      <c r="AK95" s="12"/>
      <c r="AL95" s="12"/>
      <c r="AM95" s="12"/>
      <c r="AN95" s="12"/>
      <c r="AO95" s="27" t="str">
        <f aca="false">IF(AE95="","",IFERROR(IF(AO94="",SETTINGS!$B$6,AO94),SETTINGS!$B$6)+IF(AE95="",0,AE95))</f>
        <v/>
      </c>
      <c r="AP95" s="2"/>
    </row>
    <row r="96" customFormat="false" ht="15" hidden="false" customHeight="false" outlineLevel="0" collapsed="false">
      <c r="A96" s="24" t="str">
        <f aca="false">IF(B96="","",ROW()-3)</f>
        <v/>
      </c>
      <c r="B96" s="25"/>
      <c r="C96" s="10"/>
      <c r="D96" s="25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6"/>
      <c r="P96" s="24" t="str">
        <f aca="false">IF(K96="","",IFERROR(ABS(K96-L96)/IF(ISNUMBER(SEARCH("JPY",E96)),0.01,IF(ISNUMBER(SEARCH("XAU",E96)),0.01,IF(OR(ISNUMBER(SEARCH("30",E96)),ISNUMBER(SEARCH("500",E96)),ISNUMBER(SEARCH("100",E96))),1,0.0001))),0))</f>
        <v/>
      </c>
      <c r="Q96" s="27" t="str">
        <f aca="false">IF(K96="","",SETTINGS!$B$6*O96)</f>
        <v/>
      </c>
      <c r="R96" s="24" t="str">
        <f aca="false">IF(K96="","",IFERROR(Q96/(P96*IF(ISNUMBER(SEARCH("JPY",E96)),9.09,IF(ISNUMBER(SEARCH("XAU",E96)),1,IF(OR(ISNUMBER(SEARCH("30",E96)),ISNUMBER(SEARCH("500",E96)),ISNUMBER(SEARCH("100",E96))),1,10)))),0))</f>
        <v/>
      </c>
      <c r="S96" s="10"/>
      <c r="T96" s="28"/>
      <c r="U96" s="27" t="str">
        <f aca="false">IF(OR(S96="",T96=0),"",IFERROR((S96-K96)*IF(F96="Sell",-1,1)*R96*T96*IF(ISNUMBER(SEARCH("JPY",E96)),1000,IF(ISNUMBER(SEARCH("XAU",E96)),100,IF(OR(ISNUMBER(SEARCH("30",E96)),ISNUMBER(SEARCH("500",E96)),ISNUMBER(SEARCH("100",E96))),100,100000))),0))</f>
        <v/>
      </c>
      <c r="V96" s="10"/>
      <c r="W96" s="28"/>
      <c r="X96" s="27" t="str">
        <f aca="false">IF(OR(V96="",W96=0),"",IFERROR((V96-K96)*IF(F96="Sell",-1,1)*R96*W96*IF(ISNUMBER(SEARCH("JPY",E96)),1000,IF(ISNUMBER(SEARCH("XAU",E96)),100,IF(OR(ISNUMBER(SEARCH("30",E96)),ISNUMBER(SEARCH("500",E96)),ISNUMBER(SEARCH("100",E96))),100,100000))),0))</f>
        <v/>
      </c>
      <c r="Y96" s="10"/>
      <c r="Z96" s="28"/>
      <c r="AA96" s="27" t="str">
        <f aca="false">IF(OR(Y96="",Z96=0),"",IFERROR((Y96-K96)*IF(F96="Sell",-1,1)*R96*Z96*IF(ISNUMBER(SEARCH("JPY",E96)),1000,IF(ISNUMBER(SEARCH("XAU",E96)),100,IF(OR(ISNUMBER(SEARCH("30",E96)),ISNUMBER(SEARCH("500",E96)),ISNUMBER(SEARCH("100",E96))),100,100000))),0))</f>
        <v/>
      </c>
      <c r="AB96" s="10"/>
      <c r="AC96" s="29" t="str">
        <f aca="false">IF(K96="","",1-IFERROR(T96,0)-IFERROR(W96,0)-IFERROR(Z96,0))</f>
        <v/>
      </c>
      <c r="AD96" s="30" t="str">
        <f aca="false">IF(AB96="","",IFERROR((IFERROR(S96*T96,0)+IFERROR(V96*W96,0)+IFERROR(Y96*Z96,0)+AB96*AC96)/(IFERROR(T96,0)+IFERROR(W96,0)+IFERROR(Z96,0)+AC96),AB96))</f>
        <v/>
      </c>
      <c r="AE96" s="27" t="str">
        <f aca="false">IF(AB96="","",IF(U96="",0,U96)+IF(X96="",0,X96)+IF(AA96="",0,AA96)+IFERROR((AB96-K96)*IF(F96="Sell",-1,1)*R96*AC96*IF(ISNUMBER(SEARCH("JPY",E96)),1000,IF(ISNUMBER(SEARCH("XAU",E96)),100,IF(OR(ISNUMBER(SEARCH("30",E96)),ISNUMBER(SEARCH("500",E96)),ISNUMBER(SEARCH("100",E96))),100,100000))),0))</f>
        <v/>
      </c>
      <c r="AF96" s="31" t="str">
        <f aca="false">IF(OR(K96="",M96="",L96=""),"",IFERROR(ABS(M96-K96)/ABS(K96-L96),0))</f>
        <v/>
      </c>
      <c r="AG96" s="31" t="str">
        <f aca="false">IF(OR(AE96="",AE96=0,Q96=0,Q96=""),"",IFERROR(AE96/Q96,0))</f>
        <v/>
      </c>
      <c r="AH96" s="32" t="str">
        <f aca="false">IF(AB96="","Open",IF(AG96="","Open",IF(AG96&gt;0.1,"Win",IF(AG96&lt;-0.1,"Loss","Breakeven"))))</f>
        <v>Open</v>
      </c>
      <c r="AI96" s="33" t="str">
        <f aca="false">IF(OR(B96="",D96=""),"",D96-B96)</f>
        <v/>
      </c>
      <c r="AJ96" s="24" t="str">
        <f aca="false">IF(AD96="","",IFERROR((AD96-K96)*IF(F96="Sell",-1,1)/IF(ISNUMBER(SEARCH("JPY",E96)),0.01,IF(ISNUMBER(SEARCH("XAU",E96)),0.01,IF(OR(ISNUMBER(SEARCH("30",E96)),ISNUMBER(SEARCH("500",E96)),ISNUMBER(SEARCH("100",E96))),1,0.0001))),0))</f>
        <v/>
      </c>
      <c r="AK96" s="10"/>
      <c r="AL96" s="10"/>
      <c r="AM96" s="10"/>
      <c r="AN96" s="10"/>
      <c r="AO96" s="27" t="str">
        <f aca="false">IF(AE96="","",IFERROR(IF(AO95="",SETTINGS!$B$6,AO95),SETTINGS!$B$6)+IF(AE96="",0,AE96))</f>
        <v/>
      </c>
      <c r="AP96" s="2"/>
    </row>
    <row r="97" customFormat="false" ht="15" hidden="false" customHeight="false" outlineLevel="0" collapsed="false">
      <c r="A97" s="24" t="str">
        <f aca="false">IF(B97="","",ROW()-3)</f>
        <v/>
      </c>
      <c r="B97" s="34"/>
      <c r="C97" s="12"/>
      <c r="D97" s="34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35"/>
      <c r="P97" s="24" t="str">
        <f aca="false">IF(K97="","",IFERROR(ABS(K97-L97)/IF(ISNUMBER(SEARCH("JPY",E97)),0.01,IF(ISNUMBER(SEARCH("XAU",E97)),0.01,IF(OR(ISNUMBER(SEARCH("30",E97)),ISNUMBER(SEARCH("500",E97)),ISNUMBER(SEARCH("100",E97))),1,0.0001))),0))</f>
        <v/>
      </c>
      <c r="Q97" s="27" t="str">
        <f aca="false">IF(K97="","",SETTINGS!$B$6*O97)</f>
        <v/>
      </c>
      <c r="R97" s="24" t="str">
        <f aca="false">IF(K97="","",IFERROR(Q97/(P97*IF(ISNUMBER(SEARCH("JPY",E97)),9.09,IF(ISNUMBER(SEARCH("XAU",E97)),1,IF(OR(ISNUMBER(SEARCH("30",E97)),ISNUMBER(SEARCH("500",E97)),ISNUMBER(SEARCH("100",E97))),1,10)))),0))</f>
        <v/>
      </c>
      <c r="S97" s="12"/>
      <c r="T97" s="36"/>
      <c r="U97" s="27" t="str">
        <f aca="false">IF(OR(S97="",T97=0),"",IFERROR((S97-K97)*IF(F97="Sell",-1,1)*R97*T97*IF(ISNUMBER(SEARCH("JPY",E97)),1000,IF(ISNUMBER(SEARCH("XAU",E97)),100,IF(OR(ISNUMBER(SEARCH("30",E97)),ISNUMBER(SEARCH("500",E97)),ISNUMBER(SEARCH("100",E97))),100,100000))),0))</f>
        <v/>
      </c>
      <c r="V97" s="12"/>
      <c r="W97" s="36"/>
      <c r="X97" s="27" t="str">
        <f aca="false">IF(OR(V97="",W97=0),"",IFERROR((V97-K97)*IF(F97="Sell",-1,1)*R97*W97*IF(ISNUMBER(SEARCH("JPY",E97)),1000,IF(ISNUMBER(SEARCH("XAU",E97)),100,IF(OR(ISNUMBER(SEARCH("30",E97)),ISNUMBER(SEARCH("500",E97)),ISNUMBER(SEARCH("100",E97))),100,100000))),0))</f>
        <v/>
      </c>
      <c r="Y97" s="12"/>
      <c r="Z97" s="36"/>
      <c r="AA97" s="27" t="str">
        <f aca="false">IF(OR(Y97="",Z97=0),"",IFERROR((Y97-K97)*IF(F97="Sell",-1,1)*R97*Z97*IF(ISNUMBER(SEARCH("JPY",E97)),1000,IF(ISNUMBER(SEARCH("XAU",E97)),100,IF(OR(ISNUMBER(SEARCH("30",E97)),ISNUMBER(SEARCH("500",E97)),ISNUMBER(SEARCH("100",E97))),100,100000))),0))</f>
        <v/>
      </c>
      <c r="AB97" s="12"/>
      <c r="AC97" s="29" t="str">
        <f aca="false">IF(K97="","",1-IFERROR(T97,0)-IFERROR(W97,0)-IFERROR(Z97,0))</f>
        <v/>
      </c>
      <c r="AD97" s="30" t="str">
        <f aca="false">IF(AB97="","",IFERROR((IFERROR(S97*T97,0)+IFERROR(V97*W97,0)+IFERROR(Y97*Z97,0)+AB97*AC97)/(IFERROR(T97,0)+IFERROR(W97,0)+IFERROR(Z97,0)+AC97),AB97))</f>
        <v/>
      </c>
      <c r="AE97" s="27" t="str">
        <f aca="false">IF(AB97="","",IF(U97="",0,U97)+IF(X97="",0,X97)+IF(AA97="",0,AA97)+IFERROR((AB97-K97)*IF(F97="Sell",-1,1)*R97*AC97*IF(ISNUMBER(SEARCH("JPY",E97)),1000,IF(ISNUMBER(SEARCH("XAU",E97)),100,IF(OR(ISNUMBER(SEARCH("30",E97)),ISNUMBER(SEARCH("500",E97)),ISNUMBER(SEARCH("100",E97))),100,100000))),0))</f>
        <v/>
      </c>
      <c r="AF97" s="31" t="str">
        <f aca="false">IF(OR(K97="",M97="",L97=""),"",IFERROR(ABS(M97-K97)/ABS(K97-L97),0))</f>
        <v/>
      </c>
      <c r="AG97" s="31" t="str">
        <f aca="false">IF(OR(AE97="",AE97=0,Q97=0,Q97=""),"",IFERROR(AE97/Q97,0))</f>
        <v/>
      </c>
      <c r="AH97" s="32" t="str">
        <f aca="false">IF(AB97="","Open",IF(AG97="","Open",IF(AG97&gt;0.1,"Win",IF(AG97&lt;-0.1,"Loss","Breakeven"))))</f>
        <v>Open</v>
      </c>
      <c r="AI97" s="33" t="str">
        <f aca="false">IF(OR(B97="",D97=""),"",D97-B97)</f>
        <v/>
      </c>
      <c r="AJ97" s="24" t="str">
        <f aca="false">IF(AD97="","",IFERROR((AD97-K97)*IF(F97="Sell",-1,1)/IF(ISNUMBER(SEARCH("JPY",E97)),0.01,IF(ISNUMBER(SEARCH("XAU",E97)),0.01,IF(OR(ISNUMBER(SEARCH("30",E97)),ISNUMBER(SEARCH("500",E97)),ISNUMBER(SEARCH("100",E97))),1,0.0001))),0))</f>
        <v/>
      </c>
      <c r="AK97" s="12"/>
      <c r="AL97" s="12"/>
      <c r="AM97" s="12"/>
      <c r="AN97" s="12"/>
      <c r="AO97" s="27" t="str">
        <f aca="false">IF(AE97="","",IFERROR(IF(AO96="",SETTINGS!$B$6,AO96),SETTINGS!$B$6)+IF(AE97="",0,AE97))</f>
        <v/>
      </c>
      <c r="AP97" s="2"/>
    </row>
    <row r="98" customFormat="false" ht="15" hidden="false" customHeight="false" outlineLevel="0" collapsed="false">
      <c r="A98" s="24" t="str">
        <f aca="false">IF(B98="","",ROW()-3)</f>
        <v/>
      </c>
      <c r="B98" s="25"/>
      <c r="C98" s="10"/>
      <c r="D98" s="25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26"/>
      <c r="P98" s="24" t="str">
        <f aca="false">IF(K98="","",IFERROR(ABS(K98-L98)/IF(ISNUMBER(SEARCH("JPY",E98)),0.01,IF(ISNUMBER(SEARCH("XAU",E98)),0.01,IF(OR(ISNUMBER(SEARCH("30",E98)),ISNUMBER(SEARCH("500",E98)),ISNUMBER(SEARCH("100",E98))),1,0.0001))),0))</f>
        <v/>
      </c>
      <c r="Q98" s="27" t="str">
        <f aca="false">IF(K98="","",SETTINGS!$B$6*O98)</f>
        <v/>
      </c>
      <c r="R98" s="24" t="str">
        <f aca="false">IF(K98="","",IFERROR(Q98/(P98*IF(ISNUMBER(SEARCH("JPY",E98)),9.09,IF(ISNUMBER(SEARCH("XAU",E98)),1,IF(OR(ISNUMBER(SEARCH("30",E98)),ISNUMBER(SEARCH("500",E98)),ISNUMBER(SEARCH("100",E98))),1,10)))),0))</f>
        <v/>
      </c>
      <c r="S98" s="10"/>
      <c r="T98" s="28"/>
      <c r="U98" s="27" t="str">
        <f aca="false">IF(OR(S98="",T98=0),"",IFERROR((S98-K98)*IF(F98="Sell",-1,1)*R98*T98*IF(ISNUMBER(SEARCH("JPY",E98)),1000,IF(ISNUMBER(SEARCH("XAU",E98)),100,IF(OR(ISNUMBER(SEARCH("30",E98)),ISNUMBER(SEARCH("500",E98)),ISNUMBER(SEARCH("100",E98))),100,100000))),0))</f>
        <v/>
      </c>
      <c r="V98" s="10"/>
      <c r="W98" s="28"/>
      <c r="X98" s="27" t="str">
        <f aca="false">IF(OR(V98="",W98=0),"",IFERROR((V98-K98)*IF(F98="Sell",-1,1)*R98*W98*IF(ISNUMBER(SEARCH("JPY",E98)),1000,IF(ISNUMBER(SEARCH("XAU",E98)),100,IF(OR(ISNUMBER(SEARCH("30",E98)),ISNUMBER(SEARCH("500",E98)),ISNUMBER(SEARCH("100",E98))),100,100000))),0))</f>
        <v/>
      </c>
      <c r="Y98" s="10"/>
      <c r="Z98" s="28"/>
      <c r="AA98" s="27" t="str">
        <f aca="false">IF(OR(Y98="",Z98=0),"",IFERROR((Y98-K98)*IF(F98="Sell",-1,1)*R98*Z98*IF(ISNUMBER(SEARCH("JPY",E98)),1000,IF(ISNUMBER(SEARCH("XAU",E98)),100,IF(OR(ISNUMBER(SEARCH("30",E98)),ISNUMBER(SEARCH("500",E98)),ISNUMBER(SEARCH("100",E98))),100,100000))),0))</f>
        <v/>
      </c>
      <c r="AB98" s="10"/>
      <c r="AC98" s="29" t="str">
        <f aca="false">IF(K98="","",1-IFERROR(T98,0)-IFERROR(W98,0)-IFERROR(Z98,0))</f>
        <v/>
      </c>
      <c r="AD98" s="30" t="str">
        <f aca="false">IF(AB98="","",IFERROR((IFERROR(S98*T98,0)+IFERROR(V98*W98,0)+IFERROR(Y98*Z98,0)+AB98*AC98)/(IFERROR(T98,0)+IFERROR(W98,0)+IFERROR(Z98,0)+AC98),AB98))</f>
        <v/>
      </c>
      <c r="AE98" s="27" t="str">
        <f aca="false">IF(AB98="","",IF(U98="",0,U98)+IF(X98="",0,X98)+IF(AA98="",0,AA98)+IFERROR((AB98-K98)*IF(F98="Sell",-1,1)*R98*AC98*IF(ISNUMBER(SEARCH("JPY",E98)),1000,IF(ISNUMBER(SEARCH("XAU",E98)),100,IF(OR(ISNUMBER(SEARCH("30",E98)),ISNUMBER(SEARCH("500",E98)),ISNUMBER(SEARCH("100",E98))),100,100000))),0))</f>
        <v/>
      </c>
      <c r="AF98" s="31" t="str">
        <f aca="false">IF(OR(K98="",M98="",L98=""),"",IFERROR(ABS(M98-K98)/ABS(K98-L98),0))</f>
        <v/>
      </c>
      <c r="AG98" s="31" t="str">
        <f aca="false">IF(OR(AE98="",AE98=0,Q98=0,Q98=""),"",IFERROR(AE98/Q98,0))</f>
        <v/>
      </c>
      <c r="AH98" s="32" t="str">
        <f aca="false">IF(AB98="","Open",IF(AG98="","Open",IF(AG98&gt;0.1,"Win",IF(AG98&lt;-0.1,"Loss","Breakeven"))))</f>
        <v>Open</v>
      </c>
      <c r="AI98" s="33" t="str">
        <f aca="false">IF(OR(B98="",D98=""),"",D98-B98)</f>
        <v/>
      </c>
      <c r="AJ98" s="24" t="str">
        <f aca="false">IF(AD98="","",IFERROR((AD98-K98)*IF(F98="Sell",-1,1)/IF(ISNUMBER(SEARCH("JPY",E98)),0.01,IF(ISNUMBER(SEARCH("XAU",E98)),0.01,IF(OR(ISNUMBER(SEARCH("30",E98)),ISNUMBER(SEARCH("500",E98)),ISNUMBER(SEARCH("100",E98))),1,0.0001))),0))</f>
        <v/>
      </c>
      <c r="AK98" s="10"/>
      <c r="AL98" s="10"/>
      <c r="AM98" s="10"/>
      <c r="AN98" s="10"/>
      <c r="AO98" s="27" t="str">
        <f aca="false">IF(AE98="","",IFERROR(IF(AO97="",SETTINGS!$B$6,AO97),SETTINGS!$B$6)+IF(AE98="",0,AE98))</f>
        <v/>
      </c>
      <c r="AP98" s="2"/>
    </row>
    <row r="99" customFormat="false" ht="15" hidden="false" customHeight="false" outlineLevel="0" collapsed="false">
      <c r="A99" s="24" t="str">
        <f aca="false">IF(B99="","",ROW()-3)</f>
        <v/>
      </c>
      <c r="B99" s="34"/>
      <c r="C99" s="12"/>
      <c r="D99" s="34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35"/>
      <c r="P99" s="24" t="str">
        <f aca="false">IF(K99="","",IFERROR(ABS(K99-L99)/IF(ISNUMBER(SEARCH("JPY",E99)),0.01,IF(ISNUMBER(SEARCH("XAU",E99)),0.01,IF(OR(ISNUMBER(SEARCH("30",E99)),ISNUMBER(SEARCH("500",E99)),ISNUMBER(SEARCH("100",E99))),1,0.0001))),0))</f>
        <v/>
      </c>
      <c r="Q99" s="27" t="str">
        <f aca="false">IF(K99="","",SETTINGS!$B$6*O99)</f>
        <v/>
      </c>
      <c r="R99" s="24" t="str">
        <f aca="false">IF(K99="","",IFERROR(Q99/(P99*IF(ISNUMBER(SEARCH("JPY",E99)),9.09,IF(ISNUMBER(SEARCH("XAU",E99)),1,IF(OR(ISNUMBER(SEARCH("30",E99)),ISNUMBER(SEARCH("500",E99)),ISNUMBER(SEARCH("100",E99))),1,10)))),0))</f>
        <v/>
      </c>
      <c r="S99" s="12"/>
      <c r="T99" s="36"/>
      <c r="U99" s="27" t="str">
        <f aca="false">IF(OR(S99="",T99=0),"",IFERROR((S99-K99)*IF(F99="Sell",-1,1)*R99*T99*IF(ISNUMBER(SEARCH("JPY",E99)),1000,IF(ISNUMBER(SEARCH("XAU",E99)),100,IF(OR(ISNUMBER(SEARCH("30",E99)),ISNUMBER(SEARCH("500",E99)),ISNUMBER(SEARCH("100",E99))),100,100000))),0))</f>
        <v/>
      </c>
      <c r="V99" s="12"/>
      <c r="W99" s="36"/>
      <c r="X99" s="27" t="str">
        <f aca="false">IF(OR(V99="",W99=0),"",IFERROR((V99-K99)*IF(F99="Sell",-1,1)*R99*W99*IF(ISNUMBER(SEARCH("JPY",E99)),1000,IF(ISNUMBER(SEARCH("XAU",E99)),100,IF(OR(ISNUMBER(SEARCH("30",E99)),ISNUMBER(SEARCH("500",E99)),ISNUMBER(SEARCH("100",E99))),100,100000))),0))</f>
        <v/>
      </c>
      <c r="Y99" s="12"/>
      <c r="Z99" s="36"/>
      <c r="AA99" s="27" t="str">
        <f aca="false">IF(OR(Y99="",Z99=0),"",IFERROR((Y99-K99)*IF(F99="Sell",-1,1)*R99*Z99*IF(ISNUMBER(SEARCH("JPY",E99)),1000,IF(ISNUMBER(SEARCH("XAU",E99)),100,IF(OR(ISNUMBER(SEARCH("30",E99)),ISNUMBER(SEARCH("500",E99)),ISNUMBER(SEARCH("100",E99))),100,100000))),0))</f>
        <v/>
      </c>
      <c r="AB99" s="12"/>
      <c r="AC99" s="29" t="str">
        <f aca="false">IF(K99="","",1-IFERROR(T99,0)-IFERROR(W99,0)-IFERROR(Z99,0))</f>
        <v/>
      </c>
      <c r="AD99" s="30" t="str">
        <f aca="false">IF(AB99="","",IFERROR((IFERROR(S99*T99,0)+IFERROR(V99*W99,0)+IFERROR(Y99*Z99,0)+AB99*AC99)/(IFERROR(T99,0)+IFERROR(W99,0)+IFERROR(Z99,0)+AC99),AB99))</f>
        <v/>
      </c>
      <c r="AE99" s="27" t="str">
        <f aca="false">IF(AB99="","",IF(U99="",0,U99)+IF(X99="",0,X99)+IF(AA99="",0,AA99)+IFERROR((AB99-K99)*IF(F99="Sell",-1,1)*R99*AC99*IF(ISNUMBER(SEARCH("JPY",E99)),1000,IF(ISNUMBER(SEARCH("XAU",E99)),100,IF(OR(ISNUMBER(SEARCH("30",E99)),ISNUMBER(SEARCH("500",E99)),ISNUMBER(SEARCH("100",E99))),100,100000))),0))</f>
        <v/>
      </c>
      <c r="AF99" s="31" t="str">
        <f aca="false">IF(OR(K99="",M99="",L99=""),"",IFERROR(ABS(M99-K99)/ABS(K99-L99),0))</f>
        <v/>
      </c>
      <c r="AG99" s="31" t="str">
        <f aca="false">IF(OR(AE99="",AE99=0,Q99=0,Q99=""),"",IFERROR(AE99/Q99,0))</f>
        <v/>
      </c>
      <c r="AH99" s="32" t="str">
        <f aca="false">IF(AB99="","Open",IF(AG99="","Open",IF(AG99&gt;0.1,"Win",IF(AG99&lt;-0.1,"Loss","Breakeven"))))</f>
        <v>Open</v>
      </c>
      <c r="AI99" s="33" t="str">
        <f aca="false">IF(OR(B99="",D99=""),"",D99-B99)</f>
        <v/>
      </c>
      <c r="AJ99" s="24" t="str">
        <f aca="false">IF(AD99="","",IFERROR((AD99-K99)*IF(F99="Sell",-1,1)/IF(ISNUMBER(SEARCH("JPY",E99)),0.01,IF(ISNUMBER(SEARCH("XAU",E99)),0.01,IF(OR(ISNUMBER(SEARCH("30",E99)),ISNUMBER(SEARCH("500",E99)),ISNUMBER(SEARCH("100",E99))),1,0.0001))),0))</f>
        <v/>
      </c>
      <c r="AK99" s="12"/>
      <c r="AL99" s="12"/>
      <c r="AM99" s="12"/>
      <c r="AN99" s="12"/>
      <c r="AO99" s="27" t="str">
        <f aca="false">IF(AE99="","",IFERROR(IF(AO98="",SETTINGS!$B$6,AO98),SETTINGS!$B$6)+IF(AE99="",0,AE99))</f>
        <v/>
      </c>
      <c r="AP99" s="2"/>
    </row>
    <row r="100" customFormat="false" ht="15" hidden="false" customHeight="false" outlineLevel="0" collapsed="false">
      <c r="A100" s="24" t="str">
        <f aca="false">IF(B100="","",ROW()-3)</f>
        <v/>
      </c>
      <c r="B100" s="25"/>
      <c r="C100" s="10"/>
      <c r="D100" s="25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6"/>
      <c r="P100" s="24" t="str">
        <f aca="false">IF(K100="","",IFERROR(ABS(K100-L100)/IF(ISNUMBER(SEARCH("JPY",E100)),0.01,IF(ISNUMBER(SEARCH("XAU",E100)),0.01,IF(OR(ISNUMBER(SEARCH("30",E100)),ISNUMBER(SEARCH("500",E100)),ISNUMBER(SEARCH("100",E100))),1,0.0001))),0))</f>
        <v/>
      </c>
      <c r="Q100" s="27" t="str">
        <f aca="false">IF(K100="","",SETTINGS!$B$6*O100)</f>
        <v/>
      </c>
      <c r="R100" s="24" t="str">
        <f aca="false">IF(K100="","",IFERROR(Q100/(P100*IF(ISNUMBER(SEARCH("JPY",E100)),9.09,IF(ISNUMBER(SEARCH("XAU",E100)),1,IF(OR(ISNUMBER(SEARCH("30",E100)),ISNUMBER(SEARCH("500",E100)),ISNUMBER(SEARCH("100",E100))),1,10)))),0))</f>
        <v/>
      </c>
      <c r="S100" s="10"/>
      <c r="T100" s="28"/>
      <c r="U100" s="27" t="str">
        <f aca="false">IF(OR(S100="",T100=0),"",IFERROR((S100-K100)*IF(F100="Sell",-1,1)*R100*T100*IF(ISNUMBER(SEARCH("JPY",E100)),1000,IF(ISNUMBER(SEARCH("XAU",E100)),100,IF(OR(ISNUMBER(SEARCH("30",E100)),ISNUMBER(SEARCH("500",E100)),ISNUMBER(SEARCH("100",E100))),100,100000))),0))</f>
        <v/>
      </c>
      <c r="V100" s="10"/>
      <c r="W100" s="28"/>
      <c r="X100" s="27" t="str">
        <f aca="false">IF(OR(V100="",W100=0),"",IFERROR((V100-K100)*IF(F100="Sell",-1,1)*R100*W100*IF(ISNUMBER(SEARCH("JPY",E100)),1000,IF(ISNUMBER(SEARCH("XAU",E100)),100,IF(OR(ISNUMBER(SEARCH("30",E100)),ISNUMBER(SEARCH("500",E100)),ISNUMBER(SEARCH("100",E100))),100,100000))),0))</f>
        <v/>
      </c>
      <c r="Y100" s="10"/>
      <c r="Z100" s="28"/>
      <c r="AA100" s="27" t="str">
        <f aca="false">IF(OR(Y100="",Z100=0),"",IFERROR((Y100-K100)*IF(F100="Sell",-1,1)*R100*Z100*IF(ISNUMBER(SEARCH("JPY",E100)),1000,IF(ISNUMBER(SEARCH("XAU",E100)),100,IF(OR(ISNUMBER(SEARCH("30",E100)),ISNUMBER(SEARCH("500",E100)),ISNUMBER(SEARCH("100",E100))),100,100000))),0))</f>
        <v/>
      </c>
      <c r="AB100" s="10"/>
      <c r="AC100" s="29" t="str">
        <f aca="false">IF(K100="","",1-IFERROR(T100,0)-IFERROR(W100,0)-IFERROR(Z100,0))</f>
        <v/>
      </c>
      <c r="AD100" s="30" t="str">
        <f aca="false">IF(AB100="","",IFERROR((IFERROR(S100*T100,0)+IFERROR(V100*W100,0)+IFERROR(Y100*Z100,0)+AB100*AC100)/(IFERROR(T100,0)+IFERROR(W100,0)+IFERROR(Z100,0)+AC100),AB100))</f>
        <v/>
      </c>
      <c r="AE100" s="27" t="str">
        <f aca="false">IF(AB100="","",IF(U100="",0,U100)+IF(X100="",0,X100)+IF(AA100="",0,AA100)+IFERROR((AB100-K100)*IF(F100="Sell",-1,1)*R100*AC100*IF(ISNUMBER(SEARCH("JPY",E100)),1000,IF(ISNUMBER(SEARCH("XAU",E100)),100,IF(OR(ISNUMBER(SEARCH("30",E100)),ISNUMBER(SEARCH("500",E100)),ISNUMBER(SEARCH("100",E100))),100,100000))),0))</f>
        <v/>
      </c>
      <c r="AF100" s="31" t="str">
        <f aca="false">IF(OR(K100="",M100="",L100=""),"",IFERROR(ABS(M100-K100)/ABS(K100-L100),0))</f>
        <v/>
      </c>
      <c r="AG100" s="31" t="str">
        <f aca="false">IF(OR(AE100="",AE100=0,Q100=0,Q100=""),"",IFERROR(AE100/Q100,0))</f>
        <v/>
      </c>
      <c r="AH100" s="32" t="str">
        <f aca="false">IF(AB100="","Open",IF(AG100="","Open",IF(AG100&gt;0.1,"Win",IF(AG100&lt;-0.1,"Loss","Breakeven"))))</f>
        <v>Open</v>
      </c>
      <c r="AI100" s="33" t="str">
        <f aca="false">IF(OR(B100="",D100=""),"",D100-B100)</f>
        <v/>
      </c>
      <c r="AJ100" s="24" t="str">
        <f aca="false">IF(AD100="","",IFERROR((AD100-K100)*IF(F100="Sell",-1,1)/IF(ISNUMBER(SEARCH("JPY",E100)),0.01,IF(ISNUMBER(SEARCH("XAU",E100)),0.01,IF(OR(ISNUMBER(SEARCH("30",E100)),ISNUMBER(SEARCH("500",E100)),ISNUMBER(SEARCH("100",E100))),1,0.0001))),0))</f>
        <v/>
      </c>
      <c r="AK100" s="10"/>
      <c r="AL100" s="10"/>
      <c r="AM100" s="10"/>
      <c r="AN100" s="10"/>
      <c r="AO100" s="27" t="str">
        <f aca="false">IF(AE100="","",IFERROR(IF(AO99="",SETTINGS!$B$6,AO99),SETTINGS!$B$6)+IF(AE100="",0,AE100))</f>
        <v/>
      </c>
      <c r="AP100" s="2"/>
    </row>
    <row r="101" customFormat="false" ht="15" hidden="false" customHeight="false" outlineLevel="0" collapsed="false">
      <c r="A101" s="24" t="str">
        <f aca="false">IF(B101="","",ROW()-3)</f>
        <v/>
      </c>
      <c r="B101" s="34"/>
      <c r="C101" s="12"/>
      <c r="D101" s="34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35"/>
      <c r="P101" s="24" t="str">
        <f aca="false">IF(K101="","",IFERROR(ABS(K101-L101)/IF(ISNUMBER(SEARCH("JPY",E101)),0.01,IF(ISNUMBER(SEARCH("XAU",E101)),0.01,IF(OR(ISNUMBER(SEARCH("30",E101)),ISNUMBER(SEARCH("500",E101)),ISNUMBER(SEARCH("100",E101))),1,0.0001))),0))</f>
        <v/>
      </c>
      <c r="Q101" s="27" t="str">
        <f aca="false">IF(K101="","",SETTINGS!$B$6*O101)</f>
        <v/>
      </c>
      <c r="R101" s="24" t="str">
        <f aca="false">IF(K101="","",IFERROR(Q101/(P101*IF(ISNUMBER(SEARCH("JPY",E101)),9.09,IF(ISNUMBER(SEARCH("XAU",E101)),1,IF(OR(ISNUMBER(SEARCH("30",E101)),ISNUMBER(SEARCH("500",E101)),ISNUMBER(SEARCH("100",E101))),1,10)))),0))</f>
        <v/>
      </c>
      <c r="S101" s="12"/>
      <c r="T101" s="36"/>
      <c r="U101" s="27" t="str">
        <f aca="false">IF(OR(S101="",T101=0),"",IFERROR((S101-K101)*IF(F101="Sell",-1,1)*R101*T101*IF(ISNUMBER(SEARCH("JPY",E101)),1000,IF(ISNUMBER(SEARCH("XAU",E101)),100,IF(OR(ISNUMBER(SEARCH("30",E101)),ISNUMBER(SEARCH("500",E101)),ISNUMBER(SEARCH("100",E101))),100,100000))),0))</f>
        <v/>
      </c>
      <c r="V101" s="12"/>
      <c r="W101" s="36"/>
      <c r="X101" s="27" t="str">
        <f aca="false">IF(OR(V101="",W101=0),"",IFERROR((V101-K101)*IF(F101="Sell",-1,1)*R101*W101*IF(ISNUMBER(SEARCH("JPY",E101)),1000,IF(ISNUMBER(SEARCH("XAU",E101)),100,IF(OR(ISNUMBER(SEARCH("30",E101)),ISNUMBER(SEARCH("500",E101)),ISNUMBER(SEARCH("100",E101))),100,100000))),0))</f>
        <v/>
      </c>
      <c r="Y101" s="12"/>
      <c r="Z101" s="36"/>
      <c r="AA101" s="27" t="str">
        <f aca="false">IF(OR(Y101="",Z101=0),"",IFERROR((Y101-K101)*IF(F101="Sell",-1,1)*R101*Z101*IF(ISNUMBER(SEARCH("JPY",E101)),1000,IF(ISNUMBER(SEARCH("XAU",E101)),100,IF(OR(ISNUMBER(SEARCH("30",E101)),ISNUMBER(SEARCH("500",E101)),ISNUMBER(SEARCH("100",E101))),100,100000))),0))</f>
        <v/>
      </c>
      <c r="AB101" s="12"/>
      <c r="AC101" s="29" t="str">
        <f aca="false">IF(K101="","",1-IFERROR(T101,0)-IFERROR(W101,0)-IFERROR(Z101,0))</f>
        <v/>
      </c>
      <c r="AD101" s="30" t="str">
        <f aca="false">IF(AB101="","",IFERROR((IFERROR(S101*T101,0)+IFERROR(V101*W101,0)+IFERROR(Y101*Z101,0)+AB101*AC101)/(IFERROR(T101,0)+IFERROR(W101,0)+IFERROR(Z101,0)+AC101),AB101))</f>
        <v/>
      </c>
      <c r="AE101" s="27" t="str">
        <f aca="false">IF(AB101="","",IF(U101="",0,U101)+IF(X101="",0,X101)+IF(AA101="",0,AA101)+IFERROR((AB101-K101)*IF(F101="Sell",-1,1)*R101*AC101*IF(ISNUMBER(SEARCH("JPY",E101)),1000,IF(ISNUMBER(SEARCH("XAU",E101)),100,IF(OR(ISNUMBER(SEARCH("30",E101)),ISNUMBER(SEARCH("500",E101)),ISNUMBER(SEARCH("100",E101))),100,100000))),0))</f>
        <v/>
      </c>
      <c r="AF101" s="31" t="str">
        <f aca="false">IF(OR(K101="",M101="",L101=""),"",IFERROR(ABS(M101-K101)/ABS(K101-L101),0))</f>
        <v/>
      </c>
      <c r="AG101" s="31" t="str">
        <f aca="false">IF(OR(AE101="",AE101=0,Q101=0,Q101=""),"",IFERROR(AE101/Q101,0))</f>
        <v/>
      </c>
      <c r="AH101" s="32" t="str">
        <f aca="false">IF(AB101="","Open",IF(AG101="","Open",IF(AG101&gt;0.1,"Win",IF(AG101&lt;-0.1,"Loss","Breakeven"))))</f>
        <v>Open</v>
      </c>
      <c r="AI101" s="33" t="str">
        <f aca="false">IF(OR(B101="",D101=""),"",D101-B101)</f>
        <v/>
      </c>
      <c r="AJ101" s="24" t="str">
        <f aca="false">IF(AD101="","",IFERROR((AD101-K101)*IF(F101="Sell",-1,1)/IF(ISNUMBER(SEARCH("JPY",E101)),0.01,IF(ISNUMBER(SEARCH("XAU",E101)),0.01,IF(OR(ISNUMBER(SEARCH("30",E101)),ISNUMBER(SEARCH("500",E101)),ISNUMBER(SEARCH("100",E101))),1,0.0001))),0))</f>
        <v/>
      </c>
      <c r="AK101" s="12"/>
      <c r="AL101" s="12"/>
      <c r="AM101" s="12"/>
      <c r="AN101" s="12"/>
      <c r="AO101" s="27" t="str">
        <f aca="false">IF(AE101="","",IFERROR(IF(AO100="",SETTINGS!$B$6,AO100),SETTINGS!$B$6)+IF(AE101="",0,AE101))</f>
        <v/>
      </c>
      <c r="AP101" s="2"/>
    </row>
    <row r="102" customFormat="false" ht="15" hidden="false" customHeight="false" outlineLevel="0" collapsed="false">
      <c r="A102" s="24" t="str">
        <f aca="false">IF(B102="","",ROW()-3)</f>
        <v/>
      </c>
      <c r="B102" s="25"/>
      <c r="C102" s="10"/>
      <c r="D102" s="25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26"/>
      <c r="P102" s="24" t="str">
        <f aca="false">IF(K102="","",IFERROR(ABS(K102-L102)/IF(ISNUMBER(SEARCH("JPY",E102)),0.01,IF(ISNUMBER(SEARCH("XAU",E102)),0.01,IF(OR(ISNUMBER(SEARCH("30",E102)),ISNUMBER(SEARCH("500",E102)),ISNUMBER(SEARCH("100",E102))),1,0.0001))),0))</f>
        <v/>
      </c>
      <c r="Q102" s="27" t="str">
        <f aca="false">IF(K102="","",SETTINGS!$B$6*O102)</f>
        <v/>
      </c>
      <c r="R102" s="24" t="str">
        <f aca="false">IF(K102="","",IFERROR(Q102/(P102*IF(ISNUMBER(SEARCH("JPY",E102)),9.09,IF(ISNUMBER(SEARCH("XAU",E102)),1,IF(OR(ISNUMBER(SEARCH("30",E102)),ISNUMBER(SEARCH("500",E102)),ISNUMBER(SEARCH("100",E102))),1,10)))),0))</f>
        <v/>
      </c>
      <c r="S102" s="10"/>
      <c r="T102" s="28"/>
      <c r="U102" s="27" t="str">
        <f aca="false">IF(OR(S102="",T102=0),"",IFERROR((S102-K102)*IF(F102="Sell",-1,1)*R102*T102*IF(ISNUMBER(SEARCH("JPY",E102)),1000,IF(ISNUMBER(SEARCH("XAU",E102)),100,IF(OR(ISNUMBER(SEARCH("30",E102)),ISNUMBER(SEARCH("500",E102)),ISNUMBER(SEARCH("100",E102))),100,100000))),0))</f>
        <v/>
      </c>
      <c r="V102" s="10"/>
      <c r="W102" s="28"/>
      <c r="X102" s="27" t="str">
        <f aca="false">IF(OR(V102="",W102=0),"",IFERROR((V102-K102)*IF(F102="Sell",-1,1)*R102*W102*IF(ISNUMBER(SEARCH("JPY",E102)),1000,IF(ISNUMBER(SEARCH("XAU",E102)),100,IF(OR(ISNUMBER(SEARCH("30",E102)),ISNUMBER(SEARCH("500",E102)),ISNUMBER(SEARCH("100",E102))),100,100000))),0))</f>
        <v/>
      </c>
      <c r="Y102" s="10"/>
      <c r="Z102" s="28"/>
      <c r="AA102" s="27" t="str">
        <f aca="false">IF(OR(Y102="",Z102=0),"",IFERROR((Y102-K102)*IF(F102="Sell",-1,1)*R102*Z102*IF(ISNUMBER(SEARCH("JPY",E102)),1000,IF(ISNUMBER(SEARCH("XAU",E102)),100,IF(OR(ISNUMBER(SEARCH("30",E102)),ISNUMBER(SEARCH("500",E102)),ISNUMBER(SEARCH("100",E102))),100,100000))),0))</f>
        <v/>
      </c>
      <c r="AB102" s="10"/>
      <c r="AC102" s="29" t="str">
        <f aca="false">IF(K102="","",1-IFERROR(T102,0)-IFERROR(W102,0)-IFERROR(Z102,0))</f>
        <v/>
      </c>
      <c r="AD102" s="30" t="str">
        <f aca="false">IF(AB102="","",IFERROR((IFERROR(S102*T102,0)+IFERROR(V102*W102,0)+IFERROR(Y102*Z102,0)+AB102*AC102)/(IFERROR(T102,0)+IFERROR(W102,0)+IFERROR(Z102,0)+AC102),AB102))</f>
        <v/>
      </c>
      <c r="AE102" s="27" t="str">
        <f aca="false">IF(AB102="","",IF(U102="",0,U102)+IF(X102="",0,X102)+IF(AA102="",0,AA102)+IFERROR((AB102-K102)*IF(F102="Sell",-1,1)*R102*AC102*IF(ISNUMBER(SEARCH("JPY",E102)),1000,IF(ISNUMBER(SEARCH("XAU",E102)),100,IF(OR(ISNUMBER(SEARCH("30",E102)),ISNUMBER(SEARCH("500",E102)),ISNUMBER(SEARCH("100",E102))),100,100000))),0))</f>
        <v/>
      </c>
      <c r="AF102" s="31" t="str">
        <f aca="false">IF(OR(K102="",M102="",L102=""),"",IFERROR(ABS(M102-K102)/ABS(K102-L102),0))</f>
        <v/>
      </c>
      <c r="AG102" s="31" t="str">
        <f aca="false">IF(OR(AE102="",AE102=0,Q102=0,Q102=""),"",IFERROR(AE102/Q102,0))</f>
        <v/>
      </c>
      <c r="AH102" s="32" t="str">
        <f aca="false">IF(AB102="","Open",IF(AG102="","Open",IF(AG102&gt;0.1,"Win",IF(AG102&lt;-0.1,"Loss","Breakeven"))))</f>
        <v>Open</v>
      </c>
      <c r="AI102" s="33" t="str">
        <f aca="false">IF(OR(B102="",D102=""),"",D102-B102)</f>
        <v/>
      </c>
      <c r="AJ102" s="24" t="str">
        <f aca="false">IF(AD102="","",IFERROR((AD102-K102)*IF(F102="Sell",-1,1)/IF(ISNUMBER(SEARCH("JPY",E102)),0.01,IF(ISNUMBER(SEARCH("XAU",E102)),0.01,IF(OR(ISNUMBER(SEARCH("30",E102)),ISNUMBER(SEARCH("500",E102)),ISNUMBER(SEARCH("100",E102))),1,0.0001))),0))</f>
        <v/>
      </c>
      <c r="AK102" s="10"/>
      <c r="AL102" s="10"/>
      <c r="AM102" s="10"/>
      <c r="AN102" s="10"/>
      <c r="AO102" s="27" t="str">
        <f aca="false">IF(AE102="","",IFERROR(IF(AO101="",SETTINGS!$B$6,AO101),SETTINGS!$B$6)+IF(AE102="",0,AE102))</f>
        <v/>
      </c>
      <c r="AP102" s="2"/>
    </row>
    <row r="103" customFormat="false" ht="15" hidden="false" customHeight="false" outlineLevel="0" collapsed="false">
      <c r="A103" s="24" t="str">
        <f aca="false">IF(B103="","",ROW()-3)</f>
        <v/>
      </c>
      <c r="B103" s="34"/>
      <c r="C103" s="12"/>
      <c r="D103" s="34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35"/>
      <c r="P103" s="24" t="str">
        <f aca="false">IF(K103="","",IFERROR(ABS(K103-L103)/IF(ISNUMBER(SEARCH("JPY",E103)),0.01,IF(ISNUMBER(SEARCH("XAU",E103)),0.01,IF(OR(ISNUMBER(SEARCH("30",E103)),ISNUMBER(SEARCH("500",E103)),ISNUMBER(SEARCH("100",E103))),1,0.0001))),0))</f>
        <v/>
      </c>
      <c r="Q103" s="27" t="str">
        <f aca="false">IF(K103="","",SETTINGS!$B$6*O103)</f>
        <v/>
      </c>
      <c r="R103" s="24" t="str">
        <f aca="false">IF(K103="","",IFERROR(Q103/(P103*IF(ISNUMBER(SEARCH("JPY",E103)),9.09,IF(ISNUMBER(SEARCH("XAU",E103)),1,IF(OR(ISNUMBER(SEARCH("30",E103)),ISNUMBER(SEARCH("500",E103)),ISNUMBER(SEARCH("100",E103))),1,10)))),0))</f>
        <v/>
      </c>
      <c r="S103" s="12"/>
      <c r="T103" s="36"/>
      <c r="U103" s="27" t="str">
        <f aca="false">IF(OR(S103="",T103=0),"",IFERROR((S103-K103)*IF(F103="Sell",-1,1)*R103*T103*IF(ISNUMBER(SEARCH("JPY",E103)),1000,IF(ISNUMBER(SEARCH("XAU",E103)),100,IF(OR(ISNUMBER(SEARCH("30",E103)),ISNUMBER(SEARCH("500",E103)),ISNUMBER(SEARCH("100",E103))),100,100000))),0))</f>
        <v/>
      </c>
      <c r="V103" s="12"/>
      <c r="W103" s="36"/>
      <c r="X103" s="27" t="str">
        <f aca="false">IF(OR(V103="",W103=0),"",IFERROR((V103-K103)*IF(F103="Sell",-1,1)*R103*W103*IF(ISNUMBER(SEARCH("JPY",E103)),1000,IF(ISNUMBER(SEARCH("XAU",E103)),100,IF(OR(ISNUMBER(SEARCH("30",E103)),ISNUMBER(SEARCH("500",E103)),ISNUMBER(SEARCH("100",E103))),100,100000))),0))</f>
        <v/>
      </c>
      <c r="Y103" s="12"/>
      <c r="Z103" s="36"/>
      <c r="AA103" s="27" t="str">
        <f aca="false">IF(OR(Y103="",Z103=0),"",IFERROR((Y103-K103)*IF(F103="Sell",-1,1)*R103*Z103*IF(ISNUMBER(SEARCH("JPY",E103)),1000,IF(ISNUMBER(SEARCH("XAU",E103)),100,IF(OR(ISNUMBER(SEARCH("30",E103)),ISNUMBER(SEARCH("500",E103)),ISNUMBER(SEARCH("100",E103))),100,100000))),0))</f>
        <v/>
      </c>
      <c r="AB103" s="12"/>
      <c r="AC103" s="29" t="str">
        <f aca="false">IF(K103="","",1-IFERROR(T103,0)-IFERROR(W103,0)-IFERROR(Z103,0))</f>
        <v/>
      </c>
      <c r="AD103" s="30" t="str">
        <f aca="false">IF(AB103="","",IFERROR((IFERROR(S103*T103,0)+IFERROR(V103*W103,0)+IFERROR(Y103*Z103,0)+AB103*AC103)/(IFERROR(T103,0)+IFERROR(W103,0)+IFERROR(Z103,0)+AC103),AB103))</f>
        <v/>
      </c>
      <c r="AE103" s="27" t="str">
        <f aca="false">IF(AB103="","",IF(U103="",0,U103)+IF(X103="",0,X103)+IF(AA103="",0,AA103)+IFERROR((AB103-K103)*IF(F103="Sell",-1,1)*R103*AC103*IF(ISNUMBER(SEARCH("JPY",E103)),1000,IF(ISNUMBER(SEARCH("XAU",E103)),100,IF(OR(ISNUMBER(SEARCH("30",E103)),ISNUMBER(SEARCH("500",E103)),ISNUMBER(SEARCH("100",E103))),100,100000))),0))</f>
        <v/>
      </c>
      <c r="AF103" s="31" t="str">
        <f aca="false">IF(OR(K103="",M103="",L103=""),"",IFERROR(ABS(M103-K103)/ABS(K103-L103),0))</f>
        <v/>
      </c>
      <c r="AG103" s="31" t="str">
        <f aca="false">IF(OR(AE103="",AE103=0,Q103=0,Q103=""),"",IFERROR(AE103/Q103,0))</f>
        <v/>
      </c>
      <c r="AH103" s="32" t="str">
        <f aca="false">IF(AB103="","Open",IF(AG103="","Open",IF(AG103&gt;0.1,"Win",IF(AG103&lt;-0.1,"Loss","Breakeven"))))</f>
        <v>Open</v>
      </c>
      <c r="AI103" s="33" t="str">
        <f aca="false">IF(OR(B103="",D103=""),"",D103-B103)</f>
        <v/>
      </c>
      <c r="AJ103" s="24" t="str">
        <f aca="false">IF(AD103="","",IFERROR((AD103-K103)*IF(F103="Sell",-1,1)/IF(ISNUMBER(SEARCH("JPY",E103)),0.01,IF(ISNUMBER(SEARCH("XAU",E103)),0.01,IF(OR(ISNUMBER(SEARCH("30",E103)),ISNUMBER(SEARCH("500",E103)),ISNUMBER(SEARCH("100",E103))),1,0.0001))),0))</f>
        <v/>
      </c>
      <c r="AK103" s="12"/>
      <c r="AL103" s="12"/>
      <c r="AM103" s="12"/>
      <c r="AN103" s="12"/>
      <c r="AO103" s="27" t="str">
        <f aca="false">IF(AE103="","",IFERROR(IF(AO102="",SETTINGS!$B$6,AO102),SETTINGS!$B$6)+IF(AE103="",0,AE103))</f>
        <v/>
      </c>
      <c r="AP103" s="2"/>
    </row>
    <row r="104" customFormat="false" ht="15" hidden="false" customHeight="false" outlineLevel="0" collapsed="false">
      <c r="A104" s="24" t="str">
        <f aca="false">IF(B104="","",ROW()-3)</f>
        <v/>
      </c>
      <c r="B104" s="25"/>
      <c r="C104" s="10"/>
      <c r="D104" s="25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26"/>
      <c r="P104" s="24" t="str">
        <f aca="false">IF(K104="","",IFERROR(ABS(K104-L104)/IF(ISNUMBER(SEARCH("JPY",E104)),0.01,IF(ISNUMBER(SEARCH("XAU",E104)),0.01,IF(OR(ISNUMBER(SEARCH("30",E104)),ISNUMBER(SEARCH("500",E104)),ISNUMBER(SEARCH("100",E104))),1,0.0001))),0))</f>
        <v/>
      </c>
      <c r="Q104" s="27" t="str">
        <f aca="false">IF(K104="","",SETTINGS!$B$6*O104)</f>
        <v/>
      </c>
      <c r="R104" s="24" t="str">
        <f aca="false">IF(K104="","",IFERROR(Q104/(P104*IF(ISNUMBER(SEARCH("JPY",E104)),9.09,IF(ISNUMBER(SEARCH("XAU",E104)),1,IF(OR(ISNUMBER(SEARCH("30",E104)),ISNUMBER(SEARCH("500",E104)),ISNUMBER(SEARCH("100",E104))),1,10)))),0))</f>
        <v/>
      </c>
      <c r="S104" s="10"/>
      <c r="T104" s="28"/>
      <c r="U104" s="27" t="str">
        <f aca="false">IF(OR(S104="",T104=0),"",IFERROR((S104-K104)*IF(F104="Sell",-1,1)*R104*T104*IF(ISNUMBER(SEARCH("JPY",E104)),1000,IF(ISNUMBER(SEARCH("XAU",E104)),100,IF(OR(ISNUMBER(SEARCH("30",E104)),ISNUMBER(SEARCH("500",E104)),ISNUMBER(SEARCH("100",E104))),100,100000))),0))</f>
        <v/>
      </c>
      <c r="V104" s="10"/>
      <c r="W104" s="28"/>
      <c r="X104" s="27" t="str">
        <f aca="false">IF(OR(V104="",W104=0),"",IFERROR((V104-K104)*IF(F104="Sell",-1,1)*R104*W104*IF(ISNUMBER(SEARCH("JPY",E104)),1000,IF(ISNUMBER(SEARCH("XAU",E104)),100,IF(OR(ISNUMBER(SEARCH("30",E104)),ISNUMBER(SEARCH("500",E104)),ISNUMBER(SEARCH("100",E104))),100,100000))),0))</f>
        <v/>
      </c>
      <c r="Y104" s="10"/>
      <c r="Z104" s="28"/>
      <c r="AA104" s="27" t="str">
        <f aca="false">IF(OR(Y104="",Z104=0),"",IFERROR((Y104-K104)*IF(F104="Sell",-1,1)*R104*Z104*IF(ISNUMBER(SEARCH("JPY",E104)),1000,IF(ISNUMBER(SEARCH("XAU",E104)),100,IF(OR(ISNUMBER(SEARCH("30",E104)),ISNUMBER(SEARCH("500",E104)),ISNUMBER(SEARCH("100",E104))),100,100000))),0))</f>
        <v/>
      </c>
      <c r="AB104" s="10"/>
      <c r="AC104" s="29" t="str">
        <f aca="false">IF(K104="","",1-IFERROR(T104,0)-IFERROR(W104,0)-IFERROR(Z104,0))</f>
        <v/>
      </c>
      <c r="AD104" s="30" t="str">
        <f aca="false">IF(AB104="","",IFERROR((IFERROR(S104*T104,0)+IFERROR(V104*W104,0)+IFERROR(Y104*Z104,0)+AB104*AC104)/(IFERROR(T104,0)+IFERROR(W104,0)+IFERROR(Z104,0)+AC104),AB104))</f>
        <v/>
      </c>
      <c r="AE104" s="27" t="str">
        <f aca="false">IF(AB104="","",IF(U104="",0,U104)+IF(X104="",0,X104)+IF(AA104="",0,AA104)+IFERROR((AB104-K104)*IF(F104="Sell",-1,1)*R104*AC104*IF(ISNUMBER(SEARCH("JPY",E104)),1000,IF(ISNUMBER(SEARCH("XAU",E104)),100,IF(OR(ISNUMBER(SEARCH("30",E104)),ISNUMBER(SEARCH("500",E104)),ISNUMBER(SEARCH("100",E104))),100,100000))),0))</f>
        <v/>
      </c>
      <c r="AF104" s="31" t="str">
        <f aca="false">IF(OR(K104="",M104="",L104=""),"",IFERROR(ABS(M104-K104)/ABS(K104-L104),0))</f>
        <v/>
      </c>
      <c r="AG104" s="31" t="str">
        <f aca="false">IF(OR(AE104="",AE104=0,Q104=0,Q104=""),"",IFERROR(AE104/Q104,0))</f>
        <v/>
      </c>
      <c r="AH104" s="32" t="str">
        <f aca="false">IF(AB104="","Open",IF(AG104="","Open",IF(AG104&gt;0.1,"Win",IF(AG104&lt;-0.1,"Loss","Breakeven"))))</f>
        <v>Open</v>
      </c>
      <c r="AI104" s="33" t="str">
        <f aca="false">IF(OR(B104="",D104=""),"",D104-B104)</f>
        <v/>
      </c>
      <c r="AJ104" s="24" t="str">
        <f aca="false">IF(AD104="","",IFERROR((AD104-K104)*IF(F104="Sell",-1,1)/IF(ISNUMBER(SEARCH("JPY",E104)),0.01,IF(ISNUMBER(SEARCH("XAU",E104)),0.01,IF(OR(ISNUMBER(SEARCH("30",E104)),ISNUMBER(SEARCH("500",E104)),ISNUMBER(SEARCH("100",E104))),1,0.0001))),0))</f>
        <v/>
      </c>
      <c r="AK104" s="10"/>
      <c r="AL104" s="10"/>
      <c r="AM104" s="10"/>
      <c r="AN104" s="10"/>
      <c r="AO104" s="27" t="str">
        <f aca="false">IF(AE104="","",IFERROR(IF(AO103="",SETTINGS!$B$6,AO103),SETTINGS!$B$6)+IF(AE104="",0,AE104))</f>
        <v/>
      </c>
      <c r="AP104" s="2"/>
    </row>
    <row r="105" customFormat="false" ht="15" hidden="false" customHeight="false" outlineLevel="0" collapsed="false">
      <c r="A105" s="24" t="str">
        <f aca="false">IF(B105="","",ROW()-3)</f>
        <v/>
      </c>
      <c r="B105" s="34"/>
      <c r="C105" s="12"/>
      <c r="D105" s="34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35"/>
      <c r="P105" s="24" t="str">
        <f aca="false">IF(K105="","",IFERROR(ABS(K105-L105)/IF(ISNUMBER(SEARCH("JPY",E105)),0.01,IF(ISNUMBER(SEARCH("XAU",E105)),0.01,IF(OR(ISNUMBER(SEARCH("30",E105)),ISNUMBER(SEARCH("500",E105)),ISNUMBER(SEARCH("100",E105))),1,0.0001))),0))</f>
        <v/>
      </c>
      <c r="Q105" s="27" t="str">
        <f aca="false">IF(K105="","",SETTINGS!$B$6*O105)</f>
        <v/>
      </c>
      <c r="R105" s="24" t="str">
        <f aca="false">IF(K105="","",IFERROR(Q105/(P105*IF(ISNUMBER(SEARCH("JPY",E105)),9.09,IF(ISNUMBER(SEARCH("XAU",E105)),1,IF(OR(ISNUMBER(SEARCH("30",E105)),ISNUMBER(SEARCH("500",E105)),ISNUMBER(SEARCH("100",E105))),1,10)))),0))</f>
        <v/>
      </c>
      <c r="S105" s="12"/>
      <c r="T105" s="36"/>
      <c r="U105" s="27" t="str">
        <f aca="false">IF(OR(S105="",T105=0),"",IFERROR((S105-K105)*IF(F105="Sell",-1,1)*R105*T105*IF(ISNUMBER(SEARCH("JPY",E105)),1000,IF(ISNUMBER(SEARCH("XAU",E105)),100,IF(OR(ISNUMBER(SEARCH("30",E105)),ISNUMBER(SEARCH("500",E105)),ISNUMBER(SEARCH("100",E105))),100,100000))),0))</f>
        <v/>
      </c>
      <c r="V105" s="12"/>
      <c r="W105" s="36"/>
      <c r="X105" s="27" t="str">
        <f aca="false">IF(OR(V105="",W105=0),"",IFERROR((V105-K105)*IF(F105="Sell",-1,1)*R105*W105*IF(ISNUMBER(SEARCH("JPY",E105)),1000,IF(ISNUMBER(SEARCH("XAU",E105)),100,IF(OR(ISNUMBER(SEARCH("30",E105)),ISNUMBER(SEARCH("500",E105)),ISNUMBER(SEARCH("100",E105))),100,100000))),0))</f>
        <v/>
      </c>
      <c r="Y105" s="12"/>
      <c r="Z105" s="36"/>
      <c r="AA105" s="27" t="str">
        <f aca="false">IF(OR(Y105="",Z105=0),"",IFERROR((Y105-K105)*IF(F105="Sell",-1,1)*R105*Z105*IF(ISNUMBER(SEARCH("JPY",E105)),1000,IF(ISNUMBER(SEARCH("XAU",E105)),100,IF(OR(ISNUMBER(SEARCH("30",E105)),ISNUMBER(SEARCH("500",E105)),ISNUMBER(SEARCH("100",E105))),100,100000))),0))</f>
        <v/>
      </c>
      <c r="AB105" s="12"/>
      <c r="AC105" s="29" t="str">
        <f aca="false">IF(K105="","",1-IFERROR(T105,0)-IFERROR(W105,0)-IFERROR(Z105,0))</f>
        <v/>
      </c>
      <c r="AD105" s="30" t="str">
        <f aca="false">IF(AB105="","",IFERROR((IFERROR(S105*T105,0)+IFERROR(V105*W105,0)+IFERROR(Y105*Z105,0)+AB105*AC105)/(IFERROR(T105,0)+IFERROR(W105,0)+IFERROR(Z105,0)+AC105),AB105))</f>
        <v/>
      </c>
      <c r="AE105" s="27" t="str">
        <f aca="false">IF(AB105="","",IF(U105="",0,U105)+IF(X105="",0,X105)+IF(AA105="",0,AA105)+IFERROR((AB105-K105)*IF(F105="Sell",-1,1)*R105*AC105*IF(ISNUMBER(SEARCH("JPY",E105)),1000,IF(ISNUMBER(SEARCH("XAU",E105)),100,IF(OR(ISNUMBER(SEARCH("30",E105)),ISNUMBER(SEARCH("500",E105)),ISNUMBER(SEARCH("100",E105))),100,100000))),0))</f>
        <v/>
      </c>
      <c r="AF105" s="31" t="str">
        <f aca="false">IF(OR(K105="",M105="",L105=""),"",IFERROR(ABS(M105-K105)/ABS(K105-L105),0))</f>
        <v/>
      </c>
      <c r="AG105" s="31" t="str">
        <f aca="false">IF(OR(AE105="",AE105=0,Q105=0,Q105=""),"",IFERROR(AE105/Q105,0))</f>
        <v/>
      </c>
      <c r="AH105" s="32" t="str">
        <f aca="false">IF(AB105="","Open",IF(AG105="","Open",IF(AG105&gt;0.1,"Win",IF(AG105&lt;-0.1,"Loss","Breakeven"))))</f>
        <v>Open</v>
      </c>
      <c r="AI105" s="33" t="str">
        <f aca="false">IF(OR(B105="",D105=""),"",D105-B105)</f>
        <v/>
      </c>
      <c r="AJ105" s="24" t="str">
        <f aca="false">IF(AD105="","",IFERROR((AD105-K105)*IF(F105="Sell",-1,1)/IF(ISNUMBER(SEARCH("JPY",E105)),0.01,IF(ISNUMBER(SEARCH("XAU",E105)),0.01,IF(OR(ISNUMBER(SEARCH("30",E105)),ISNUMBER(SEARCH("500",E105)),ISNUMBER(SEARCH("100",E105))),1,0.0001))),0))</f>
        <v/>
      </c>
      <c r="AK105" s="12"/>
      <c r="AL105" s="12"/>
      <c r="AM105" s="12"/>
      <c r="AN105" s="12"/>
      <c r="AO105" s="27" t="str">
        <f aca="false">IF(AE105="","",IFERROR(IF(AO104="",SETTINGS!$B$6,AO104),SETTINGS!$B$6)+IF(AE105="",0,AE105))</f>
        <v/>
      </c>
      <c r="AP105" s="2"/>
    </row>
    <row r="106" customFormat="false" ht="15" hidden="false" customHeight="false" outlineLevel="0" collapsed="false">
      <c r="A106" s="24" t="str">
        <f aca="false">IF(B106="","",ROW()-3)</f>
        <v/>
      </c>
      <c r="B106" s="25"/>
      <c r="C106" s="10"/>
      <c r="D106" s="25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26"/>
      <c r="P106" s="24" t="str">
        <f aca="false">IF(K106="","",IFERROR(ABS(K106-L106)/IF(ISNUMBER(SEARCH("JPY",E106)),0.01,IF(ISNUMBER(SEARCH("XAU",E106)),0.01,IF(OR(ISNUMBER(SEARCH("30",E106)),ISNUMBER(SEARCH("500",E106)),ISNUMBER(SEARCH("100",E106))),1,0.0001))),0))</f>
        <v/>
      </c>
      <c r="Q106" s="27" t="str">
        <f aca="false">IF(K106="","",SETTINGS!$B$6*O106)</f>
        <v/>
      </c>
      <c r="R106" s="24" t="str">
        <f aca="false">IF(K106="","",IFERROR(Q106/(P106*IF(ISNUMBER(SEARCH("JPY",E106)),9.09,IF(ISNUMBER(SEARCH("XAU",E106)),1,IF(OR(ISNUMBER(SEARCH("30",E106)),ISNUMBER(SEARCH("500",E106)),ISNUMBER(SEARCH("100",E106))),1,10)))),0))</f>
        <v/>
      </c>
      <c r="S106" s="10"/>
      <c r="T106" s="28"/>
      <c r="U106" s="27" t="str">
        <f aca="false">IF(OR(S106="",T106=0),"",IFERROR((S106-K106)*IF(F106="Sell",-1,1)*R106*T106*IF(ISNUMBER(SEARCH("JPY",E106)),1000,IF(ISNUMBER(SEARCH("XAU",E106)),100,IF(OR(ISNUMBER(SEARCH("30",E106)),ISNUMBER(SEARCH("500",E106)),ISNUMBER(SEARCH("100",E106))),100,100000))),0))</f>
        <v/>
      </c>
      <c r="V106" s="10"/>
      <c r="W106" s="28"/>
      <c r="X106" s="27" t="str">
        <f aca="false">IF(OR(V106="",W106=0),"",IFERROR((V106-K106)*IF(F106="Sell",-1,1)*R106*W106*IF(ISNUMBER(SEARCH("JPY",E106)),1000,IF(ISNUMBER(SEARCH("XAU",E106)),100,IF(OR(ISNUMBER(SEARCH("30",E106)),ISNUMBER(SEARCH("500",E106)),ISNUMBER(SEARCH("100",E106))),100,100000))),0))</f>
        <v/>
      </c>
      <c r="Y106" s="10"/>
      <c r="Z106" s="28"/>
      <c r="AA106" s="27" t="str">
        <f aca="false">IF(OR(Y106="",Z106=0),"",IFERROR((Y106-K106)*IF(F106="Sell",-1,1)*R106*Z106*IF(ISNUMBER(SEARCH("JPY",E106)),1000,IF(ISNUMBER(SEARCH("XAU",E106)),100,IF(OR(ISNUMBER(SEARCH("30",E106)),ISNUMBER(SEARCH("500",E106)),ISNUMBER(SEARCH("100",E106))),100,100000))),0))</f>
        <v/>
      </c>
      <c r="AB106" s="10"/>
      <c r="AC106" s="29" t="str">
        <f aca="false">IF(K106="","",1-IFERROR(T106,0)-IFERROR(W106,0)-IFERROR(Z106,0))</f>
        <v/>
      </c>
      <c r="AD106" s="30" t="str">
        <f aca="false">IF(AB106="","",IFERROR((IFERROR(S106*T106,0)+IFERROR(V106*W106,0)+IFERROR(Y106*Z106,0)+AB106*AC106)/(IFERROR(T106,0)+IFERROR(W106,0)+IFERROR(Z106,0)+AC106),AB106))</f>
        <v/>
      </c>
      <c r="AE106" s="27" t="str">
        <f aca="false">IF(AB106="","",IF(U106="",0,U106)+IF(X106="",0,X106)+IF(AA106="",0,AA106)+IFERROR((AB106-K106)*IF(F106="Sell",-1,1)*R106*AC106*IF(ISNUMBER(SEARCH("JPY",E106)),1000,IF(ISNUMBER(SEARCH("XAU",E106)),100,IF(OR(ISNUMBER(SEARCH("30",E106)),ISNUMBER(SEARCH("500",E106)),ISNUMBER(SEARCH("100",E106))),100,100000))),0))</f>
        <v/>
      </c>
      <c r="AF106" s="31" t="str">
        <f aca="false">IF(OR(K106="",M106="",L106=""),"",IFERROR(ABS(M106-K106)/ABS(K106-L106),0))</f>
        <v/>
      </c>
      <c r="AG106" s="31" t="str">
        <f aca="false">IF(OR(AE106="",AE106=0,Q106=0,Q106=""),"",IFERROR(AE106/Q106,0))</f>
        <v/>
      </c>
      <c r="AH106" s="32" t="str">
        <f aca="false">IF(AB106="","Open",IF(AG106="","Open",IF(AG106&gt;0.1,"Win",IF(AG106&lt;-0.1,"Loss","Breakeven"))))</f>
        <v>Open</v>
      </c>
      <c r="AI106" s="33" t="str">
        <f aca="false">IF(OR(B106="",D106=""),"",D106-B106)</f>
        <v/>
      </c>
      <c r="AJ106" s="24" t="str">
        <f aca="false">IF(AD106="","",IFERROR((AD106-K106)*IF(F106="Sell",-1,1)/IF(ISNUMBER(SEARCH("JPY",E106)),0.01,IF(ISNUMBER(SEARCH("XAU",E106)),0.01,IF(OR(ISNUMBER(SEARCH("30",E106)),ISNUMBER(SEARCH("500",E106)),ISNUMBER(SEARCH("100",E106))),1,0.0001))),0))</f>
        <v/>
      </c>
      <c r="AK106" s="10"/>
      <c r="AL106" s="10"/>
      <c r="AM106" s="10"/>
      <c r="AN106" s="10"/>
      <c r="AO106" s="27" t="str">
        <f aca="false">IF(AE106="","",IFERROR(IF(AO105="",SETTINGS!$B$6,AO105),SETTINGS!$B$6)+IF(AE106="",0,AE106))</f>
        <v/>
      </c>
      <c r="AP106" s="2"/>
    </row>
    <row r="107" customFormat="false" ht="15" hidden="false" customHeight="false" outlineLevel="0" collapsed="false">
      <c r="A107" s="24" t="str">
        <f aca="false">IF(B107="","",ROW()-3)</f>
        <v/>
      </c>
      <c r="B107" s="34"/>
      <c r="C107" s="12"/>
      <c r="D107" s="34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35"/>
      <c r="P107" s="24" t="str">
        <f aca="false">IF(K107="","",IFERROR(ABS(K107-L107)/IF(ISNUMBER(SEARCH("JPY",E107)),0.01,IF(ISNUMBER(SEARCH("XAU",E107)),0.01,IF(OR(ISNUMBER(SEARCH("30",E107)),ISNUMBER(SEARCH("500",E107)),ISNUMBER(SEARCH("100",E107))),1,0.0001))),0))</f>
        <v/>
      </c>
      <c r="Q107" s="27" t="str">
        <f aca="false">IF(K107="","",SETTINGS!$B$6*O107)</f>
        <v/>
      </c>
      <c r="R107" s="24" t="str">
        <f aca="false">IF(K107="","",IFERROR(Q107/(P107*IF(ISNUMBER(SEARCH("JPY",E107)),9.09,IF(ISNUMBER(SEARCH("XAU",E107)),1,IF(OR(ISNUMBER(SEARCH("30",E107)),ISNUMBER(SEARCH("500",E107)),ISNUMBER(SEARCH("100",E107))),1,10)))),0))</f>
        <v/>
      </c>
      <c r="S107" s="12"/>
      <c r="T107" s="36"/>
      <c r="U107" s="27" t="str">
        <f aca="false">IF(OR(S107="",T107=0),"",IFERROR((S107-K107)*IF(F107="Sell",-1,1)*R107*T107*IF(ISNUMBER(SEARCH("JPY",E107)),1000,IF(ISNUMBER(SEARCH("XAU",E107)),100,IF(OR(ISNUMBER(SEARCH("30",E107)),ISNUMBER(SEARCH("500",E107)),ISNUMBER(SEARCH("100",E107))),100,100000))),0))</f>
        <v/>
      </c>
      <c r="V107" s="12"/>
      <c r="W107" s="36"/>
      <c r="X107" s="27" t="str">
        <f aca="false">IF(OR(V107="",W107=0),"",IFERROR((V107-K107)*IF(F107="Sell",-1,1)*R107*W107*IF(ISNUMBER(SEARCH("JPY",E107)),1000,IF(ISNUMBER(SEARCH("XAU",E107)),100,IF(OR(ISNUMBER(SEARCH("30",E107)),ISNUMBER(SEARCH("500",E107)),ISNUMBER(SEARCH("100",E107))),100,100000))),0))</f>
        <v/>
      </c>
      <c r="Y107" s="12"/>
      <c r="Z107" s="36"/>
      <c r="AA107" s="27" t="str">
        <f aca="false">IF(OR(Y107="",Z107=0),"",IFERROR((Y107-K107)*IF(F107="Sell",-1,1)*R107*Z107*IF(ISNUMBER(SEARCH("JPY",E107)),1000,IF(ISNUMBER(SEARCH("XAU",E107)),100,IF(OR(ISNUMBER(SEARCH("30",E107)),ISNUMBER(SEARCH("500",E107)),ISNUMBER(SEARCH("100",E107))),100,100000))),0))</f>
        <v/>
      </c>
      <c r="AB107" s="12"/>
      <c r="AC107" s="29" t="str">
        <f aca="false">IF(K107="","",1-IFERROR(T107,0)-IFERROR(W107,0)-IFERROR(Z107,0))</f>
        <v/>
      </c>
      <c r="AD107" s="30" t="str">
        <f aca="false">IF(AB107="","",IFERROR((IFERROR(S107*T107,0)+IFERROR(V107*W107,0)+IFERROR(Y107*Z107,0)+AB107*AC107)/(IFERROR(T107,0)+IFERROR(W107,0)+IFERROR(Z107,0)+AC107),AB107))</f>
        <v/>
      </c>
      <c r="AE107" s="27" t="str">
        <f aca="false">IF(AB107="","",IF(U107="",0,U107)+IF(X107="",0,X107)+IF(AA107="",0,AA107)+IFERROR((AB107-K107)*IF(F107="Sell",-1,1)*R107*AC107*IF(ISNUMBER(SEARCH("JPY",E107)),1000,IF(ISNUMBER(SEARCH("XAU",E107)),100,IF(OR(ISNUMBER(SEARCH("30",E107)),ISNUMBER(SEARCH("500",E107)),ISNUMBER(SEARCH("100",E107))),100,100000))),0))</f>
        <v/>
      </c>
      <c r="AF107" s="31" t="str">
        <f aca="false">IF(OR(K107="",M107="",L107=""),"",IFERROR(ABS(M107-K107)/ABS(K107-L107),0))</f>
        <v/>
      </c>
      <c r="AG107" s="31" t="str">
        <f aca="false">IF(OR(AE107="",AE107=0,Q107=0,Q107=""),"",IFERROR(AE107/Q107,0))</f>
        <v/>
      </c>
      <c r="AH107" s="32" t="str">
        <f aca="false">IF(AB107="","Open",IF(AG107="","Open",IF(AG107&gt;0.1,"Win",IF(AG107&lt;-0.1,"Loss","Breakeven"))))</f>
        <v>Open</v>
      </c>
      <c r="AI107" s="33" t="str">
        <f aca="false">IF(OR(B107="",D107=""),"",D107-B107)</f>
        <v/>
      </c>
      <c r="AJ107" s="24" t="str">
        <f aca="false">IF(AD107="","",IFERROR((AD107-K107)*IF(F107="Sell",-1,1)/IF(ISNUMBER(SEARCH("JPY",E107)),0.01,IF(ISNUMBER(SEARCH("XAU",E107)),0.01,IF(OR(ISNUMBER(SEARCH("30",E107)),ISNUMBER(SEARCH("500",E107)),ISNUMBER(SEARCH("100",E107))),1,0.0001))),0))</f>
        <v/>
      </c>
      <c r="AK107" s="12"/>
      <c r="AL107" s="12"/>
      <c r="AM107" s="12"/>
      <c r="AN107" s="12"/>
      <c r="AO107" s="27" t="str">
        <f aca="false">IF(AE107="","",IFERROR(IF(AO106="",SETTINGS!$B$6,AO106),SETTINGS!$B$6)+IF(AE107="",0,AE107))</f>
        <v/>
      </c>
      <c r="AP107" s="2"/>
    </row>
    <row r="108" customFormat="false" ht="15" hidden="false" customHeight="false" outlineLevel="0" collapsed="false">
      <c r="A108" s="24" t="str">
        <f aca="false">IF(B108="","",ROW()-3)</f>
        <v/>
      </c>
      <c r="B108" s="25"/>
      <c r="C108" s="10"/>
      <c r="D108" s="25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26"/>
      <c r="P108" s="24" t="str">
        <f aca="false">IF(K108="","",IFERROR(ABS(K108-L108)/IF(ISNUMBER(SEARCH("JPY",E108)),0.01,IF(ISNUMBER(SEARCH("XAU",E108)),0.01,IF(OR(ISNUMBER(SEARCH("30",E108)),ISNUMBER(SEARCH("500",E108)),ISNUMBER(SEARCH("100",E108))),1,0.0001))),0))</f>
        <v/>
      </c>
      <c r="Q108" s="27" t="str">
        <f aca="false">IF(K108="","",SETTINGS!$B$6*O108)</f>
        <v/>
      </c>
      <c r="R108" s="24" t="str">
        <f aca="false">IF(K108="","",IFERROR(Q108/(P108*IF(ISNUMBER(SEARCH("JPY",E108)),9.09,IF(ISNUMBER(SEARCH("XAU",E108)),1,IF(OR(ISNUMBER(SEARCH("30",E108)),ISNUMBER(SEARCH("500",E108)),ISNUMBER(SEARCH("100",E108))),1,10)))),0))</f>
        <v/>
      </c>
      <c r="S108" s="10"/>
      <c r="T108" s="28"/>
      <c r="U108" s="27" t="str">
        <f aca="false">IF(OR(S108="",T108=0),"",IFERROR((S108-K108)*IF(F108="Sell",-1,1)*R108*T108*IF(ISNUMBER(SEARCH("JPY",E108)),1000,IF(ISNUMBER(SEARCH("XAU",E108)),100,IF(OR(ISNUMBER(SEARCH("30",E108)),ISNUMBER(SEARCH("500",E108)),ISNUMBER(SEARCH("100",E108))),100,100000))),0))</f>
        <v/>
      </c>
      <c r="V108" s="10"/>
      <c r="W108" s="28"/>
      <c r="X108" s="27" t="str">
        <f aca="false">IF(OR(V108="",W108=0),"",IFERROR((V108-K108)*IF(F108="Sell",-1,1)*R108*W108*IF(ISNUMBER(SEARCH("JPY",E108)),1000,IF(ISNUMBER(SEARCH("XAU",E108)),100,IF(OR(ISNUMBER(SEARCH("30",E108)),ISNUMBER(SEARCH("500",E108)),ISNUMBER(SEARCH("100",E108))),100,100000))),0))</f>
        <v/>
      </c>
      <c r="Y108" s="10"/>
      <c r="Z108" s="28"/>
      <c r="AA108" s="27" t="str">
        <f aca="false">IF(OR(Y108="",Z108=0),"",IFERROR((Y108-K108)*IF(F108="Sell",-1,1)*R108*Z108*IF(ISNUMBER(SEARCH("JPY",E108)),1000,IF(ISNUMBER(SEARCH("XAU",E108)),100,IF(OR(ISNUMBER(SEARCH("30",E108)),ISNUMBER(SEARCH("500",E108)),ISNUMBER(SEARCH("100",E108))),100,100000))),0))</f>
        <v/>
      </c>
      <c r="AB108" s="10"/>
      <c r="AC108" s="29" t="str">
        <f aca="false">IF(K108="","",1-IFERROR(T108,0)-IFERROR(W108,0)-IFERROR(Z108,0))</f>
        <v/>
      </c>
      <c r="AD108" s="30" t="str">
        <f aca="false">IF(AB108="","",IFERROR((IFERROR(S108*T108,0)+IFERROR(V108*W108,0)+IFERROR(Y108*Z108,0)+AB108*AC108)/(IFERROR(T108,0)+IFERROR(W108,0)+IFERROR(Z108,0)+AC108),AB108))</f>
        <v/>
      </c>
      <c r="AE108" s="27" t="str">
        <f aca="false">IF(AB108="","",IF(U108="",0,U108)+IF(X108="",0,X108)+IF(AA108="",0,AA108)+IFERROR((AB108-K108)*IF(F108="Sell",-1,1)*R108*AC108*IF(ISNUMBER(SEARCH("JPY",E108)),1000,IF(ISNUMBER(SEARCH("XAU",E108)),100,IF(OR(ISNUMBER(SEARCH("30",E108)),ISNUMBER(SEARCH("500",E108)),ISNUMBER(SEARCH("100",E108))),100,100000))),0))</f>
        <v/>
      </c>
      <c r="AF108" s="31" t="str">
        <f aca="false">IF(OR(K108="",M108="",L108=""),"",IFERROR(ABS(M108-K108)/ABS(K108-L108),0))</f>
        <v/>
      </c>
      <c r="AG108" s="31" t="str">
        <f aca="false">IF(OR(AE108="",AE108=0,Q108=0,Q108=""),"",IFERROR(AE108/Q108,0))</f>
        <v/>
      </c>
      <c r="AH108" s="32" t="str">
        <f aca="false">IF(AB108="","Open",IF(AG108="","Open",IF(AG108&gt;0.1,"Win",IF(AG108&lt;-0.1,"Loss","Breakeven"))))</f>
        <v>Open</v>
      </c>
      <c r="AI108" s="33" t="str">
        <f aca="false">IF(OR(B108="",D108=""),"",D108-B108)</f>
        <v/>
      </c>
      <c r="AJ108" s="24" t="str">
        <f aca="false">IF(AD108="","",IFERROR((AD108-K108)*IF(F108="Sell",-1,1)/IF(ISNUMBER(SEARCH("JPY",E108)),0.01,IF(ISNUMBER(SEARCH("XAU",E108)),0.01,IF(OR(ISNUMBER(SEARCH("30",E108)),ISNUMBER(SEARCH("500",E108)),ISNUMBER(SEARCH("100",E108))),1,0.0001))),0))</f>
        <v/>
      </c>
      <c r="AK108" s="10"/>
      <c r="AL108" s="10"/>
      <c r="AM108" s="10"/>
      <c r="AN108" s="10"/>
      <c r="AO108" s="27" t="str">
        <f aca="false">IF(AE108="","",IFERROR(IF(AO107="",SETTINGS!$B$6,AO107),SETTINGS!$B$6)+IF(AE108="",0,AE108))</f>
        <v/>
      </c>
      <c r="AP108" s="2"/>
    </row>
    <row r="109" customFormat="false" ht="15" hidden="false" customHeight="false" outlineLevel="0" collapsed="false">
      <c r="A109" s="24" t="str">
        <f aca="false">IF(B109="","",ROW()-3)</f>
        <v/>
      </c>
      <c r="B109" s="34"/>
      <c r="C109" s="12"/>
      <c r="D109" s="34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35"/>
      <c r="P109" s="24" t="str">
        <f aca="false">IF(K109="","",IFERROR(ABS(K109-L109)/IF(ISNUMBER(SEARCH("JPY",E109)),0.01,IF(ISNUMBER(SEARCH("XAU",E109)),0.01,IF(OR(ISNUMBER(SEARCH("30",E109)),ISNUMBER(SEARCH("500",E109)),ISNUMBER(SEARCH("100",E109))),1,0.0001))),0))</f>
        <v/>
      </c>
      <c r="Q109" s="27" t="str">
        <f aca="false">IF(K109="","",SETTINGS!$B$6*O109)</f>
        <v/>
      </c>
      <c r="R109" s="24" t="str">
        <f aca="false">IF(K109="","",IFERROR(Q109/(P109*IF(ISNUMBER(SEARCH("JPY",E109)),9.09,IF(ISNUMBER(SEARCH("XAU",E109)),1,IF(OR(ISNUMBER(SEARCH("30",E109)),ISNUMBER(SEARCH("500",E109)),ISNUMBER(SEARCH("100",E109))),1,10)))),0))</f>
        <v/>
      </c>
      <c r="S109" s="12"/>
      <c r="T109" s="36"/>
      <c r="U109" s="27" t="str">
        <f aca="false">IF(OR(S109="",T109=0),"",IFERROR((S109-K109)*IF(F109="Sell",-1,1)*R109*T109*IF(ISNUMBER(SEARCH("JPY",E109)),1000,IF(ISNUMBER(SEARCH("XAU",E109)),100,IF(OR(ISNUMBER(SEARCH("30",E109)),ISNUMBER(SEARCH("500",E109)),ISNUMBER(SEARCH("100",E109))),100,100000))),0))</f>
        <v/>
      </c>
      <c r="V109" s="12"/>
      <c r="W109" s="36"/>
      <c r="X109" s="27" t="str">
        <f aca="false">IF(OR(V109="",W109=0),"",IFERROR((V109-K109)*IF(F109="Sell",-1,1)*R109*W109*IF(ISNUMBER(SEARCH("JPY",E109)),1000,IF(ISNUMBER(SEARCH("XAU",E109)),100,IF(OR(ISNUMBER(SEARCH("30",E109)),ISNUMBER(SEARCH("500",E109)),ISNUMBER(SEARCH("100",E109))),100,100000))),0))</f>
        <v/>
      </c>
      <c r="Y109" s="12"/>
      <c r="Z109" s="36"/>
      <c r="AA109" s="27" t="str">
        <f aca="false">IF(OR(Y109="",Z109=0),"",IFERROR((Y109-K109)*IF(F109="Sell",-1,1)*R109*Z109*IF(ISNUMBER(SEARCH("JPY",E109)),1000,IF(ISNUMBER(SEARCH("XAU",E109)),100,IF(OR(ISNUMBER(SEARCH("30",E109)),ISNUMBER(SEARCH("500",E109)),ISNUMBER(SEARCH("100",E109))),100,100000))),0))</f>
        <v/>
      </c>
      <c r="AB109" s="12"/>
      <c r="AC109" s="29" t="str">
        <f aca="false">IF(K109="","",1-IFERROR(T109,0)-IFERROR(W109,0)-IFERROR(Z109,0))</f>
        <v/>
      </c>
      <c r="AD109" s="30" t="str">
        <f aca="false">IF(AB109="","",IFERROR((IFERROR(S109*T109,0)+IFERROR(V109*W109,0)+IFERROR(Y109*Z109,0)+AB109*AC109)/(IFERROR(T109,0)+IFERROR(W109,0)+IFERROR(Z109,0)+AC109),AB109))</f>
        <v/>
      </c>
      <c r="AE109" s="27" t="str">
        <f aca="false">IF(AB109="","",IF(U109="",0,U109)+IF(X109="",0,X109)+IF(AA109="",0,AA109)+IFERROR((AB109-K109)*IF(F109="Sell",-1,1)*R109*AC109*IF(ISNUMBER(SEARCH("JPY",E109)),1000,IF(ISNUMBER(SEARCH("XAU",E109)),100,IF(OR(ISNUMBER(SEARCH("30",E109)),ISNUMBER(SEARCH("500",E109)),ISNUMBER(SEARCH("100",E109))),100,100000))),0))</f>
        <v/>
      </c>
      <c r="AF109" s="31" t="str">
        <f aca="false">IF(OR(K109="",M109="",L109=""),"",IFERROR(ABS(M109-K109)/ABS(K109-L109),0))</f>
        <v/>
      </c>
      <c r="AG109" s="31" t="str">
        <f aca="false">IF(OR(AE109="",AE109=0,Q109=0,Q109=""),"",IFERROR(AE109/Q109,0))</f>
        <v/>
      </c>
      <c r="AH109" s="32" t="str">
        <f aca="false">IF(AB109="","Open",IF(AG109="","Open",IF(AG109&gt;0.1,"Win",IF(AG109&lt;-0.1,"Loss","Breakeven"))))</f>
        <v>Open</v>
      </c>
      <c r="AI109" s="33" t="str">
        <f aca="false">IF(OR(B109="",D109=""),"",D109-B109)</f>
        <v/>
      </c>
      <c r="AJ109" s="24" t="str">
        <f aca="false">IF(AD109="","",IFERROR((AD109-K109)*IF(F109="Sell",-1,1)/IF(ISNUMBER(SEARCH("JPY",E109)),0.01,IF(ISNUMBER(SEARCH("XAU",E109)),0.01,IF(OR(ISNUMBER(SEARCH("30",E109)),ISNUMBER(SEARCH("500",E109)),ISNUMBER(SEARCH("100",E109))),1,0.0001))),0))</f>
        <v/>
      </c>
      <c r="AK109" s="12"/>
      <c r="AL109" s="12"/>
      <c r="AM109" s="12"/>
      <c r="AN109" s="12"/>
      <c r="AO109" s="27" t="str">
        <f aca="false">IF(AE109="","",IFERROR(IF(AO108="",SETTINGS!$B$6,AO108),SETTINGS!$B$6)+IF(AE109="",0,AE109))</f>
        <v/>
      </c>
      <c r="AP109" s="2"/>
    </row>
    <row r="110" customFormat="false" ht="15" hidden="false" customHeight="false" outlineLevel="0" collapsed="false">
      <c r="A110" s="24" t="str">
        <f aca="false">IF(B110="","",ROW()-3)</f>
        <v/>
      </c>
      <c r="B110" s="25"/>
      <c r="C110" s="10"/>
      <c r="D110" s="25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6"/>
      <c r="P110" s="24" t="str">
        <f aca="false">IF(K110="","",IFERROR(ABS(K110-L110)/IF(ISNUMBER(SEARCH("JPY",E110)),0.01,IF(ISNUMBER(SEARCH("XAU",E110)),0.01,IF(OR(ISNUMBER(SEARCH("30",E110)),ISNUMBER(SEARCH("500",E110)),ISNUMBER(SEARCH("100",E110))),1,0.0001))),0))</f>
        <v/>
      </c>
      <c r="Q110" s="27" t="str">
        <f aca="false">IF(K110="","",SETTINGS!$B$6*O110)</f>
        <v/>
      </c>
      <c r="R110" s="24" t="str">
        <f aca="false">IF(K110="","",IFERROR(Q110/(P110*IF(ISNUMBER(SEARCH("JPY",E110)),9.09,IF(ISNUMBER(SEARCH("XAU",E110)),1,IF(OR(ISNUMBER(SEARCH("30",E110)),ISNUMBER(SEARCH("500",E110)),ISNUMBER(SEARCH("100",E110))),1,10)))),0))</f>
        <v/>
      </c>
      <c r="S110" s="10"/>
      <c r="T110" s="28"/>
      <c r="U110" s="27" t="str">
        <f aca="false">IF(OR(S110="",T110=0),"",IFERROR((S110-K110)*IF(F110="Sell",-1,1)*R110*T110*IF(ISNUMBER(SEARCH("JPY",E110)),1000,IF(ISNUMBER(SEARCH("XAU",E110)),100,IF(OR(ISNUMBER(SEARCH("30",E110)),ISNUMBER(SEARCH("500",E110)),ISNUMBER(SEARCH("100",E110))),100,100000))),0))</f>
        <v/>
      </c>
      <c r="V110" s="10"/>
      <c r="W110" s="28"/>
      <c r="X110" s="27" t="str">
        <f aca="false">IF(OR(V110="",W110=0),"",IFERROR((V110-K110)*IF(F110="Sell",-1,1)*R110*W110*IF(ISNUMBER(SEARCH("JPY",E110)),1000,IF(ISNUMBER(SEARCH("XAU",E110)),100,IF(OR(ISNUMBER(SEARCH("30",E110)),ISNUMBER(SEARCH("500",E110)),ISNUMBER(SEARCH("100",E110))),100,100000))),0))</f>
        <v/>
      </c>
      <c r="Y110" s="10"/>
      <c r="Z110" s="28"/>
      <c r="AA110" s="27" t="str">
        <f aca="false">IF(OR(Y110="",Z110=0),"",IFERROR((Y110-K110)*IF(F110="Sell",-1,1)*R110*Z110*IF(ISNUMBER(SEARCH("JPY",E110)),1000,IF(ISNUMBER(SEARCH("XAU",E110)),100,IF(OR(ISNUMBER(SEARCH("30",E110)),ISNUMBER(SEARCH("500",E110)),ISNUMBER(SEARCH("100",E110))),100,100000))),0))</f>
        <v/>
      </c>
      <c r="AB110" s="10"/>
      <c r="AC110" s="29" t="str">
        <f aca="false">IF(K110="","",1-IFERROR(T110,0)-IFERROR(W110,0)-IFERROR(Z110,0))</f>
        <v/>
      </c>
      <c r="AD110" s="30" t="str">
        <f aca="false">IF(AB110="","",IFERROR((IFERROR(S110*T110,0)+IFERROR(V110*W110,0)+IFERROR(Y110*Z110,0)+AB110*AC110)/(IFERROR(T110,0)+IFERROR(W110,0)+IFERROR(Z110,0)+AC110),AB110))</f>
        <v/>
      </c>
      <c r="AE110" s="27" t="str">
        <f aca="false">IF(AB110="","",IF(U110="",0,U110)+IF(X110="",0,X110)+IF(AA110="",0,AA110)+IFERROR((AB110-K110)*IF(F110="Sell",-1,1)*R110*AC110*IF(ISNUMBER(SEARCH("JPY",E110)),1000,IF(ISNUMBER(SEARCH("XAU",E110)),100,IF(OR(ISNUMBER(SEARCH("30",E110)),ISNUMBER(SEARCH("500",E110)),ISNUMBER(SEARCH("100",E110))),100,100000))),0))</f>
        <v/>
      </c>
      <c r="AF110" s="31" t="str">
        <f aca="false">IF(OR(K110="",M110="",L110=""),"",IFERROR(ABS(M110-K110)/ABS(K110-L110),0))</f>
        <v/>
      </c>
      <c r="AG110" s="31" t="str">
        <f aca="false">IF(OR(AE110="",AE110=0,Q110=0,Q110=""),"",IFERROR(AE110/Q110,0))</f>
        <v/>
      </c>
      <c r="AH110" s="32" t="str">
        <f aca="false">IF(AB110="","Open",IF(AG110="","Open",IF(AG110&gt;0.1,"Win",IF(AG110&lt;-0.1,"Loss","Breakeven"))))</f>
        <v>Open</v>
      </c>
      <c r="AI110" s="33" t="str">
        <f aca="false">IF(OR(B110="",D110=""),"",D110-B110)</f>
        <v/>
      </c>
      <c r="AJ110" s="24" t="str">
        <f aca="false">IF(AD110="","",IFERROR((AD110-K110)*IF(F110="Sell",-1,1)/IF(ISNUMBER(SEARCH("JPY",E110)),0.01,IF(ISNUMBER(SEARCH("XAU",E110)),0.01,IF(OR(ISNUMBER(SEARCH("30",E110)),ISNUMBER(SEARCH("500",E110)),ISNUMBER(SEARCH("100",E110))),1,0.0001))),0))</f>
        <v/>
      </c>
      <c r="AK110" s="10"/>
      <c r="AL110" s="10"/>
      <c r="AM110" s="10"/>
      <c r="AN110" s="10"/>
      <c r="AO110" s="27" t="str">
        <f aca="false">IF(AE110="","",IFERROR(IF(AO109="",SETTINGS!$B$6,AO109),SETTINGS!$B$6)+IF(AE110="",0,AE110))</f>
        <v/>
      </c>
      <c r="AP110" s="2"/>
    </row>
    <row r="111" customFormat="false" ht="15" hidden="false" customHeight="false" outlineLevel="0" collapsed="false">
      <c r="A111" s="24" t="str">
        <f aca="false">IF(B111="","",ROW()-3)</f>
        <v/>
      </c>
      <c r="B111" s="34"/>
      <c r="C111" s="12"/>
      <c r="D111" s="34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35"/>
      <c r="P111" s="24" t="str">
        <f aca="false">IF(K111="","",IFERROR(ABS(K111-L111)/IF(ISNUMBER(SEARCH("JPY",E111)),0.01,IF(ISNUMBER(SEARCH("XAU",E111)),0.01,IF(OR(ISNUMBER(SEARCH("30",E111)),ISNUMBER(SEARCH("500",E111)),ISNUMBER(SEARCH("100",E111))),1,0.0001))),0))</f>
        <v/>
      </c>
      <c r="Q111" s="27" t="str">
        <f aca="false">IF(K111="","",SETTINGS!$B$6*O111)</f>
        <v/>
      </c>
      <c r="R111" s="24" t="str">
        <f aca="false">IF(K111="","",IFERROR(Q111/(P111*IF(ISNUMBER(SEARCH("JPY",E111)),9.09,IF(ISNUMBER(SEARCH("XAU",E111)),1,IF(OR(ISNUMBER(SEARCH("30",E111)),ISNUMBER(SEARCH("500",E111)),ISNUMBER(SEARCH("100",E111))),1,10)))),0))</f>
        <v/>
      </c>
      <c r="S111" s="12"/>
      <c r="T111" s="36"/>
      <c r="U111" s="27" t="str">
        <f aca="false">IF(OR(S111="",T111=0),"",IFERROR((S111-K111)*IF(F111="Sell",-1,1)*R111*T111*IF(ISNUMBER(SEARCH("JPY",E111)),1000,IF(ISNUMBER(SEARCH("XAU",E111)),100,IF(OR(ISNUMBER(SEARCH("30",E111)),ISNUMBER(SEARCH("500",E111)),ISNUMBER(SEARCH("100",E111))),100,100000))),0))</f>
        <v/>
      </c>
      <c r="V111" s="12"/>
      <c r="W111" s="36"/>
      <c r="X111" s="27" t="str">
        <f aca="false">IF(OR(V111="",W111=0),"",IFERROR((V111-K111)*IF(F111="Sell",-1,1)*R111*W111*IF(ISNUMBER(SEARCH("JPY",E111)),1000,IF(ISNUMBER(SEARCH("XAU",E111)),100,IF(OR(ISNUMBER(SEARCH("30",E111)),ISNUMBER(SEARCH("500",E111)),ISNUMBER(SEARCH("100",E111))),100,100000))),0))</f>
        <v/>
      </c>
      <c r="Y111" s="12"/>
      <c r="Z111" s="36"/>
      <c r="AA111" s="27" t="str">
        <f aca="false">IF(OR(Y111="",Z111=0),"",IFERROR((Y111-K111)*IF(F111="Sell",-1,1)*R111*Z111*IF(ISNUMBER(SEARCH("JPY",E111)),1000,IF(ISNUMBER(SEARCH("XAU",E111)),100,IF(OR(ISNUMBER(SEARCH("30",E111)),ISNUMBER(SEARCH("500",E111)),ISNUMBER(SEARCH("100",E111))),100,100000))),0))</f>
        <v/>
      </c>
      <c r="AB111" s="12"/>
      <c r="AC111" s="29" t="str">
        <f aca="false">IF(K111="","",1-IFERROR(T111,0)-IFERROR(W111,0)-IFERROR(Z111,0))</f>
        <v/>
      </c>
      <c r="AD111" s="30" t="str">
        <f aca="false">IF(AB111="","",IFERROR((IFERROR(S111*T111,0)+IFERROR(V111*W111,0)+IFERROR(Y111*Z111,0)+AB111*AC111)/(IFERROR(T111,0)+IFERROR(W111,0)+IFERROR(Z111,0)+AC111),AB111))</f>
        <v/>
      </c>
      <c r="AE111" s="27" t="str">
        <f aca="false">IF(AB111="","",IF(U111="",0,U111)+IF(X111="",0,X111)+IF(AA111="",0,AA111)+IFERROR((AB111-K111)*IF(F111="Sell",-1,1)*R111*AC111*IF(ISNUMBER(SEARCH("JPY",E111)),1000,IF(ISNUMBER(SEARCH("XAU",E111)),100,IF(OR(ISNUMBER(SEARCH("30",E111)),ISNUMBER(SEARCH("500",E111)),ISNUMBER(SEARCH("100",E111))),100,100000))),0))</f>
        <v/>
      </c>
      <c r="AF111" s="31" t="str">
        <f aca="false">IF(OR(K111="",M111="",L111=""),"",IFERROR(ABS(M111-K111)/ABS(K111-L111),0))</f>
        <v/>
      </c>
      <c r="AG111" s="31" t="str">
        <f aca="false">IF(OR(AE111="",AE111=0,Q111=0,Q111=""),"",IFERROR(AE111/Q111,0))</f>
        <v/>
      </c>
      <c r="AH111" s="32" t="str">
        <f aca="false">IF(AB111="","Open",IF(AG111="","Open",IF(AG111&gt;0.1,"Win",IF(AG111&lt;-0.1,"Loss","Breakeven"))))</f>
        <v>Open</v>
      </c>
      <c r="AI111" s="33" t="str">
        <f aca="false">IF(OR(B111="",D111=""),"",D111-B111)</f>
        <v/>
      </c>
      <c r="AJ111" s="24" t="str">
        <f aca="false">IF(AD111="","",IFERROR((AD111-K111)*IF(F111="Sell",-1,1)/IF(ISNUMBER(SEARCH("JPY",E111)),0.01,IF(ISNUMBER(SEARCH("XAU",E111)),0.01,IF(OR(ISNUMBER(SEARCH("30",E111)),ISNUMBER(SEARCH("500",E111)),ISNUMBER(SEARCH("100",E111))),1,0.0001))),0))</f>
        <v/>
      </c>
      <c r="AK111" s="12"/>
      <c r="AL111" s="12"/>
      <c r="AM111" s="12"/>
      <c r="AN111" s="12"/>
      <c r="AO111" s="27" t="str">
        <f aca="false">IF(AE111="","",IFERROR(IF(AO110="",SETTINGS!$B$6,AO110),SETTINGS!$B$6)+IF(AE111="",0,AE111))</f>
        <v/>
      </c>
      <c r="AP111" s="2"/>
    </row>
    <row r="112" customFormat="false" ht="15" hidden="false" customHeight="false" outlineLevel="0" collapsed="false">
      <c r="A112" s="24" t="str">
        <f aca="false">IF(B112="","",ROW()-3)</f>
        <v/>
      </c>
      <c r="B112" s="25"/>
      <c r="C112" s="10"/>
      <c r="D112" s="25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26"/>
      <c r="P112" s="24" t="str">
        <f aca="false">IF(K112="","",IFERROR(ABS(K112-L112)/IF(ISNUMBER(SEARCH("JPY",E112)),0.01,IF(ISNUMBER(SEARCH("XAU",E112)),0.01,IF(OR(ISNUMBER(SEARCH("30",E112)),ISNUMBER(SEARCH("500",E112)),ISNUMBER(SEARCH("100",E112))),1,0.0001))),0))</f>
        <v/>
      </c>
      <c r="Q112" s="27" t="str">
        <f aca="false">IF(K112="","",SETTINGS!$B$6*O112)</f>
        <v/>
      </c>
      <c r="R112" s="24" t="str">
        <f aca="false">IF(K112="","",IFERROR(Q112/(P112*IF(ISNUMBER(SEARCH("JPY",E112)),9.09,IF(ISNUMBER(SEARCH("XAU",E112)),1,IF(OR(ISNUMBER(SEARCH("30",E112)),ISNUMBER(SEARCH("500",E112)),ISNUMBER(SEARCH("100",E112))),1,10)))),0))</f>
        <v/>
      </c>
      <c r="S112" s="10"/>
      <c r="T112" s="28"/>
      <c r="U112" s="27" t="str">
        <f aca="false">IF(OR(S112="",T112=0),"",IFERROR((S112-K112)*IF(F112="Sell",-1,1)*R112*T112*IF(ISNUMBER(SEARCH("JPY",E112)),1000,IF(ISNUMBER(SEARCH("XAU",E112)),100,IF(OR(ISNUMBER(SEARCH("30",E112)),ISNUMBER(SEARCH("500",E112)),ISNUMBER(SEARCH("100",E112))),100,100000))),0))</f>
        <v/>
      </c>
      <c r="V112" s="10"/>
      <c r="W112" s="28"/>
      <c r="X112" s="27" t="str">
        <f aca="false">IF(OR(V112="",W112=0),"",IFERROR((V112-K112)*IF(F112="Sell",-1,1)*R112*W112*IF(ISNUMBER(SEARCH("JPY",E112)),1000,IF(ISNUMBER(SEARCH("XAU",E112)),100,IF(OR(ISNUMBER(SEARCH("30",E112)),ISNUMBER(SEARCH("500",E112)),ISNUMBER(SEARCH("100",E112))),100,100000))),0))</f>
        <v/>
      </c>
      <c r="Y112" s="10"/>
      <c r="Z112" s="28"/>
      <c r="AA112" s="27" t="str">
        <f aca="false">IF(OR(Y112="",Z112=0),"",IFERROR((Y112-K112)*IF(F112="Sell",-1,1)*R112*Z112*IF(ISNUMBER(SEARCH("JPY",E112)),1000,IF(ISNUMBER(SEARCH("XAU",E112)),100,IF(OR(ISNUMBER(SEARCH("30",E112)),ISNUMBER(SEARCH("500",E112)),ISNUMBER(SEARCH("100",E112))),100,100000))),0))</f>
        <v/>
      </c>
      <c r="AB112" s="10"/>
      <c r="AC112" s="29" t="str">
        <f aca="false">IF(K112="","",1-IFERROR(T112,0)-IFERROR(W112,0)-IFERROR(Z112,0))</f>
        <v/>
      </c>
      <c r="AD112" s="30" t="str">
        <f aca="false">IF(AB112="","",IFERROR((IFERROR(S112*T112,0)+IFERROR(V112*W112,0)+IFERROR(Y112*Z112,0)+AB112*AC112)/(IFERROR(T112,0)+IFERROR(W112,0)+IFERROR(Z112,0)+AC112),AB112))</f>
        <v/>
      </c>
      <c r="AE112" s="27" t="str">
        <f aca="false">IF(AB112="","",IF(U112="",0,U112)+IF(X112="",0,X112)+IF(AA112="",0,AA112)+IFERROR((AB112-K112)*IF(F112="Sell",-1,1)*R112*AC112*IF(ISNUMBER(SEARCH("JPY",E112)),1000,IF(ISNUMBER(SEARCH("XAU",E112)),100,IF(OR(ISNUMBER(SEARCH("30",E112)),ISNUMBER(SEARCH("500",E112)),ISNUMBER(SEARCH("100",E112))),100,100000))),0))</f>
        <v/>
      </c>
      <c r="AF112" s="31" t="str">
        <f aca="false">IF(OR(K112="",M112="",L112=""),"",IFERROR(ABS(M112-K112)/ABS(K112-L112),0))</f>
        <v/>
      </c>
      <c r="AG112" s="31" t="str">
        <f aca="false">IF(OR(AE112="",AE112=0,Q112=0,Q112=""),"",IFERROR(AE112/Q112,0))</f>
        <v/>
      </c>
      <c r="AH112" s="32" t="str">
        <f aca="false">IF(AB112="","Open",IF(AG112="","Open",IF(AG112&gt;0.1,"Win",IF(AG112&lt;-0.1,"Loss","Breakeven"))))</f>
        <v>Open</v>
      </c>
      <c r="AI112" s="33" t="str">
        <f aca="false">IF(OR(B112="",D112=""),"",D112-B112)</f>
        <v/>
      </c>
      <c r="AJ112" s="24" t="str">
        <f aca="false">IF(AD112="","",IFERROR((AD112-K112)*IF(F112="Sell",-1,1)/IF(ISNUMBER(SEARCH("JPY",E112)),0.01,IF(ISNUMBER(SEARCH("XAU",E112)),0.01,IF(OR(ISNUMBER(SEARCH("30",E112)),ISNUMBER(SEARCH("500",E112)),ISNUMBER(SEARCH("100",E112))),1,0.0001))),0))</f>
        <v/>
      </c>
      <c r="AK112" s="10"/>
      <c r="AL112" s="10"/>
      <c r="AM112" s="10"/>
      <c r="AN112" s="10"/>
      <c r="AO112" s="27" t="str">
        <f aca="false">IF(AE112="","",IFERROR(IF(AO111="",SETTINGS!$B$6,AO111),SETTINGS!$B$6)+IF(AE112="",0,AE112))</f>
        <v/>
      </c>
      <c r="AP112" s="2"/>
    </row>
    <row r="113" customFormat="false" ht="15" hidden="false" customHeight="false" outlineLevel="0" collapsed="false">
      <c r="A113" s="24" t="str">
        <f aca="false">IF(B113="","",ROW()-3)</f>
        <v/>
      </c>
      <c r="B113" s="34"/>
      <c r="C113" s="12"/>
      <c r="D113" s="34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35"/>
      <c r="P113" s="24" t="str">
        <f aca="false">IF(K113="","",IFERROR(ABS(K113-L113)/IF(ISNUMBER(SEARCH("JPY",E113)),0.01,IF(ISNUMBER(SEARCH("XAU",E113)),0.01,IF(OR(ISNUMBER(SEARCH("30",E113)),ISNUMBER(SEARCH("500",E113)),ISNUMBER(SEARCH("100",E113))),1,0.0001))),0))</f>
        <v/>
      </c>
      <c r="Q113" s="27" t="str">
        <f aca="false">IF(K113="","",SETTINGS!$B$6*O113)</f>
        <v/>
      </c>
      <c r="R113" s="24" t="str">
        <f aca="false">IF(K113="","",IFERROR(Q113/(P113*IF(ISNUMBER(SEARCH("JPY",E113)),9.09,IF(ISNUMBER(SEARCH("XAU",E113)),1,IF(OR(ISNUMBER(SEARCH("30",E113)),ISNUMBER(SEARCH("500",E113)),ISNUMBER(SEARCH("100",E113))),1,10)))),0))</f>
        <v/>
      </c>
      <c r="S113" s="12"/>
      <c r="T113" s="36"/>
      <c r="U113" s="27" t="str">
        <f aca="false">IF(OR(S113="",T113=0),"",IFERROR((S113-K113)*IF(F113="Sell",-1,1)*R113*T113*IF(ISNUMBER(SEARCH("JPY",E113)),1000,IF(ISNUMBER(SEARCH("XAU",E113)),100,IF(OR(ISNUMBER(SEARCH("30",E113)),ISNUMBER(SEARCH("500",E113)),ISNUMBER(SEARCH("100",E113))),100,100000))),0))</f>
        <v/>
      </c>
      <c r="V113" s="12"/>
      <c r="W113" s="36"/>
      <c r="X113" s="27" t="str">
        <f aca="false">IF(OR(V113="",W113=0),"",IFERROR((V113-K113)*IF(F113="Sell",-1,1)*R113*W113*IF(ISNUMBER(SEARCH("JPY",E113)),1000,IF(ISNUMBER(SEARCH("XAU",E113)),100,IF(OR(ISNUMBER(SEARCH("30",E113)),ISNUMBER(SEARCH("500",E113)),ISNUMBER(SEARCH("100",E113))),100,100000))),0))</f>
        <v/>
      </c>
      <c r="Y113" s="12"/>
      <c r="Z113" s="36"/>
      <c r="AA113" s="27" t="str">
        <f aca="false">IF(OR(Y113="",Z113=0),"",IFERROR((Y113-K113)*IF(F113="Sell",-1,1)*R113*Z113*IF(ISNUMBER(SEARCH("JPY",E113)),1000,IF(ISNUMBER(SEARCH("XAU",E113)),100,IF(OR(ISNUMBER(SEARCH("30",E113)),ISNUMBER(SEARCH("500",E113)),ISNUMBER(SEARCH("100",E113))),100,100000))),0))</f>
        <v/>
      </c>
      <c r="AB113" s="12"/>
      <c r="AC113" s="29" t="str">
        <f aca="false">IF(K113="","",1-IFERROR(T113,0)-IFERROR(W113,0)-IFERROR(Z113,0))</f>
        <v/>
      </c>
      <c r="AD113" s="30" t="str">
        <f aca="false">IF(AB113="","",IFERROR((IFERROR(S113*T113,0)+IFERROR(V113*W113,0)+IFERROR(Y113*Z113,0)+AB113*AC113)/(IFERROR(T113,0)+IFERROR(W113,0)+IFERROR(Z113,0)+AC113),AB113))</f>
        <v/>
      </c>
      <c r="AE113" s="27" t="str">
        <f aca="false">IF(AB113="","",IF(U113="",0,U113)+IF(X113="",0,X113)+IF(AA113="",0,AA113)+IFERROR((AB113-K113)*IF(F113="Sell",-1,1)*R113*AC113*IF(ISNUMBER(SEARCH("JPY",E113)),1000,IF(ISNUMBER(SEARCH("XAU",E113)),100,IF(OR(ISNUMBER(SEARCH("30",E113)),ISNUMBER(SEARCH("500",E113)),ISNUMBER(SEARCH("100",E113))),100,100000))),0))</f>
        <v/>
      </c>
      <c r="AF113" s="31" t="str">
        <f aca="false">IF(OR(K113="",M113="",L113=""),"",IFERROR(ABS(M113-K113)/ABS(K113-L113),0))</f>
        <v/>
      </c>
      <c r="AG113" s="31" t="str">
        <f aca="false">IF(OR(AE113="",AE113=0,Q113=0,Q113=""),"",IFERROR(AE113/Q113,0))</f>
        <v/>
      </c>
      <c r="AH113" s="32" t="str">
        <f aca="false">IF(AB113="","Open",IF(AG113="","Open",IF(AG113&gt;0.1,"Win",IF(AG113&lt;-0.1,"Loss","Breakeven"))))</f>
        <v>Open</v>
      </c>
      <c r="AI113" s="33" t="str">
        <f aca="false">IF(OR(B113="",D113=""),"",D113-B113)</f>
        <v/>
      </c>
      <c r="AJ113" s="24" t="str">
        <f aca="false">IF(AD113="","",IFERROR((AD113-K113)*IF(F113="Sell",-1,1)/IF(ISNUMBER(SEARCH("JPY",E113)),0.01,IF(ISNUMBER(SEARCH("XAU",E113)),0.01,IF(OR(ISNUMBER(SEARCH("30",E113)),ISNUMBER(SEARCH("500",E113)),ISNUMBER(SEARCH("100",E113))),1,0.0001))),0))</f>
        <v/>
      </c>
      <c r="AK113" s="12"/>
      <c r="AL113" s="12"/>
      <c r="AM113" s="12"/>
      <c r="AN113" s="12"/>
      <c r="AO113" s="27" t="str">
        <f aca="false">IF(AE113="","",IFERROR(IF(AO112="",SETTINGS!$B$6,AO112),SETTINGS!$B$6)+IF(AE113="",0,AE113))</f>
        <v/>
      </c>
      <c r="AP113" s="2"/>
    </row>
    <row r="114" customFormat="false" ht="15" hidden="false" customHeight="false" outlineLevel="0" collapsed="false">
      <c r="A114" s="24" t="str">
        <f aca="false">IF(B114="","",ROW()-3)</f>
        <v/>
      </c>
      <c r="B114" s="25"/>
      <c r="C114" s="10"/>
      <c r="D114" s="25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26"/>
      <c r="P114" s="24" t="str">
        <f aca="false">IF(K114="","",IFERROR(ABS(K114-L114)/IF(ISNUMBER(SEARCH("JPY",E114)),0.01,IF(ISNUMBER(SEARCH("XAU",E114)),0.01,IF(OR(ISNUMBER(SEARCH("30",E114)),ISNUMBER(SEARCH("500",E114)),ISNUMBER(SEARCH("100",E114))),1,0.0001))),0))</f>
        <v/>
      </c>
      <c r="Q114" s="27" t="str">
        <f aca="false">IF(K114="","",SETTINGS!$B$6*O114)</f>
        <v/>
      </c>
      <c r="R114" s="24" t="str">
        <f aca="false">IF(K114="","",IFERROR(Q114/(P114*IF(ISNUMBER(SEARCH("JPY",E114)),9.09,IF(ISNUMBER(SEARCH("XAU",E114)),1,IF(OR(ISNUMBER(SEARCH("30",E114)),ISNUMBER(SEARCH("500",E114)),ISNUMBER(SEARCH("100",E114))),1,10)))),0))</f>
        <v/>
      </c>
      <c r="S114" s="10"/>
      <c r="T114" s="28"/>
      <c r="U114" s="27" t="str">
        <f aca="false">IF(OR(S114="",T114=0),"",IFERROR((S114-K114)*IF(F114="Sell",-1,1)*R114*T114*IF(ISNUMBER(SEARCH("JPY",E114)),1000,IF(ISNUMBER(SEARCH("XAU",E114)),100,IF(OR(ISNUMBER(SEARCH("30",E114)),ISNUMBER(SEARCH("500",E114)),ISNUMBER(SEARCH("100",E114))),100,100000))),0))</f>
        <v/>
      </c>
      <c r="V114" s="10"/>
      <c r="W114" s="28"/>
      <c r="X114" s="27" t="str">
        <f aca="false">IF(OR(V114="",W114=0),"",IFERROR((V114-K114)*IF(F114="Sell",-1,1)*R114*W114*IF(ISNUMBER(SEARCH("JPY",E114)),1000,IF(ISNUMBER(SEARCH("XAU",E114)),100,IF(OR(ISNUMBER(SEARCH("30",E114)),ISNUMBER(SEARCH("500",E114)),ISNUMBER(SEARCH("100",E114))),100,100000))),0))</f>
        <v/>
      </c>
      <c r="Y114" s="10"/>
      <c r="Z114" s="28"/>
      <c r="AA114" s="27" t="str">
        <f aca="false">IF(OR(Y114="",Z114=0),"",IFERROR((Y114-K114)*IF(F114="Sell",-1,1)*R114*Z114*IF(ISNUMBER(SEARCH("JPY",E114)),1000,IF(ISNUMBER(SEARCH("XAU",E114)),100,IF(OR(ISNUMBER(SEARCH("30",E114)),ISNUMBER(SEARCH("500",E114)),ISNUMBER(SEARCH("100",E114))),100,100000))),0))</f>
        <v/>
      </c>
      <c r="AB114" s="10"/>
      <c r="AC114" s="29" t="str">
        <f aca="false">IF(K114="","",1-IFERROR(T114,0)-IFERROR(W114,0)-IFERROR(Z114,0))</f>
        <v/>
      </c>
      <c r="AD114" s="30" t="str">
        <f aca="false">IF(AB114="","",IFERROR((IFERROR(S114*T114,0)+IFERROR(V114*W114,0)+IFERROR(Y114*Z114,0)+AB114*AC114)/(IFERROR(T114,0)+IFERROR(W114,0)+IFERROR(Z114,0)+AC114),AB114))</f>
        <v/>
      </c>
      <c r="AE114" s="27" t="str">
        <f aca="false">IF(AB114="","",IF(U114="",0,U114)+IF(X114="",0,X114)+IF(AA114="",0,AA114)+IFERROR((AB114-K114)*IF(F114="Sell",-1,1)*R114*AC114*IF(ISNUMBER(SEARCH("JPY",E114)),1000,IF(ISNUMBER(SEARCH("XAU",E114)),100,IF(OR(ISNUMBER(SEARCH("30",E114)),ISNUMBER(SEARCH("500",E114)),ISNUMBER(SEARCH("100",E114))),100,100000))),0))</f>
        <v/>
      </c>
      <c r="AF114" s="31" t="str">
        <f aca="false">IF(OR(K114="",M114="",L114=""),"",IFERROR(ABS(M114-K114)/ABS(K114-L114),0))</f>
        <v/>
      </c>
      <c r="AG114" s="31" t="str">
        <f aca="false">IF(OR(AE114="",AE114=0,Q114=0,Q114=""),"",IFERROR(AE114/Q114,0))</f>
        <v/>
      </c>
      <c r="AH114" s="32" t="str">
        <f aca="false">IF(AB114="","Open",IF(AG114="","Open",IF(AG114&gt;0.1,"Win",IF(AG114&lt;-0.1,"Loss","Breakeven"))))</f>
        <v>Open</v>
      </c>
      <c r="AI114" s="33" t="str">
        <f aca="false">IF(OR(B114="",D114=""),"",D114-B114)</f>
        <v/>
      </c>
      <c r="AJ114" s="24" t="str">
        <f aca="false">IF(AD114="","",IFERROR((AD114-K114)*IF(F114="Sell",-1,1)/IF(ISNUMBER(SEARCH("JPY",E114)),0.01,IF(ISNUMBER(SEARCH("XAU",E114)),0.01,IF(OR(ISNUMBER(SEARCH("30",E114)),ISNUMBER(SEARCH("500",E114)),ISNUMBER(SEARCH("100",E114))),1,0.0001))),0))</f>
        <v/>
      </c>
      <c r="AK114" s="10"/>
      <c r="AL114" s="10"/>
      <c r="AM114" s="10"/>
      <c r="AN114" s="10"/>
      <c r="AO114" s="27" t="str">
        <f aca="false">IF(AE114="","",IFERROR(IF(AO113="",SETTINGS!$B$6,AO113),SETTINGS!$B$6)+IF(AE114="",0,AE114))</f>
        <v/>
      </c>
      <c r="AP114" s="2"/>
    </row>
    <row r="115" customFormat="false" ht="15" hidden="false" customHeight="false" outlineLevel="0" collapsed="false">
      <c r="A115" s="24" t="str">
        <f aca="false">IF(B115="","",ROW()-3)</f>
        <v/>
      </c>
      <c r="B115" s="34"/>
      <c r="C115" s="12"/>
      <c r="D115" s="34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35"/>
      <c r="P115" s="24" t="str">
        <f aca="false">IF(K115="","",IFERROR(ABS(K115-L115)/IF(ISNUMBER(SEARCH("JPY",E115)),0.01,IF(ISNUMBER(SEARCH("XAU",E115)),0.01,IF(OR(ISNUMBER(SEARCH("30",E115)),ISNUMBER(SEARCH("500",E115)),ISNUMBER(SEARCH("100",E115))),1,0.0001))),0))</f>
        <v/>
      </c>
      <c r="Q115" s="27" t="str">
        <f aca="false">IF(K115="","",SETTINGS!$B$6*O115)</f>
        <v/>
      </c>
      <c r="R115" s="24" t="str">
        <f aca="false">IF(K115="","",IFERROR(Q115/(P115*IF(ISNUMBER(SEARCH("JPY",E115)),9.09,IF(ISNUMBER(SEARCH("XAU",E115)),1,IF(OR(ISNUMBER(SEARCH("30",E115)),ISNUMBER(SEARCH("500",E115)),ISNUMBER(SEARCH("100",E115))),1,10)))),0))</f>
        <v/>
      </c>
      <c r="S115" s="12"/>
      <c r="T115" s="36"/>
      <c r="U115" s="27" t="str">
        <f aca="false">IF(OR(S115="",T115=0),"",IFERROR((S115-K115)*IF(F115="Sell",-1,1)*R115*T115*IF(ISNUMBER(SEARCH("JPY",E115)),1000,IF(ISNUMBER(SEARCH("XAU",E115)),100,IF(OR(ISNUMBER(SEARCH("30",E115)),ISNUMBER(SEARCH("500",E115)),ISNUMBER(SEARCH("100",E115))),100,100000))),0))</f>
        <v/>
      </c>
      <c r="V115" s="12"/>
      <c r="W115" s="36"/>
      <c r="X115" s="27" t="str">
        <f aca="false">IF(OR(V115="",W115=0),"",IFERROR((V115-K115)*IF(F115="Sell",-1,1)*R115*W115*IF(ISNUMBER(SEARCH("JPY",E115)),1000,IF(ISNUMBER(SEARCH("XAU",E115)),100,IF(OR(ISNUMBER(SEARCH("30",E115)),ISNUMBER(SEARCH("500",E115)),ISNUMBER(SEARCH("100",E115))),100,100000))),0))</f>
        <v/>
      </c>
      <c r="Y115" s="12"/>
      <c r="Z115" s="36"/>
      <c r="AA115" s="27" t="str">
        <f aca="false">IF(OR(Y115="",Z115=0),"",IFERROR((Y115-K115)*IF(F115="Sell",-1,1)*R115*Z115*IF(ISNUMBER(SEARCH("JPY",E115)),1000,IF(ISNUMBER(SEARCH("XAU",E115)),100,IF(OR(ISNUMBER(SEARCH("30",E115)),ISNUMBER(SEARCH("500",E115)),ISNUMBER(SEARCH("100",E115))),100,100000))),0))</f>
        <v/>
      </c>
      <c r="AB115" s="12"/>
      <c r="AC115" s="29" t="str">
        <f aca="false">IF(K115="","",1-IFERROR(T115,0)-IFERROR(W115,0)-IFERROR(Z115,0))</f>
        <v/>
      </c>
      <c r="AD115" s="30" t="str">
        <f aca="false">IF(AB115="","",IFERROR((IFERROR(S115*T115,0)+IFERROR(V115*W115,0)+IFERROR(Y115*Z115,0)+AB115*AC115)/(IFERROR(T115,0)+IFERROR(W115,0)+IFERROR(Z115,0)+AC115),AB115))</f>
        <v/>
      </c>
      <c r="AE115" s="27" t="str">
        <f aca="false">IF(AB115="","",IF(U115="",0,U115)+IF(X115="",0,X115)+IF(AA115="",0,AA115)+IFERROR((AB115-K115)*IF(F115="Sell",-1,1)*R115*AC115*IF(ISNUMBER(SEARCH("JPY",E115)),1000,IF(ISNUMBER(SEARCH("XAU",E115)),100,IF(OR(ISNUMBER(SEARCH("30",E115)),ISNUMBER(SEARCH("500",E115)),ISNUMBER(SEARCH("100",E115))),100,100000))),0))</f>
        <v/>
      </c>
      <c r="AF115" s="31" t="str">
        <f aca="false">IF(OR(K115="",M115="",L115=""),"",IFERROR(ABS(M115-K115)/ABS(K115-L115),0))</f>
        <v/>
      </c>
      <c r="AG115" s="31" t="str">
        <f aca="false">IF(OR(AE115="",AE115=0,Q115=0,Q115=""),"",IFERROR(AE115/Q115,0))</f>
        <v/>
      </c>
      <c r="AH115" s="32" t="str">
        <f aca="false">IF(AB115="","Open",IF(AG115="","Open",IF(AG115&gt;0.1,"Win",IF(AG115&lt;-0.1,"Loss","Breakeven"))))</f>
        <v>Open</v>
      </c>
      <c r="AI115" s="33" t="str">
        <f aca="false">IF(OR(B115="",D115=""),"",D115-B115)</f>
        <v/>
      </c>
      <c r="AJ115" s="24" t="str">
        <f aca="false">IF(AD115="","",IFERROR((AD115-K115)*IF(F115="Sell",-1,1)/IF(ISNUMBER(SEARCH("JPY",E115)),0.01,IF(ISNUMBER(SEARCH("XAU",E115)),0.01,IF(OR(ISNUMBER(SEARCH("30",E115)),ISNUMBER(SEARCH("500",E115)),ISNUMBER(SEARCH("100",E115))),1,0.0001))),0))</f>
        <v/>
      </c>
      <c r="AK115" s="12"/>
      <c r="AL115" s="12"/>
      <c r="AM115" s="12"/>
      <c r="AN115" s="12"/>
      <c r="AO115" s="27" t="str">
        <f aca="false">IF(AE115="","",IFERROR(IF(AO114="",SETTINGS!$B$6,AO114),SETTINGS!$B$6)+IF(AE115="",0,AE115))</f>
        <v/>
      </c>
      <c r="AP115" s="2"/>
    </row>
    <row r="116" customFormat="false" ht="15" hidden="false" customHeight="false" outlineLevel="0" collapsed="false">
      <c r="A116" s="24" t="str">
        <f aca="false">IF(B116="","",ROW()-3)</f>
        <v/>
      </c>
      <c r="B116" s="25"/>
      <c r="C116" s="10"/>
      <c r="D116" s="25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26"/>
      <c r="P116" s="24" t="str">
        <f aca="false">IF(K116="","",IFERROR(ABS(K116-L116)/IF(ISNUMBER(SEARCH("JPY",E116)),0.01,IF(ISNUMBER(SEARCH("XAU",E116)),0.01,IF(OR(ISNUMBER(SEARCH("30",E116)),ISNUMBER(SEARCH("500",E116)),ISNUMBER(SEARCH("100",E116))),1,0.0001))),0))</f>
        <v/>
      </c>
      <c r="Q116" s="27" t="str">
        <f aca="false">IF(K116="","",SETTINGS!$B$6*O116)</f>
        <v/>
      </c>
      <c r="R116" s="24" t="str">
        <f aca="false">IF(K116="","",IFERROR(Q116/(P116*IF(ISNUMBER(SEARCH("JPY",E116)),9.09,IF(ISNUMBER(SEARCH("XAU",E116)),1,IF(OR(ISNUMBER(SEARCH("30",E116)),ISNUMBER(SEARCH("500",E116)),ISNUMBER(SEARCH("100",E116))),1,10)))),0))</f>
        <v/>
      </c>
      <c r="S116" s="10"/>
      <c r="T116" s="28"/>
      <c r="U116" s="27" t="str">
        <f aca="false">IF(OR(S116="",T116=0),"",IFERROR((S116-K116)*IF(F116="Sell",-1,1)*R116*T116*IF(ISNUMBER(SEARCH("JPY",E116)),1000,IF(ISNUMBER(SEARCH("XAU",E116)),100,IF(OR(ISNUMBER(SEARCH("30",E116)),ISNUMBER(SEARCH("500",E116)),ISNUMBER(SEARCH("100",E116))),100,100000))),0))</f>
        <v/>
      </c>
      <c r="V116" s="10"/>
      <c r="W116" s="28"/>
      <c r="X116" s="27" t="str">
        <f aca="false">IF(OR(V116="",W116=0),"",IFERROR((V116-K116)*IF(F116="Sell",-1,1)*R116*W116*IF(ISNUMBER(SEARCH("JPY",E116)),1000,IF(ISNUMBER(SEARCH("XAU",E116)),100,IF(OR(ISNUMBER(SEARCH("30",E116)),ISNUMBER(SEARCH("500",E116)),ISNUMBER(SEARCH("100",E116))),100,100000))),0))</f>
        <v/>
      </c>
      <c r="Y116" s="10"/>
      <c r="Z116" s="28"/>
      <c r="AA116" s="27" t="str">
        <f aca="false">IF(OR(Y116="",Z116=0),"",IFERROR((Y116-K116)*IF(F116="Sell",-1,1)*R116*Z116*IF(ISNUMBER(SEARCH("JPY",E116)),1000,IF(ISNUMBER(SEARCH("XAU",E116)),100,IF(OR(ISNUMBER(SEARCH("30",E116)),ISNUMBER(SEARCH("500",E116)),ISNUMBER(SEARCH("100",E116))),100,100000))),0))</f>
        <v/>
      </c>
      <c r="AB116" s="10"/>
      <c r="AC116" s="29" t="str">
        <f aca="false">IF(K116="","",1-IFERROR(T116,0)-IFERROR(W116,0)-IFERROR(Z116,0))</f>
        <v/>
      </c>
      <c r="AD116" s="30" t="str">
        <f aca="false">IF(AB116="","",IFERROR((IFERROR(S116*T116,0)+IFERROR(V116*W116,0)+IFERROR(Y116*Z116,0)+AB116*AC116)/(IFERROR(T116,0)+IFERROR(W116,0)+IFERROR(Z116,0)+AC116),AB116))</f>
        <v/>
      </c>
      <c r="AE116" s="27" t="str">
        <f aca="false">IF(AB116="","",IF(U116="",0,U116)+IF(X116="",0,X116)+IF(AA116="",0,AA116)+IFERROR((AB116-K116)*IF(F116="Sell",-1,1)*R116*AC116*IF(ISNUMBER(SEARCH("JPY",E116)),1000,IF(ISNUMBER(SEARCH("XAU",E116)),100,IF(OR(ISNUMBER(SEARCH("30",E116)),ISNUMBER(SEARCH("500",E116)),ISNUMBER(SEARCH("100",E116))),100,100000))),0))</f>
        <v/>
      </c>
      <c r="AF116" s="31" t="str">
        <f aca="false">IF(OR(K116="",M116="",L116=""),"",IFERROR(ABS(M116-K116)/ABS(K116-L116),0))</f>
        <v/>
      </c>
      <c r="AG116" s="31" t="str">
        <f aca="false">IF(OR(AE116="",AE116=0,Q116=0,Q116=""),"",IFERROR(AE116/Q116,0))</f>
        <v/>
      </c>
      <c r="AH116" s="32" t="str">
        <f aca="false">IF(AB116="","Open",IF(AG116="","Open",IF(AG116&gt;0.1,"Win",IF(AG116&lt;-0.1,"Loss","Breakeven"))))</f>
        <v>Open</v>
      </c>
      <c r="AI116" s="33" t="str">
        <f aca="false">IF(OR(B116="",D116=""),"",D116-B116)</f>
        <v/>
      </c>
      <c r="AJ116" s="24" t="str">
        <f aca="false">IF(AD116="","",IFERROR((AD116-K116)*IF(F116="Sell",-1,1)/IF(ISNUMBER(SEARCH("JPY",E116)),0.01,IF(ISNUMBER(SEARCH("XAU",E116)),0.01,IF(OR(ISNUMBER(SEARCH("30",E116)),ISNUMBER(SEARCH("500",E116)),ISNUMBER(SEARCH("100",E116))),1,0.0001))),0))</f>
        <v/>
      </c>
      <c r="AK116" s="10"/>
      <c r="AL116" s="10"/>
      <c r="AM116" s="10"/>
      <c r="AN116" s="10"/>
      <c r="AO116" s="27" t="str">
        <f aca="false">IF(AE116="","",IFERROR(IF(AO115="",SETTINGS!$B$6,AO115),SETTINGS!$B$6)+IF(AE116="",0,AE116))</f>
        <v/>
      </c>
      <c r="AP116" s="2"/>
    </row>
    <row r="117" customFormat="false" ht="15" hidden="false" customHeight="false" outlineLevel="0" collapsed="false">
      <c r="A117" s="24" t="str">
        <f aca="false">IF(B117="","",ROW()-3)</f>
        <v/>
      </c>
      <c r="B117" s="34"/>
      <c r="C117" s="12"/>
      <c r="D117" s="34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35"/>
      <c r="P117" s="24" t="str">
        <f aca="false">IF(K117="","",IFERROR(ABS(K117-L117)/IF(ISNUMBER(SEARCH("JPY",E117)),0.01,IF(ISNUMBER(SEARCH("XAU",E117)),0.01,IF(OR(ISNUMBER(SEARCH("30",E117)),ISNUMBER(SEARCH("500",E117)),ISNUMBER(SEARCH("100",E117))),1,0.0001))),0))</f>
        <v/>
      </c>
      <c r="Q117" s="27" t="str">
        <f aca="false">IF(K117="","",SETTINGS!$B$6*O117)</f>
        <v/>
      </c>
      <c r="R117" s="24" t="str">
        <f aca="false">IF(K117="","",IFERROR(Q117/(P117*IF(ISNUMBER(SEARCH("JPY",E117)),9.09,IF(ISNUMBER(SEARCH("XAU",E117)),1,IF(OR(ISNUMBER(SEARCH("30",E117)),ISNUMBER(SEARCH("500",E117)),ISNUMBER(SEARCH("100",E117))),1,10)))),0))</f>
        <v/>
      </c>
      <c r="S117" s="12"/>
      <c r="T117" s="36"/>
      <c r="U117" s="27" t="str">
        <f aca="false">IF(OR(S117="",T117=0),"",IFERROR((S117-K117)*IF(F117="Sell",-1,1)*R117*T117*IF(ISNUMBER(SEARCH("JPY",E117)),1000,IF(ISNUMBER(SEARCH("XAU",E117)),100,IF(OR(ISNUMBER(SEARCH("30",E117)),ISNUMBER(SEARCH("500",E117)),ISNUMBER(SEARCH("100",E117))),100,100000))),0))</f>
        <v/>
      </c>
      <c r="V117" s="12"/>
      <c r="W117" s="36"/>
      <c r="X117" s="27" t="str">
        <f aca="false">IF(OR(V117="",W117=0),"",IFERROR((V117-K117)*IF(F117="Sell",-1,1)*R117*W117*IF(ISNUMBER(SEARCH("JPY",E117)),1000,IF(ISNUMBER(SEARCH("XAU",E117)),100,IF(OR(ISNUMBER(SEARCH("30",E117)),ISNUMBER(SEARCH("500",E117)),ISNUMBER(SEARCH("100",E117))),100,100000))),0))</f>
        <v/>
      </c>
      <c r="Y117" s="12"/>
      <c r="Z117" s="36"/>
      <c r="AA117" s="27" t="str">
        <f aca="false">IF(OR(Y117="",Z117=0),"",IFERROR((Y117-K117)*IF(F117="Sell",-1,1)*R117*Z117*IF(ISNUMBER(SEARCH("JPY",E117)),1000,IF(ISNUMBER(SEARCH("XAU",E117)),100,IF(OR(ISNUMBER(SEARCH("30",E117)),ISNUMBER(SEARCH("500",E117)),ISNUMBER(SEARCH("100",E117))),100,100000))),0))</f>
        <v/>
      </c>
      <c r="AB117" s="12"/>
      <c r="AC117" s="29" t="str">
        <f aca="false">IF(K117="","",1-IFERROR(T117,0)-IFERROR(W117,0)-IFERROR(Z117,0))</f>
        <v/>
      </c>
      <c r="AD117" s="30" t="str">
        <f aca="false">IF(AB117="","",IFERROR((IFERROR(S117*T117,0)+IFERROR(V117*W117,0)+IFERROR(Y117*Z117,0)+AB117*AC117)/(IFERROR(T117,0)+IFERROR(W117,0)+IFERROR(Z117,0)+AC117),AB117))</f>
        <v/>
      </c>
      <c r="AE117" s="27" t="str">
        <f aca="false">IF(AB117="","",IF(U117="",0,U117)+IF(X117="",0,X117)+IF(AA117="",0,AA117)+IFERROR((AB117-K117)*IF(F117="Sell",-1,1)*R117*AC117*IF(ISNUMBER(SEARCH("JPY",E117)),1000,IF(ISNUMBER(SEARCH("XAU",E117)),100,IF(OR(ISNUMBER(SEARCH("30",E117)),ISNUMBER(SEARCH("500",E117)),ISNUMBER(SEARCH("100",E117))),100,100000))),0))</f>
        <v/>
      </c>
      <c r="AF117" s="31" t="str">
        <f aca="false">IF(OR(K117="",M117="",L117=""),"",IFERROR(ABS(M117-K117)/ABS(K117-L117),0))</f>
        <v/>
      </c>
      <c r="AG117" s="31" t="str">
        <f aca="false">IF(OR(AE117="",AE117=0,Q117=0,Q117=""),"",IFERROR(AE117/Q117,0))</f>
        <v/>
      </c>
      <c r="AH117" s="32" t="str">
        <f aca="false">IF(AB117="","Open",IF(AG117="","Open",IF(AG117&gt;0.1,"Win",IF(AG117&lt;-0.1,"Loss","Breakeven"))))</f>
        <v>Open</v>
      </c>
      <c r="AI117" s="33" t="str">
        <f aca="false">IF(OR(B117="",D117=""),"",D117-B117)</f>
        <v/>
      </c>
      <c r="AJ117" s="24" t="str">
        <f aca="false">IF(AD117="","",IFERROR((AD117-K117)*IF(F117="Sell",-1,1)/IF(ISNUMBER(SEARCH("JPY",E117)),0.01,IF(ISNUMBER(SEARCH("XAU",E117)),0.01,IF(OR(ISNUMBER(SEARCH("30",E117)),ISNUMBER(SEARCH("500",E117)),ISNUMBER(SEARCH("100",E117))),1,0.0001))),0))</f>
        <v/>
      </c>
      <c r="AK117" s="12"/>
      <c r="AL117" s="12"/>
      <c r="AM117" s="12"/>
      <c r="AN117" s="12"/>
      <c r="AO117" s="27" t="str">
        <f aca="false">IF(AE117="","",IFERROR(IF(AO116="",SETTINGS!$B$6,AO116),SETTINGS!$B$6)+IF(AE117="",0,AE117))</f>
        <v/>
      </c>
      <c r="AP117" s="2"/>
    </row>
    <row r="118" customFormat="false" ht="15" hidden="false" customHeight="false" outlineLevel="0" collapsed="false">
      <c r="A118" s="24" t="str">
        <f aca="false">IF(B118="","",ROW()-3)</f>
        <v/>
      </c>
      <c r="B118" s="25"/>
      <c r="C118" s="10"/>
      <c r="D118" s="25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26"/>
      <c r="P118" s="24" t="str">
        <f aca="false">IF(K118="","",IFERROR(ABS(K118-L118)/IF(ISNUMBER(SEARCH("JPY",E118)),0.01,IF(ISNUMBER(SEARCH("XAU",E118)),0.01,IF(OR(ISNUMBER(SEARCH("30",E118)),ISNUMBER(SEARCH("500",E118)),ISNUMBER(SEARCH("100",E118))),1,0.0001))),0))</f>
        <v/>
      </c>
      <c r="Q118" s="27" t="str">
        <f aca="false">IF(K118="","",SETTINGS!$B$6*O118)</f>
        <v/>
      </c>
      <c r="R118" s="24" t="str">
        <f aca="false">IF(K118="","",IFERROR(Q118/(P118*IF(ISNUMBER(SEARCH("JPY",E118)),9.09,IF(ISNUMBER(SEARCH("XAU",E118)),1,IF(OR(ISNUMBER(SEARCH("30",E118)),ISNUMBER(SEARCH("500",E118)),ISNUMBER(SEARCH("100",E118))),1,10)))),0))</f>
        <v/>
      </c>
      <c r="S118" s="10"/>
      <c r="T118" s="28"/>
      <c r="U118" s="27" t="str">
        <f aca="false">IF(OR(S118="",T118=0),"",IFERROR((S118-K118)*IF(F118="Sell",-1,1)*R118*T118*IF(ISNUMBER(SEARCH("JPY",E118)),1000,IF(ISNUMBER(SEARCH("XAU",E118)),100,IF(OR(ISNUMBER(SEARCH("30",E118)),ISNUMBER(SEARCH("500",E118)),ISNUMBER(SEARCH("100",E118))),100,100000))),0))</f>
        <v/>
      </c>
      <c r="V118" s="10"/>
      <c r="W118" s="28"/>
      <c r="X118" s="27" t="str">
        <f aca="false">IF(OR(V118="",W118=0),"",IFERROR((V118-K118)*IF(F118="Sell",-1,1)*R118*W118*IF(ISNUMBER(SEARCH("JPY",E118)),1000,IF(ISNUMBER(SEARCH("XAU",E118)),100,IF(OR(ISNUMBER(SEARCH("30",E118)),ISNUMBER(SEARCH("500",E118)),ISNUMBER(SEARCH("100",E118))),100,100000))),0))</f>
        <v/>
      </c>
      <c r="Y118" s="10"/>
      <c r="Z118" s="28"/>
      <c r="AA118" s="27" t="str">
        <f aca="false">IF(OR(Y118="",Z118=0),"",IFERROR((Y118-K118)*IF(F118="Sell",-1,1)*R118*Z118*IF(ISNUMBER(SEARCH("JPY",E118)),1000,IF(ISNUMBER(SEARCH("XAU",E118)),100,IF(OR(ISNUMBER(SEARCH("30",E118)),ISNUMBER(SEARCH("500",E118)),ISNUMBER(SEARCH("100",E118))),100,100000))),0))</f>
        <v/>
      </c>
      <c r="AB118" s="10"/>
      <c r="AC118" s="29" t="str">
        <f aca="false">IF(K118="","",1-IFERROR(T118,0)-IFERROR(W118,0)-IFERROR(Z118,0))</f>
        <v/>
      </c>
      <c r="AD118" s="30" t="str">
        <f aca="false">IF(AB118="","",IFERROR((IFERROR(S118*T118,0)+IFERROR(V118*W118,0)+IFERROR(Y118*Z118,0)+AB118*AC118)/(IFERROR(T118,0)+IFERROR(W118,0)+IFERROR(Z118,0)+AC118),AB118))</f>
        <v/>
      </c>
      <c r="AE118" s="27" t="str">
        <f aca="false">IF(AB118="","",IF(U118="",0,U118)+IF(X118="",0,X118)+IF(AA118="",0,AA118)+IFERROR((AB118-K118)*IF(F118="Sell",-1,1)*R118*AC118*IF(ISNUMBER(SEARCH("JPY",E118)),1000,IF(ISNUMBER(SEARCH("XAU",E118)),100,IF(OR(ISNUMBER(SEARCH("30",E118)),ISNUMBER(SEARCH("500",E118)),ISNUMBER(SEARCH("100",E118))),100,100000))),0))</f>
        <v/>
      </c>
      <c r="AF118" s="31" t="str">
        <f aca="false">IF(OR(K118="",M118="",L118=""),"",IFERROR(ABS(M118-K118)/ABS(K118-L118),0))</f>
        <v/>
      </c>
      <c r="AG118" s="31" t="str">
        <f aca="false">IF(OR(AE118="",AE118=0,Q118=0,Q118=""),"",IFERROR(AE118/Q118,0))</f>
        <v/>
      </c>
      <c r="AH118" s="32" t="str">
        <f aca="false">IF(AB118="","Open",IF(AG118="","Open",IF(AG118&gt;0.1,"Win",IF(AG118&lt;-0.1,"Loss","Breakeven"))))</f>
        <v>Open</v>
      </c>
      <c r="AI118" s="33" t="str">
        <f aca="false">IF(OR(B118="",D118=""),"",D118-B118)</f>
        <v/>
      </c>
      <c r="AJ118" s="24" t="str">
        <f aca="false">IF(AD118="","",IFERROR((AD118-K118)*IF(F118="Sell",-1,1)/IF(ISNUMBER(SEARCH("JPY",E118)),0.01,IF(ISNUMBER(SEARCH("XAU",E118)),0.01,IF(OR(ISNUMBER(SEARCH("30",E118)),ISNUMBER(SEARCH("500",E118)),ISNUMBER(SEARCH("100",E118))),1,0.0001))),0))</f>
        <v/>
      </c>
      <c r="AK118" s="10"/>
      <c r="AL118" s="10"/>
      <c r="AM118" s="10"/>
      <c r="AN118" s="10"/>
      <c r="AO118" s="27" t="str">
        <f aca="false">IF(AE118="","",IFERROR(IF(AO117="",SETTINGS!$B$6,AO117),SETTINGS!$B$6)+IF(AE118="",0,AE118))</f>
        <v/>
      </c>
      <c r="AP118" s="2"/>
    </row>
    <row r="119" customFormat="false" ht="15" hidden="false" customHeight="false" outlineLevel="0" collapsed="false">
      <c r="A119" s="24" t="str">
        <f aca="false">IF(B119="","",ROW()-3)</f>
        <v/>
      </c>
      <c r="B119" s="34"/>
      <c r="C119" s="12"/>
      <c r="D119" s="34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35"/>
      <c r="P119" s="24" t="str">
        <f aca="false">IF(K119="","",IFERROR(ABS(K119-L119)/IF(ISNUMBER(SEARCH("JPY",E119)),0.01,IF(ISNUMBER(SEARCH("XAU",E119)),0.01,IF(OR(ISNUMBER(SEARCH("30",E119)),ISNUMBER(SEARCH("500",E119)),ISNUMBER(SEARCH("100",E119))),1,0.0001))),0))</f>
        <v/>
      </c>
      <c r="Q119" s="27" t="str">
        <f aca="false">IF(K119="","",SETTINGS!$B$6*O119)</f>
        <v/>
      </c>
      <c r="R119" s="24" t="str">
        <f aca="false">IF(K119="","",IFERROR(Q119/(P119*IF(ISNUMBER(SEARCH("JPY",E119)),9.09,IF(ISNUMBER(SEARCH("XAU",E119)),1,IF(OR(ISNUMBER(SEARCH("30",E119)),ISNUMBER(SEARCH("500",E119)),ISNUMBER(SEARCH("100",E119))),1,10)))),0))</f>
        <v/>
      </c>
      <c r="S119" s="12"/>
      <c r="T119" s="36"/>
      <c r="U119" s="27" t="str">
        <f aca="false">IF(OR(S119="",T119=0),"",IFERROR((S119-K119)*IF(F119="Sell",-1,1)*R119*T119*IF(ISNUMBER(SEARCH("JPY",E119)),1000,IF(ISNUMBER(SEARCH("XAU",E119)),100,IF(OR(ISNUMBER(SEARCH("30",E119)),ISNUMBER(SEARCH("500",E119)),ISNUMBER(SEARCH("100",E119))),100,100000))),0))</f>
        <v/>
      </c>
      <c r="V119" s="12"/>
      <c r="W119" s="36"/>
      <c r="X119" s="27" t="str">
        <f aca="false">IF(OR(V119="",W119=0),"",IFERROR((V119-K119)*IF(F119="Sell",-1,1)*R119*W119*IF(ISNUMBER(SEARCH("JPY",E119)),1000,IF(ISNUMBER(SEARCH("XAU",E119)),100,IF(OR(ISNUMBER(SEARCH("30",E119)),ISNUMBER(SEARCH("500",E119)),ISNUMBER(SEARCH("100",E119))),100,100000))),0))</f>
        <v/>
      </c>
      <c r="Y119" s="12"/>
      <c r="Z119" s="36"/>
      <c r="AA119" s="27" t="str">
        <f aca="false">IF(OR(Y119="",Z119=0),"",IFERROR((Y119-K119)*IF(F119="Sell",-1,1)*R119*Z119*IF(ISNUMBER(SEARCH("JPY",E119)),1000,IF(ISNUMBER(SEARCH("XAU",E119)),100,IF(OR(ISNUMBER(SEARCH("30",E119)),ISNUMBER(SEARCH("500",E119)),ISNUMBER(SEARCH("100",E119))),100,100000))),0))</f>
        <v/>
      </c>
      <c r="AB119" s="12"/>
      <c r="AC119" s="29" t="str">
        <f aca="false">IF(K119="","",1-IFERROR(T119,0)-IFERROR(W119,0)-IFERROR(Z119,0))</f>
        <v/>
      </c>
      <c r="AD119" s="30" t="str">
        <f aca="false">IF(AB119="","",IFERROR((IFERROR(S119*T119,0)+IFERROR(V119*W119,0)+IFERROR(Y119*Z119,0)+AB119*AC119)/(IFERROR(T119,0)+IFERROR(W119,0)+IFERROR(Z119,0)+AC119),AB119))</f>
        <v/>
      </c>
      <c r="AE119" s="27" t="str">
        <f aca="false">IF(AB119="","",IF(U119="",0,U119)+IF(X119="",0,X119)+IF(AA119="",0,AA119)+IFERROR((AB119-K119)*IF(F119="Sell",-1,1)*R119*AC119*IF(ISNUMBER(SEARCH("JPY",E119)),1000,IF(ISNUMBER(SEARCH("XAU",E119)),100,IF(OR(ISNUMBER(SEARCH("30",E119)),ISNUMBER(SEARCH("500",E119)),ISNUMBER(SEARCH("100",E119))),100,100000))),0))</f>
        <v/>
      </c>
      <c r="AF119" s="31" t="str">
        <f aca="false">IF(OR(K119="",M119="",L119=""),"",IFERROR(ABS(M119-K119)/ABS(K119-L119),0))</f>
        <v/>
      </c>
      <c r="AG119" s="31" t="str">
        <f aca="false">IF(OR(AE119="",AE119=0,Q119=0,Q119=""),"",IFERROR(AE119/Q119,0))</f>
        <v/>
      </c>
      <c r="AH119" s="32" t="str">
        <f aca="false">IF(AB119="","Open",IF(AG119="","Open",IF(AG119&gt;0.1,"Win",IF(AG119&lt;-0.1,"Loss","Breakeven"))))</f>
        <v>Open</v>
      </c>
      <c r="AI119" s="33" t="str">
        <f aca="false">IF(OR(B119="",D119=""),"",D119-B119)</f>
        <v/>
      </c>
      <c r="AJ119" s="24" t="str">
        <f aca="false">IF(AD119="","",IFERROR((AD119-K119)*IF(F119="Sell",-1,1)/IF(ISNUMBER(SEARCH("JPY",E119)),0.01,IF(ISNUMBER(SEARCH("XAU",E119)),0.01,IF(OR(ISNUMBER(SEARCH("30",E119)),ISNUMBER(SEARCH("500",E119)),ISNUMBER(SEARCH("100",E119))),1,0.0001))),0))</f>
        <v/>
      </c>
      <c r="AK119" s="12"/>
      <c r="AL119" s="12"/>
      <c r="AM119" s="12"/>
      <c r="AN119" s="12"/>
      <c r="AO119" s="27" t="str">
        <f aca="false">IF(AE119="","",IFERROR(IF(AO118="",SETTINGS!$B$6,AO118),SETTINGS!$B$6)+IF(AE119="",0,AE119))</f>
        <v/>
      </c>
      <c r="AP119" s="2"/>
    </row>
    <row r="120" customFormat="false" ht="15" hidden="false" customHeight="false" outlineLevel="0" collapsed="false">
      <c r="A120" s="24" t="str">
        <f aca="false">IF(B120="","",ROW()-3)</f>
        <v/>
      </c>
      <c r="B120" s="25"/>
      <c r="C120" s="10"/>
      <c r="D120" s="25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6"/>
      <c r="P120" s="24" t="str">
        <f aca="false">IF(K120="","",IFERROR(ABS(K120-L120)/IF(ISNUMBER(SEARCH("JPY",E120)),0.01,IF(ISNUMBER(SEARCH("XAU",E120)),0.01,IF(OR(ISNUMBER(SEARCH("30",E120)),ISNUMBER(SEARCH("500",E120)),ISNUMBER(SEARCH("100",E120))),1,0.0001))),0))</f>
        <v/>
      </c>
      <c r="Q120" s="27" t="str">
        <f aca="false">IF(K120="","",SETTINGS!$B$6*O120)</f>
        <v/>
      </c>
      <c r="R120" s="24" t="str">
        <f aca="false">IF(K120="","",IFERROR(Q120/(P120*IF(ISNUMBER(SEARCH("JPY",E120)),9.09,IF(ISNUMBER(SEARCH("XAU",E120)),1,IF(OR(ISNUMBER(SEARCH("30",E120)),ISNUMBER(SEARCH("500",E120)),ISNUMBER(SEARCH("100",E120))),1,10)))),0))</f>
        <v/>
      </c>
      <c r="S120" s="10"/>
      <c r="T120" s="28"/>
      <c r="U120" s="27" t="str">
        <f aca="false">IF(OR(S120="",T120=0),"",IFERROR((S120-K120)*IF(F120="Sell",-1,1)*R120*T120*IF(ISNUMBER(SEARCH("JPY",E120)),1000,IF(ISNUMBER(SEARCH("XAU",E120)),100,IF(OR(ISNUMBER(SEARCH("30",E120)),ISNUMBER(SEARCH("500",E120)),ISNUMBER(SEARCH("100",E120))),100,100000))),0))</f>
        <v/>
      </c>
      <c r="V120" s="10"/>
      <c r="W120" s="28"/>
      <c r="X120" s="27" t="str">
        <f aca="false">IF(OR(V120="",W120=0),"",IFERROR((V120-K120)*IF(F120="Sell",-1,1)*R120*W120*IF(ISNUMBER(SEARCH("JPY",E120)),1000,IF(ISNUMBER(SEARCH("XAU",E120)),100,IF(OR(ISNUMBER(SEARCH("30",E120)),ISNUMBER(SEARCH("500",E120)),ISNUMBER(SEARCH("100",E120))),100,100000))),0))</f>
        <v/>
      </c>
      <c r="Y120" s="10"/>
      <c r="Z120" s="28"/>
      <c r="AA120" s="27" t="str">
        <f aca="false">IF(OR(Y120="",Z120=0),"",IFERROR((Y120-K120)*IF(F120="Sell",-1,1)*R120*Z120*IF(ISNUMBER(SEARCH("JPY",E120)),1000,IF(ISNUMBER(SEARCH("XAU",E120)),100,IF(OR(ISNUMBER(SEARCH("30",E120)),ISNUMBER(SEARCH("500",E120)),ISNUMBER(SEARCH("100",E120))),100,100000))),0))</f>
        <v/>
      </c>
      <c r="AB120" s="10"/>
      <c r="AC120" s="29" t="str">
        <f aca="false">IF(K120="","",1-IFERROR(T120,0)-IFERROR(W120,0)-IFERROR(Z120,0))</f>
        <v/>
      </c>
      <c r="AD120" s="30" t="str">
        <f aca="false">IF(AB120="","",IFERROR((IFERROR(S120*T120,0)+IFERROR(V120*W120,0)+IFERROR(Y120*Z120,0)+AB120*AC120)/(IFERROR(T120,0)+IFERROR(W120,0)+IFERROR(Z120,0)+AC120),AB120))</f>
        <v/>
      </c>
      <c r="AE120" s="27" t="str">
        <f aca="false">IF(AB120="","",IF(U120="",0,U120)+IF(X120="",0,X120)+IF(AA120="",0,AA120)+IFERROR((AB120-K120)*IF(F120="Sell",-1,1)*R120*AC120*IF(ISNUMBER(SEARCH("JPY",E120)),1000,IF(ISNUMBER(SEARCH("XAU",E120)),100,IF(OR(ISNUMBER(SEARCH("30",E120)),ISNUMBER(SEARCH("500",E120)),ISNUMBER(SEARCH("100",E120))),100,100000))),0))</f>
        <v/>
      </c>
      <c r="AF120" s="31" t="str">
        <f aca="false">IF(OR(K120="",M120="",L120=""),"",IFERROR(ABS(M120-K120)/ABS(K120-L120),0))</f>
        <v/>
      </c>
      <c r="AG120" s="31" t="str">
        <f aca="false">IF(OR(AE120="",AE120=0,Q120=0,Q120=""),"",IFERROR(AE120/Q120,0))</f>
        <v/>
      </c>
      <c r="AH120" s="32" t="str">
        <f aca="false">IF(AB120="","Open",IF(AG120="","Open",IF(AG120&gt;0.1,"Win",IF(AG120&lt;-0.1,"Loss","Breakeven"))))</f>
        <v>Open</v>
      </c>
      <c r="AI120" s="33" t="str">
        <f aca="false">IF(OR(B120="",D120=""),"",D120-B120)</f>
        <v/>
      </c>
      <c r="AJ120" s="24" t="str">
        <f aca="false">IF(AD120="","",IFERROR((AD120-K120)*IF(F120="Sell",-1,1)/IF(ISNUMBER(SEARCH("JPY",E120)),0.01,IF(ISNUMBER(SEARCH("XAU",E120)),0.01,IF(OR(ISNUMBER(SEARCH("30",E120)),ISNUMBER(SEARCH("500",E120)),ISNUMBER(SEARCH("100",E120))),1,0.0001))),0))</f>
        <v/>
      </c>
      <c r="AK120" s="10"/>
      <c r="AL120" s="10"/>
      <c r="AM120" s="10"/>
      <c r="AN120" s="10"/>
      <c r="AO120" s="27" t="str">
        <f aca="false">IF(AE120="","",IFERROR(IF(AO119="",SETTINGS!$B$6,AO119),SETTINGS!$B$6)+IF(AE120="",0,AE120))</f>
        <v/>
      </c>
      <c r="AP120" s="2"/>
    </row>
    <row r="121" customFormat="false" ht="15" hidden="false" customHeight="false" outlineLevel="0" collapsed="false">
      <c r="A121" s="24" t="str">
        <f aca="false">IF(B121="","",ROW()-3)</f>
        <v/>
      </c>
      <c r="B121" s="34"/>
      <c r="C121" s="12"/>
      <c r="D121" s="34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35"/>
      <c r="P121" s="24" t="str">
        <f aca="false">IF(K121="","",IFERROR(ABS(K121-L121)/IF(ISNUMBER(SEARCH("JPY",E121)),0.01,IF(ISNUMBER(SEARCH("XAU",E121)),0.01,IF(OR(ISNUMBER(SEARCH("30",E121)),ISNUMBER(SEARCH("500",E121)),ISNUMBER(SEARCH("100",E121))),1,0.0001))),0))</f>
        <v/>
      </c>
      <c r="Q121" s="27" t="str">
        <f aca="false">IF(K121="","",SETTINGS!$B$6*O121)</f>
        <v/>
      </c>
      <c r="R121" s="24" t="str">
        <f aca="false">IF(K121="","",IFERROR(Q121/(P121*IF(ISNUMBER(SEARCH("JPY",E121)),9.09,IF(ISNUMBER(SEARCH("XAU",E121)),1,IF(OR(ISNUMBER(SEARCH("30",E121)),ISNUMBER(SEARCH("500",E121)),ISNUMBER(SEARCH("100",E121))),1,10)))),0))</f>
        <v/>
      </c>
      <c r="S121" s="12"/>
      <c r="T121" s="36"/>
      <c r="U121" s="27" t="str">
        <f aca="false">IF(OR(S121="",T121=0),"",IFERROR((S121-K121)*IF(F121="Sell",-1,1)*R121*T121*IF(ISNUMBER(SEARCH("JPY",E121)),1000,IF(ISNUMBER(SEARCH("XAU",E121)),100,IF(OR(ISNUMBER(SEARCH("30",E121)),ISNUMBER(SEARCH("500",E121)),ISNUMBER(SEARCH("100",E121))),100,100000))),0))</f>
        <v/>
      </c>
      <c r="V121" s="12"/>
      <c r="W121" s="36"/>
      <c r="X121" s="27" t="str">
        <f aca="false">IF(OR(V121="",W121=0),"",IFERROR((V121-K121)*IF(F121="Sell",-1,1)*R121*W121*IF(ISNUMBER(SEARCH("JPY",E121)),1000,IF(ISNUMBER(SEARCH("XAU",E121)),100,IF(OR(ISNUMBER(SEARCH("30",E121)),ISNUMBER(SEARCH("500",E121)),ISNUMBER(SEARCH("100",E121))),100,100000))),0))</f>
        <v/>
      </c>
      <c r="Y121" s="12"/>
      <c r="Z121" s="36"/>
      <c r="AA121" s="27" t="str">
        <f aca="false">IF(OR(Y121="",Z121=0),"",IFERROR((Y121-K121)*IF(F121="Sell",-1,1)*R121*Z121*IF(ISNUMBER(SEARCH("JPY",E121)),1000,IF(ISNUMBER(SEARCH("XAU",E121)),100,IF(OR(ISNUMBER(SEARCH("30",E121)),ISNUMBER(SEARCH("500",E121)),ISNUMBER(SEARCH("100",E121))),100,100000))),0))</f>
        <v/>
      </c>
      <c r="AB121" s="12"/>
      <c r="AC121" s="29" t="str">
        <f aca="false">IF(K121="","",1-IFERROR(T121,0)-IFERROR(W121,0)-IFERROR(Z121,0))</f>
        <v/>
      </c>
      <c r="AD121" s="30" t="str">
        <f aca="false">IF(AB121="","",IFERROR((IFERROR(S121*T121,0)+IFERROR(V121*W121,0)+IFERROR(Y121*Z121,0)+AB121*AC121)/(IFERROR(T121,0)+IFERROR(W121,0)+IFERROR(Z121,0)+AC121),AB121))</f>
        <v/>
      </c>
      <c r="AE121" s="27" t="str">
        <f aca="false">IF(AB121="","",IF(U121="",0,U121)+IF(X121="",0,X121)+IF(AA121="",0,AA121)+IFERROR((AB121-K121)*IF(F121="Sell",-1,1)*R121*AC121*IF(ISNUMBER(SEARCH("JPY",E121)),1000,IF(ISNUMBER(SEARCH("XAU",E121)),100,IF(OR(ISNUMBER(SEARCH("30",E121)),ISNUMBER(SEARCH("500",E121)),ISNUMBER(SEARCH("100",E121))),100,100000))),0))</f>
        <v/>
      </c>
      <c r="AF121" s="31" t="str">
        <f aca="false">IF(OR(K121="",M121="",L121=""),"",IFERROR(ABS(M121-K121)/ABS(K121-L121),0))</f>
        <v/>
      </c>
      <c r="AG121" s="31" t="str">
        <f aca="false">IF(OR(AE121="",AE121=0,Q121=0,Q121=""),"",IFERROR(AE121/Q121,0))</f>
        <v/>
      </c>
      <c r="AH121" s="32" t="str">
        <f aca="false">IF(AB121="","Open",IF(AG121="","Open",IF(AG121&gt;0.1,"Win",IF(AG121&lt;-0.1,"Loss","Breakeven"))))</f>
        <v>Open</v>
      </c>
      <c r="AI121" s="33" t="str">
        <f aca="false">IF(OR(B121="",D121=""),"",D121-B121)</f>
        <v/>
      </c>
      <c r="AJ121" s="24" t="str">
        <f aca="false">IF(AD121="","",IFERROR((AD121-K121)*IF(F121="Sell",-1,1)/IF(ISNUMBER(SEARCH("JPY",E121)),0.01,IF(ISNUMBER(SEARCH("XAU",E121)),0.01,IF(OR(ISNUMBER(SEARCH("30",E121)),ISNUMBER(SEARCH("500",E121)),ISNUMBER(SEARCH("100",E121))),1,0.0001))),0))</f>
        <v/>
      </c>
      <c r="AK121" s="12"/>
      <c r="AL121" s="12"/>
      <c r="AM121" s="12"/>
      <c r="AN121" s="12"/>
      <c r="AO121" s="27" t="str">
        <f aca="false">IF(AE121="","",IFERROR(IF(AO120="",SETTINGS!$B$6,AO120),SETTINGS!$B$6)+IF(AE121="",0,AE121))</f>
        <v/>
      </c>
      <c r="AP121" s="2"/>
    </row>
    <row r="122" customFormat="false" ht="15" hidden="false" customHeight="false" outlineLevel="0" collapsed="false">
      <c r="A122" s="24" t="str">
        <f aca="false">IF(B122="","",ROW()-3)</f>
        <v/>
      </c>
      <c r="B122" s="25"/>
      <c r="C122" s="10"/>
      <c r="D122" s="25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26"/>
      <c r="P122" s="24" t="str">
        <f aca="false">IF(K122="","",IFERROR(ABS(K122-L122)/IF(ISNUMBER(SEARCH("JPY",E122)),0.01,IF(ISNUMBER(SEARCH("XAU",E122)),0.01,IF(OR(ISNUMBER(SEARCH("30",E122)),ISNUMBER(SEARCH("500",E122)),ISNUMBER(SEARCH("100",E122))),1,0.0001))),0))</f>
        <v/>
      </c>
      <c r="Q122" s="27" t="str">
        <f aca="false">IF(K122="","",SETTINGS!$B$6*O122)</f>
        <v/>
      </c>
      <c r="R122" s="24" t="str">
        <f aca="false">IF(K122="","",IFERROR(Q122/(P122*IF(ISNUMBER(SEARCH("JPY",E122)),9.09,IF(ISNUMBER(SEARCH("XAU",E122)),1,IF(OR(ISNUMBER(SEARCH("30",E122)),ISNUMBER(SEARCH("500",E122)),ISNUMBER(SEARCH("100",E122))),1,10)))),0))</f>
        <v/>
      </c>
      <c r="S122" s="10"/>
      <c r="T122" s="28"/>
      <c r="U122" s="27" t="str">
        <f aca="false">IF(OR(S122="",T122=0),"",IFERROR((S122-K122)*IF(F122="Sell",-1,1)*R122*T122*IF(ISNUMBER(SEARCH("JPY",E122)),1000,IF(ISNUMBER(SEARCH("XAU",E122)),100,IF(OR(ISNUMBER(SEARCH("30",E122)),ISNUMBER(SEARCH("500",E122)),ISNUMBER(SEARCH("100",E122))),100,100000))),0))</f>
        <v/>
      </c>
      <c r="V122" s="10"/>
      <c r="W122" s="28"/>
      <c r="X122" s="27" t="str">
        <f aca="false">IF(OR(V122="",W122=0),"",IFERROR((V122-K122)*IF(F122="Sell",-1,1)*R122*W122*IF(ISNUMBER(SEARCH("JPY",E122)),1000,IF(ISNUMBER(SEARCH("XAU",E122)),100,IF(OR(ISNUMBER(SEARCH("30",E122)),ISNUMBER(SEARCH("500",E122)),ISNUMBER(SEARCH("100",E122))),100,100000))),0))</f>
        <v/>
      </c>
      <c r="Y122" s="10"/>
      <c r="Z122" s="28"/>
      <c r="AA122" s="27" t="str">
        <f aca="false">IF(OR(Y122="",Z122=0),"",IFERROR((Y122-K122)*IF(F122="Sell",-1,1)*R122*Z122*IF(ISNUMBER(SEARCH("JPY",E122)),1000,IF(ISNUMBER(SEARCH("XAU",E122)),100,IF(OR(ISNUMBER(SEARCH("30",E122)),ISNUMBER(SEARCH("500",E122)),ISNUMBER(SEARCH("100",E122))),100,100000))),0))</f>
        <v/>
      </c>
      <c r="AB122" s="10"/>
      <c r="AC122" s="29" t="str">
        <f aca="false">IF(K122="","",1-IFERROR(T122,0)-IFERROR(W122,0)-IFERROR(Z122,0))</f>
        <v/>
      </c>
      <c r="AD122" s="30" t="str">
        <f aca="false">IF(AB122="","",IFERROR((IFERROR(S122*T122,0)+IFERROR(V122*W122,0)+IFERROR(Y122*Z122,0)+AB122*AC122)/(IFERROR(T122,0)+IFERROR(W122,0)+IFERROR(Z122,0)+AC122),AB122))</f>
        <v/>
      </c>
      <c r="AE122" s="27" t="str">
        <f aca="false">IF(AB122="","",IF(U122="",0,U122)+IF(X122="",0,X122)+IF(AA122="",0,AA122)+IFERROR((AB122-K122)*IF(F122="Sell",-1,1)*R122*AC122*IF(ISNUMBER(SEARCH("JPY",E122)),1000,IF(ISNUMBER(SEARCH("XAU",E122)),100,IF(OR(ISNUMBER(SEARCH("30",E122)),ISNUMBER(SEARCH("500",E122)),ISNUMBER(SEARCH("100",E122))),100,100000))),0))</f>
        <v/>
      </c>
      <c r="AF122" s="31" t="str">
        <f aca="false">IF(OR(K122="",M122="",L122=""),"",IFERROR(ABS(M122-K122)/ABS(K122-L122),0))</f>
        <v/>
      </c>
      <c r="AG122" s="31" t="str">
        <f aca="false">IF(OR(AE122="",AE122=0,Q122=0,Q122=""),"",IFERROR(AE122/Q122,0))</f>
        <v/>
      </c>
      <c r="AH122" s="32" t="str">
        <f aca="false">IF(AB122="","Open",IF(AG122="","Open",IF(AG122&gt;0.1,"Win",IF(AG122&lt;-0.1,"Loss","Breakeven"))))</f>
        <v>Open</v>
      </c>
      <c r="AI122" s="33" t="str">
        <f aca="false">IF(OR(B122="",D122=""),"",D122-B122)</f>
        <v/>
      </c>
      <c r="AJ122" s="24" t="str">
        <f aca="false">IF(AD122="","",IFERROR((AD122-K122)*IF(F122="Sell",-1,1)/IF(ISNUMBER(SEARCH("JPY",E122)),0.01,IF(ISNUMBER(SEARCH("XAU",E122)),0.01,IF(OR(ISNUMBER(SEARCH("30",E122)),ISNUMBER(SEARCH("500",E122)),ISNUMBER(SEARCH("100",E122))),1,0.0001))),0))</f>
        <v/>
      </c>
      <c r="AK122" s="10"/>
      <c r="AL122" s="10"/>
      <c r="AM122" s="10"/>
      <c r="AN122" s="10"/>
      <c r="AO122" s="27" t="str">
        <f aca="false">IF(AE122="","",IFERROR(IF(AO121="",SETTINGS!$B$6,AO121),SETTINGS!$B$6)+IF(AE122="",0,AE122))</f>
        <v/>
      </c>
      <c r="AP122" s="2"/>
    </row>
    <row r="123" customFormat="false" ht="15" hidden="false" customHeight="false" outlineLevel="0" collapsed="false">
      <c r="A123" s="24" t="str">
        <f aca="false">IF(B123="","",ROW()-3)</f>
        <v/>
      </c>
      <c r="B123" s="34"/>
      <c r="C123" s="12"/>
      <c r="D123" s="34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35"/>
      <c r="P123" s="24" t="str">
        <f aca="false">IF(K123="","",IFERROR(ABS(K123-L123)/IF(ISNUMBER(SEARCH("JPY",E123)),0.01,IF(ISNUMBER(SEARCH("XAU",E123)),0.01,IF(OR(ISNUMBER(SEARCH("30",E123)),ISNUMBER(SEARCH("500",E123)),ISNUMBER(SEARCH("100",E123))),1,0.0001))),0))</f>
        <v/>
      </c>
      <c r="Q123" s="27" t="str">
        <f aca="false">IF(K123="","",SETTINGS!$B$6*O123)</f>
        <v/>
      </c>
      <c r="R123" s="24" t="str">
        <f aca="false">IF(K123="","",IFERROR(Q123/(P123*IF(ISNUMBER(SEARCH("JPY",E123)),9.09,IF(ISNUMBER(SEARCH("XAU",E123)),1,IF(OR(ISNUMBER(SEARCH("30",E123)),ISNUMBER(SEARCH("500",E123)),ISNUMBER(SEARCH("100",E123))),1,10)))),0))</f>
        <v/>
      </c>
      <c r="S123" s="12"/>
      <c r="T123" s="36"/>
      <c r="U123" s="27" t="str">
        <f aca="false">IF(OR(S123="",T123=0),"",IFERROR((S123-K123)*IF(F123="Sell",-1,1)*R123*T123*IF(ISNUMBER(SEARCH("JPY",E123)),1000,IF(ISNUMBER(SEARCH("XAU",E123)),100,IF(OR(ISNUMBER(SEARCH("30",E123)),ISNUMBER(SEARCH("500",E123)),ISNUMBER(SEARCH("100",E123))),100,100000))),0))</f>
        <v/>
      </c>
      <c r="V123" s="12"/>
      <c r="W123" s="36"/>
      <c r="X123" s="27" t="str">
        <f aca="false">IF(OR(V123="",W123=0),"",IFERROR((V123-K123)*IF(F123="Sell",-1,1)*R123*W123*IF(ISNUMBER(SEARCH("JPY",E123)),1000,IF(ISNUMBER(SEARCH("XAU",E123)),100,IF(OR(ISNUMBER(SEARCH("30",E123)),ISNUMBER(SEARCH("500",E123)),ISNUMBER(SEARCH("100",E123))),100,100000))),0))</f>
        <v/>
      </c>
      <c r="Y123" s="12"/>
      <c r="Z123" s="36"/>
      <c r="AA123" s="27" t="str">
        <f aca="false">IF(OR(Y123="",Z123=0),"",IFERROR((Y123-K123)*IF(F123="Sell",-1,1)*R123*Z123*IF(ISNUMBER(SEARCH("JPY",E123)),1000,IF(ISNUMBER(SEARCH("XAU",E123)),100,IF(OR(ISNUMBER(SEARCH("30",E123)),ISNUMBER(SEARCH("500",E123)),ISNUMBER(SEARCH("100",E123))),100,100000))),0))</f>
        <v/>
      </c>
      <c r="AB123" s="12"/>
      <c r="AC123" s="29" t="str">
        <f aca="false">IF(K123="","",1-IFERROR(T123,0)-IFERROR(W123,0)-IFERROR(Z123,0))</f>
        <v/>
      </c>
      <c r="AD123" s="30" t="str">
        <f aca="false">IF(AB123="","",IFERROR((IFERROR(S123*T123,0)+IFERROR(V123*W123,0)+IFERROR(Y123*Z123,0)+AB123*AC123)/(IFERROR(T123,0)+IFERROR(W123,0)+IFERROR(Z123,0)+AC123),AB123))</f>
        <v/>
      </c>
      <c r="AE123" s="27" t="str">
        <f aca="false">IF(AB123="","",IF(U123="",0,U123)+IF(X123="",0,X123)+IF(AA123="",0,AA123)+IFERROR((AB123-K123)*IF(F123="Sell",-1,1)*R123*AC123*IF(ISNUMBER(SEARCH("JPY",E123)),1000,IF(ISNUMBER(SEARCH("XAU",E123)),100,IF(OR(ISNUMBER(SEARCH("30",E123)),ISNUMBER(SEARCH("500",E123)),ISNUMBER(SEARCH("100",E123))),100,100000))),0))</f>
        <v/>
      </c>
      <c r="AF123" s="31" t="str">
        <f aca="false">IF(OR(K123="",M123="",L123=""),"",IFERROR(ABS(M123-K123)/ABS(K123-L123),0))</f>
        <v/>
      </c>
      <c r="AG123" s="31" t="str">
        <f aca="false">IF(OR(AE123="",AE123=0,Q123=0,Q123=""),"",IFERROR(AE123/Q123,0))</f>
        <v/>
      </c>
      <c r="AH123" s="32" t="str">
        <f aca="false">IF(AB123="","Open",IF(AG123="","Open",IF(AG123&gt;0.1,"Win",IF(AG123&lt;-0.1,"Loss","Breakeven"))))</f>
        <v>Open</v>
      </c>
      <c r="AI123" s="33" t="str">
        <f aca="false">IF(OR(B123="",D123=""),"",D123-B123)</f>
        <v/>
      </c>
      <c r="AJ123" s="24" t="str">
        <f aca="false">IF(AD123="","",IFERROR((AD123-K123)*IF(F123="Sell",-1,1)/IF(ISNUMBER(SEARCH("JPY",E123)),0.01,IF(ISNUMBER(SEARCH("XAU",E123)),0.01,IF(OR(ISNUMBER(SEARCH("30",E123)),ISNUMBER(SEARCH("500",E123)),ISNUMBER(SEARCH("100",E123))),1,0.0001))),0))</f>
        <v/>
      </c>
      <c r="AK123" s="12"/>
      <c r="AL123" s="12"/>
      <c r="AM123" s="12"/>
      <c r="AN123" s="12"/>
      <c r="AO123" s="27" t="str">
        <f aca="false">IF(AE123="","",IFERROR(IF(AO122="",SETTINGS!$B$6,AO122),SETTINGS!$B$6)+IF(AE123="",0,AE123))</f>
        <v/>
      </c>
      <c r="AP123" s="2"/>
    </row>
    <row r="124" customFormat="false" ht="15" hidden="false" customHeight="false" outlineLevel="0" collapsed="false">
      <c r="A124" s="24" t="str">
        <f aca="false">IF(B124="","",ROW()-3)</f>
        <v/>
      </c>
      <c r="B124" s="25"/>
      <c r="C124" s="10"/>
      <c r="D124" s="25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26"/>
      <c r="P124" s="24" t="str">
        <f aca="false">IF(K124="","",IFERROR(ABS(K124-L124)/IF(ISNUMBER(SEARCH("JPY",E124)),0.01,IF(ISNUMBER(SEARCH("XAU",E124)),0.01,IF(OR(ISNUMBER(SEARCH("30",E124)),ISNUMBER(SEARCH("500",E124)),ISNUMBER(SEARCH("100",E124))),1,0.0001))),0))</f>
        <v/>
      </c>
      <c r="Q124" s="27" t="str">
        <f aca="false">IF(K124="","",SETTINGS!$B$6*O124)</f>
        <v/>
      </c>
      <c r="R124" s="24" t="str">
        <f aca="false">IF(K124="","",IFERROR(Q124/(P124*IF(ISNUMBER(SEARCH("JPY",E124)),9.09,IF(ISNUMBER(SEARCH("XAU",E124)),1,IF(OR(ISNUMBER(SEARCH("30",E124)),ISNUMBER(SEARCH("500",E124)),ISNUMBER(SEARCH("100",E124))),1,10)))),0))</f>
        <v/>
      </c>
      <c r="S124" s="10"/>
      <c r="T124" s="28"/>
      <c r="U124" s="27" t="str">
        <f aca="false">IF(OR(S124="",T124=0),"",IFERROR((S124-K124)*IF(F124="Sell",-1,1)*R124*T124*IF(ISNUMBER(SEARCH("JPY",E124)),1000,IF(ISNUMBER(SEARCH("XAU",E124)),100,IF(OR(ISNUMBER(SEARCH("30",E124)),ISNUMBER(SEARCH("500",E124)),ISNUMBER(SEARCH("100",E124))),100,100000))),0))</f>
        <v/>
      </c>
      <c r="V124" s="10"/>
      <c r="W124" s="28"/>
      <c r="X124" s="27" t="str">
        <f aca="false">IF(OR(V124="",W124=0),"",IFERROR((V124-K124)*IF(F124="Sell",-1,1)*R124*W124*IF(ISNUMBER(SEARCH("JPY",E124)),1000,IF(ISNUMBER(SEARCH("XAU",E124)),100,IF(OR(ISNUMBER(SEARCH("30",E124)),ISNUMBER(SEARCH("500",E124)),ISNUMBER(SEARCH("100",E124))),100,100000))),0))</f>
        <v/>
      </c>
      <c r="Y124" s="10"/>
      <c r="Z124" s="28"/>
      <c r="AA124" s="27" t="str">
        <f aca="false">IF(OR(Y124="",Z124=0),"",IFERROR((Y124-K124)*IF(F124="Sell",-1,1)*R124*Z124*IF(ISNUMBER(SEARCH("JPY",E124)),1000,IF(ISNUMBER(SEARCH("XAU",E124)),100,IF(OR(ISNUMBER(SEARCH("30",E124)),ISNUMBER(SEARCH("500",E124)),ISNUMBER(SEARCH("100",E124))),100,100000))),0))</f>
        <v/>
      </c>
      <c r="AB124" s="10"/>
      <c r="AC124" s="29" t="str">
        <f aca="false">IF(K124="","",1-IFERROR(T124,0)-IFERROR(W124,0)-IFERROR(Z124,0))</f>
        <v/>
      </c>
      <c r="AD124" s="30" t="str">
        <f aca="false">IF(AB124="","",IFERROR((IFERROR(S124*T124,0)+IFERROR(V124*W124,0)+IFERROR(Y124*Z124,0)+AB124*AC124)/(IFERROR(T124,0)+IFERROR(W124,0)+IFERROR(Z124,0)+AC124),AB124))</f>
        <v/>
      </c>
      <c r="AE124" s="27" t="str">
        <f aca="false">IF(AB124="","",IF(U124="",0,U124)+IF(X124="",0,X124)+IF(AA124="",0,AA124)+IFERROR((AB124-K124)*IF(F124="Sell",-1,1)*R124*AC124*IF(ISNUMBER(SEARCH("JPY",E124)),1000,IF(ISNUMBER(SEARCH("XAU",E124)),100,IF(OR(ISNUMBER(SEARCH("30",E124)),ISNUMBER(SEARCH("500",E124)),ISNUMBER(SEARCH("100",E124))),100,100000))),0))</f>
        <v/>
      </c>
      <c r="AF124" s="31" t="str">
        <f aca="false">IF(OR(K124="",M124="",L124=""),"",IFERROR(ABS(M124-K124)/ABS(K124-L124),0))</f>
        <v/>
      </c>
      <c r="AG124" s="31" t="str">
        <f aca="false">IF(OR(AE124="",AE124=0,Q124=0,Q124=""),"",IFERROR(AE124/Q124,0))</f>
        <v/>
      </c>
      <c r="AH124" s="32" t="str">
        <f aca="false">IF(AB124="","Open",IF(AG124="","Open",IF(AG124&gt;0.1,"Win",IF(AG124&lt;-0.1,"Loss","Breakeven"))))</f>
        <v>Open</v>
      </c>
      <c r="AI124" s="33" t="str">
        <f aca="false">IF(OR(B124="",D124=""),"",D124-B124)</f>
        <v/>
      </c>
      <c r="AJ124" s="24" t="str">
        <f aca="false">IF(AD124="","",IFERROR((AD124-K124)*IF(F124="Sell",-1,1)/IF(ISNUMBER(SEARCH("JPY",E124)),0.01,IF(ISNUMBER(SEARCH("XAU",E124)),0.01,IF(OR(ISNUMBER(SEARCH("30",E124)),ISNUMBER(SEARCH("500",E124)),ISNUMBER(SEARCH("100",E124))),1,0.0001))),0))</f>
        <v/>
      </c>
      <c r="AK124" s="10"/>
      <c r="AL124" s="10"/>
      <c r="AM124" s="10"/>
      <c r="AN124" s="10"/>
      <c r="AO124" s="27" t="str">
        <f aca="false">IF(AE124="","",IFERROR(IF(AO123="",SETTINGS!$B$6,AO123),SETTINGS!$B$6)+IF(AE124="",0,AE124))</f>
        <v/>
      </c>
      <c r="AP124" s="2"/>
    </row>
    <row r="125" customFormat="false" ht="15" hidden="false" customHeight="false" outlineLevel="0" collapsed="false">
      <c r="A125" s="24" t="str">
        <f aca="false">IF(B125="","",ROW()-3)</f>
        <v/>
      </c>
      <c r="B125" s="34"/>
      <c r="C125" s="12"/>
      <c r="D125" s="34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35"/>
      <c r="P125" s="24" t="str">
        <f aca="false">IF(K125="","",IFERROR(ABS(K125-L125)/IF(ISNUMBER(SEARCH("JPY",E125)),0.01,IF(ISNUMBER(SEARCH("XAU",E125)),0.01,IF(OR(ISNUMBER(SEARCH("30",E125)),ISNUMBER(SEARCH("500",E125)),ISNUMBER(SEARCH("100",E125))),1,0.0001))),0))</f>
        <v/>
      </c>
      <c r="Q125" s="27" t="str">
        <f aca="false">IF(K125="","",SETTINGS!$B$6*O125)</f>
        <v/>
      </c>
      <c r="R125" s="24" t="str">
        <f aca="false">IF(K125="","",IFERROR(Q125/(P125*IF(ISNUMBER(SEARCH("JPY",E125)),9.09,IF(ISNUMBER(SEARCH("XAU",E125)),1,IF(OR(ISNUMBER(SEARCH("30",E125)),ISNUMBER(SEARCH("500",E125)),ISNUMBER(SEARCH("100",E125))),1,10)))),0))</f>
        <v/>
      </c>
      <c r="S125" s="12"/>
      <c r="T125" s="36"/>
      <c r="U125" s="27" t="str">
        <f aca="false">IF(OR(S125="",T125=0),"",IFERROR((S125-K125)*IF(F125="Sell",-1,1)*R125*T125*IF(ISNUMBER(SEARCH("JPY",E125)),1000,IF(ISNUMBER(SEARCH("XAU",E125)),100,IF(OR(ISNUMBER(SEARCH("30",E125)),ISNUMBER(SEARCH("500",E125)),ISNUMBER(SEARCH("100",E125))),100,100000))),0))</f>
        <v/>
      </c>
      <c r="V125" s="12"/>
      <c r="W125" s="36"/>
      <c r="X125" s="27" t="str">
        <f aca="false">IF(OR(V125="",W125=0),"",IFERROR((V125-K125)*IF(F125="Sell",-1,1)*R125*W125*IF(ISNUMBER(SEARCH("JPY",E125)),1000,IF(ISNUMBER(SEARCH("XAU",E125)),100,IF(OR(ISNUMBER(SEARCH("30",E125)),ISNUMBER(SEARCH("500",E125)),ISNUMBER(SEARCH("100",E125))),100,100000))),0))</f>
        <v/>
      </c>
      <c r="Y125" s="12"/>
      <c r="Z125" s="36"/>
      <c r="AA125" s="27" t="str">
        <f aca="false">IF(OR(Y125="",Z125=0),"",IFERROR((Y125-K125)*IF(F125="Sell",-1,1)*R125*Z125*IF(ISNUMBER(SEARCH("JPY",E125)),1000,IF(ISNUMBER(SEARCH("XAU",E125)),100,IF(OR(ISNUMBER(SEARCH("30",E125)),ISNUMBER(SEARCH("500",E125)),ISNUMBER(SEARCH("100",E125))),100,100000))),0))</f>
        <v/>
      </c>
      <c r="AB125" s="12"/>
      <c r="AC125" s="29" t="str">
        <f aca="false">IF(K125="","",1-IFERROR(T125,0)-IFERROR(W125,0)-IFERROR(Z125,0))</f>
        <v/>
      </c>
      <c r="AD125" s="30" t="str">
        <f aca="false">IF(AB125="","",IFERROR((IFERROR(S125*T125,0)+IFERROR(V125*W125,0)+IFERROR(Y125*Z125,0)+AB125*AC125)/(IFERROR(T125,0)+IFERROR(W125,0)+IFERROR(Z125,0)+AC125),AB125))</f>
        <v/>
      </c>
      <c r="AE125" s="27" t="str">
        <f aca="false">IF(AB125="","",IF(U125="",0,U125)+IF(X125="",0,X125)+IF(AA125="",0,AA125)+IFERROR((AB125-K125)*IF(F125="Sell",-1,1)*R125*AC125*IF(ISNUMBER(SEARCH("JPY",E125)),1000,IF(ISNUMBER(SEARCH("XAU",E125)),100,IF(OR(ISNUMBER(SEARCH("30",E125)),ISNUMBER(SEARCH("500",E125)),ISNUMBER(SEARCH("100",E125))),100,100000))),0))</f>
        <v/>
      </c>
      <c r="AF125" s="31" t="str">
        <f aca="false">IF(OR(K125="",M125="",L125=""),"",IFERROR(ABS(M125-K125)/ABS(K125-L125),0))</f>
        <v/>
      </c>
      <c r="AG125" s="31" t="str">
        <f aca="false">IF(OR(AE125="",AE125=0,Q125=0,Q125=""),"",IFERROR(AE125/Q125,0))</f>
        <v/>
      </c>
      <c r="AH125" s="32" t="str">
        <f aca="false">IF(AB125="","Open",IF(AG125="","Open",IF(AG125&gt;0.1,"Win",IF(AG125&lt;-0.1,"Loss","Breakeven"))))</f>
        <v>Open</v>
      </c>
      <c r="AI125" s="33" t="str">
        <f aca="false">IF(OR(B125="",D125=""),"",D125-B125)</f>
        <v/>
      </c>
      <c r="AJ125" s="24" t="str">
        <f aca="false">IF(AD125="","",IFERROR((AD125-K125)*IF(F125="Sell",-1,1)/IF(ISNUMBER(SEARCH("JPY",E125)),0.01,IF(ISNUMBER(SEARCH("XAU",E125)),0.01,IF(OR(ISNUMBER(SEARCH("30",E125)),ISNUMBER(SEARCH("500",E125)),ISNUMBER(SEARCH("100",E125))),1,0.0001))),0))</f>
        <v/>
      </c>
      <c r="AK125" s="12"/>
      <c r="AL125" s="12"/>
      <c r="AM125" s="12"/>
      <c r="AN125" s="12"/>
      <c r="AO125" s="27" t="str">
        <f aca="false">IF(AE125="","",IFERROR(IF(AO124="",SETTINGS!$B$6,AO124),SETTINGS!$B$6)+IF(AE125="",0,AE125))</f>
        <v/>
      </c>
      <c r="AP125" s="2"/>
    </row>
    <row r="126" customFormat="false" ht="15" hidden="false" customHeight="false" outlineLevel="0" collapsed="false">
      <c r="A126" s="24" t="str">
        <f aca="false">IF(B126="","",ROW()-3)</f>
        <v/>
      </c>
      <c r="B126" s="25"/>
      <c r="C126" s="10"/>
      <c r="D126" s="25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26"/>
      <c r="P126" s="24" t="str">
        <f aca="false">IF(K126="","",IFERROR(ABS(K126-L126)/IF(ISNUMBER(SEARCH("JPY",E126)),0.01,IF(ISNUMBER(SEARCH("XAU",E126)),0.01,IF(OR(ISNUMBER(SEARCH("30",E126)),ISNUMBER(SEARCH("500",E126)),ISNUMBER(SEARCH("100",E126))),1,0.0001))),0))</f>
        <v/>
      </c>
      <c r="Q126" s="27" t="str">
        <f aca="false">IF(K126="","",SETTINGS!$B$6*O126)</f>
        <v/>
      </c>
      <c r="R126" s="24" t="str">
        <f aca="false">IF(K126="","",IFERROR(Q126/(P126*IF(ISNUMBER(SEARCH("JPY",E126)),9.09,IF(ISNUMBER(SEARCH("XAU",E126)),1,IF(OR(ISNUMBER(SEARCH("30",E126)),ISNUMBER(SEARCH("500",E126)),ISNUMBER(SEARCH("100",E126))),1,10)))),0))</f>
        <v/>
      </c>
      <c r="S126" s="10"/>
      <c r="T126" s="28"/>
      <c r="U126" s="27" t="str">
        <f aca="false">IF(OR(S126="",T126=0),"",IFERROR((S126-K126)*IF(F126="Sell",-1,1)*R126*T126*IF(ISNUMBER(SEARCH("JPY",E126)),1000,IF(ISNUMBER(SEARCH("XAU",E126)),100,IF(OR(ISNUMBER(SEARCH("30",E126)),ISNUMBER(SEARCH("500",E126)),ISNUMBER(SEARCH("100",E126))),100,100000))),0))</f>
        <v/>
      </c>
      <c r="V126" s="10"/>
      <c r="W126" s="28"/>
      <c r="X126" s="27" t="str">
        <f aca="false">IF(OR(V126="",W126=0),"",IFERROR((V126-K126)*IF(F126="Sell",-1,1)*R126*W126*IF(ISNUMBER(SEARCH("JPY",E126)),1000,IF(ISNUMBER(SEARCH("XAU",E126)),100,IF(OR(ISNUMBER(SEARCH("30",E126)),ISNUMBER(SEARCH("500",E126)),ISNUMBER(SEARCH("100",E126))),100,100000))),0))</f>
        <v/>
      </c>
      <c r="Y126" s="10"/>
      <c r="Z126" s="28"/>
      <c r="AA126" s="27" t="str">
        <f aca="false">IF(OR(Y126="",Z126=0),"",IFERROR((Y126-K126)*IF(F126="Sell",-1,1)*R126*Z126*IF(ISNUMBER(SEARCH("JPY",E126)),1000,IF(ISNUMBER(SEARCH("XAU",E126)),100,IF(OR(ISNUMBER(SEARCH("30",E126)),ISNUMBER(SEARCH("500",E126)),ISNUMBER(SEARCH("100",E126))),100,100000))),0))</f>
        <v/>
      </c>
      <c r="AB126" s="10"/>
      <c r="AC126" s="29" t="str">
        <f aca="false">IF(K126="","",1-IFERROR(T126,0)-IFERROR(W126,0)-IFERROR(Z126,0))</f>
        <v/>
      </c>
      <c r="AD126" s="30" t="str">
        <f aca="false">IF(AB126="","",IFERROR((IFERROR(S126*T126,0)+IFERROR(V126*W126,0)+IFERROR(Y126*Z126,0)+AB126*AC126)/(IFERROR(T126,0)+IFERROR(W126,0)+IFERROR(Z126,0)+AC126),AB126))</f>
        <v/>
      </c>
      <c r="AE126" s="27" t="str">
        <f aca="false">IF(AB126="","",IF(U126="",0,U126)+IF(X126="",0,X126)+IF(AA126="",0,AA126)+IFERROR((AB126-K126)*IF(F126="Sell",-1,1)*R126*AC126*IF(ISNUMBER(SEARCH("JPY",E126)),1000,IF(ISNUMBER(SEARCH("XAU",E126)),100,IF(OR(ISNUMBER(SEARCH("30",E126)),ISNUMBER(SEARCH("500",E126)),ISNUMBER(SEARCH("100",E126))),100,100000))),0))</f>
        <v/>
      </c>
      <c r="AF126" s="31" t="str">
        <f aca="false">IF(OR(K126="",M126="",L126=""),"",IFERROR(ABS(M126-K126)/ABS(K126-L126),0))</f>
        <v/>
      </c>
      <c r="AG126" s="31" t="str">
        <f aca="false">IF(OR(AE126="",AE126=0,Q126=0,Q126=""),"",IFERROR(AE126/Q126,0))</f>
        <v/>
      </c>
      <c r="AH126" s="32" t="str">
        <f aca="false">IF(AB126="","Open",IF(AG126="","Open",IF(AG126&gt;0.1,"Win",IF(AG126&lt;-0.1,"Loss","Breakeven"))))</f>
        <v>Open</v>
      </c>
      <c r="AI126" s="33" t="str">
        <f aca="false">IF(OR(B126="",D126=""),"",D126-B126)</f>
        <v/>
      </c>
      <c r="AJ126" s="24" t="str">
        <f aca="false">IF(AD126="","",IFERROR((AD126-K126)*IF(F126="Sell",-1,1)/IF(ISNUMBER(SEARCH("JPY",E126)),0.01,IF(ISNUMBER(SEARCH("XAU",E126)),0.01,IF(OR(ISNUMBER(SEARCH("30",E126)),ISNUMBER(SEARCH("500",E126)),ISNUMBER(SEARCH("100",E126))),1,0.0001))),0))</f>
        <v/>
      </c>
      <c r="AK126" s="10"/>
      <c r="AL126" s="10"/>
      <c r="AM126" s="10"/>
      <c r="AN126" s="10"/>
      <c r="AO126" s="27" t="str">
        <f aca="false">IF(AE126="","",IFERROR(IF(AO125="",SETTINGS!$B$6,AO125),SETTINGS!$B$6)+IF(AE126="",0,AE126))</f>
        <v/>
      </c>
      <c r="AP126" s="2"/>
    </row>
    <row r="127" customFormat="false" ht="15" hidden="false" customHeight="false" outlineLevel="0" collapsed="false">
      <c r="A127" s="24" t="str">
        <f aca="false">IF(B127="","",ROW()-3)</f>
        <v/>
      </c>
      <c r="B127" s="34"/>
      <c r="C127" s="12"/>
      <c r="D127" s="34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35"/>
      <c r="P127" s="24" t="str">
        <f aca="false">IF(K127="","",IFERROR(ABS(K127-L127)/IF(ISNUMBER(SEARCH("JPY",E127)),0.01,IF(ISNUMBER(SEARCH("XAU",E127)),0.01,IF(OR(ISNUMBER(SEARCH("30",E127)),ISNUMBER(SEARCH("500",E127)),ISNUMBER(SEARCH("100",E127))),1,0.0001))),0))</f>
        <v/>
      </c>
      <c r="Q127" s="27" t="str">
        <f aca="false">IF(K127="","",SETTINGS!$B$6*O127)</f>
        <v/>
      </c>
      <c r="R127" s="24" t="str">
        <f aca="false">IF(K127="","",IFERROR(Q127/(P127*IF(ISNUMBER(SEARCH("JPY",E127)),9.09,IF(ISNUMBER(SEARCH("XAU",E127)),1,IF(OR(ISNUMBER(SEARCH("30",E127)),ISNUMBER(SEARCH("500",E127)),ISNUMBER(SEARCH("100",E127))),1,10)))),0))</f>
        <v/>
      </c>
      <c r="S127" s="12"/>
      <c r="T127" s="36"/>
      <c r="U127" s="27" t="str">
        <f aca="false">IF(OR(S127="",T127=0),"",IFERROR((S127-K127)*IF(F127="Sell",-1,1)*R127*T127*IF(ISNUMBER(SEARCH("JPY",E127)),1000,IF(ISNUMBER(SEARCH("XAU",E127)),100,IF(OR(ISNUMBER(SEARCH("30",E127)),ISNUMBER(SEARCH("500",E127)),ISNUMBER(SEARCH("100",E127))),100,100000))),0))</f>
        <v/>
      </c>
      <c r="V127" s="12"/>
      <c r="W127" s="36"/>
      <c r="X127" s="27" t="str">
        <f aca="false">IF(OR(V127="",W127=0),"",IFERROR((V127-K127)*IF(F127="Sell",-1,1)*R127*W127*IF(ISNUMBER(SEARCH("JPY",E127)),1000,IF(ISNUMBER(SEARCH("XAU",E127)),100,IF(OR(ISNUMBER(SEARCH("30",E127)),ISNUMBER(SEARCH("500",E127)),ISNUMBER(SEARCH("100",E127))),100,100000))),0))</f>
        <v/>
      </c>
      <c r="Y127" s="12"/>
      <c r="Z127" s="36"/>
      <c r="AA127" s="27" t="str">
        <f aca="false">IF(OR(Y127="",Z127=0),"",IFERROR((Y127-K127)*IF(F127="Sell",-1,1)*R127*Z127*IF(ISNUMBER(SEARCH("JPY",E127)),1000,IF(ISNUMBER(SEARCH("XAU",E127)),100,IF(OR(ISNUMBER(SEARCH("30",E127)),ISNUMBER(SEARCH("500",E127)),ISNUMBER(SEARCH("100",E127))),100,100000))),0))</f>
        <v/>
      </c>
      <c r="AB127" s="12"/>
      <c r="AC127" s="29" t="str">
        <f aca="false">IF(K127="","",1-IFERROR(T127,0)-IFERROR(W127,0)-IFERROR(Z127,0))</f>
        <v/>
      </c>
      <c r="AD127" s="30" t="str">
        <f aca="false">IF(AB127="","",IFERROR((IFERROR(S127*T127,0)+IFERROR(V127*W127,0)+IFERROR(Y127*Z127,0)+AB127*AC127)/(IFERROR(T127,0)+IFERROR(W127,0)+IFERROR(Z127,0)+AC127),AB127))</f>
        <v/>
      </c>
      <c r="AE127" s="27" t="str">
        <f aca="false">IF(AB127="","",IF(U127="",0,U127)+IF(X127="",0,X127)+IF(AA127="",0,AA127)+IFERROR((AB127-K127)*IF(F127="Sell",-1,1)*R127*AC127*IF(ISNUMBER(SEARCH("JPY",E127)),1000,IF(ISNUMBER(SEARCH("XAU",E127)),100,IF(OR(ISNUMBER(SEARCH("30",E127)),ISNUMBER(SEARCH("500",E127)),ISNUMBER(SEARCH("100",E127))),100,100000))),0))</f>
        <v/>
      </c>
      <c r="AF127" s="31" t="str">
        <f aca="false">IF(OR(K127="",M127="",L127=""),"",IFERROR(ABS(M127-K127)/ABS(K127-L127),0))</f>
        <v/>
      </c>
      <c r="AG127" s="31" t="str">
        <f aca="false">IF(OR(AE127="",AE127=0,Q127=0,Q127=""),"",IFERROR(AE127/Q127,0))</f>
        <v/>
      </c>
      <c r="AH127" s="32" t="str">
        <f aca="false">IF(AB127="","Open",IF(AG127="","Open",IF(AG127&gt;0.1,"Win",IF(AG127&lt;-0.1,"Loss","Breakeven"))))</f>
        <v>Open</v>
      </c>
      <c r="AI127" s="33" t="str">
        <f aca="false">IF(OR(B127="",D127=""),"",D127-B127)</f>
        <v/>
      </c>
      <c r="AJ127" s="24" t="str">
        <f aca="false">IF(AD127="","",IFERROR((AD127-K127)*IF(F127="Sell",-1,1)/IF(ISNUMBER(SEARCH("JPY",E127)),0.01,IF(ISNUMBER(SEARCH("XAU",E127)),0.01,IF(OR(ISNUMBER(SEARCH("30",E127)),ISNUMBER(SEARCH("500",E127)),ISNUMBER(SEARCH("100",E127))),1,0.0001))),0))</f>
        <v/>
      </c>
      <c r="AK127" s="12"/>
      <c r="AL127" s="12"/>
      <c r="AM127" s="12"/>
      <c r="AN127" s="12"/>
      <c r="AO127" s="27" t="str">
        <f aca="false">IF(AE127="","",IFERROR(IF(AO126="",SETTINGS!$B$6,AO126),SETTINGS!$B$6)+IF(AE127="",0,AE127))</f>
        <v/>
      </c>
      <c r="AP127" s="2"/>
    </row>
    <row r="128" customFormat="false" ht="15" hidden="false" customHeight="false" outlineLevel="0" collapsed="false">
      <c r="A128" s="24" t="str">
        <f aca="false">IF(B128="","",ROW()-3)</f>
        <v/>
      </c>
      <c r="B128" s="25"/>
      <c r="C128" s="10"/>
      <c r="D128" s="25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26"/>
      <c r="P128" s="24" t="str">
        <f aca="false">IF(K128="","",IFERROR(ABS(K128-L128)/IF(ISNUMBER(SEARCH("JPY",E128)),0.01,IF(ISNUMBER(SEARCH("XAU",E128)),0.01,IF(OR(ISNUMBER(SEARCH("30",E128)),ISNUMBER(SEARCH("500",E128)),ISNUMBER(SEARCH("100",E128))),1,0.0001))),0))</f>
        <v/>
      </c>
      <c r="Q128" s="27" t="str">
        <f aca="false">IF(K128="","",SETTINGS!$B$6*O128)</f>
        <v/>
      </c>
      <c r="R128" s="24" t="str">
        <f aca="false">IF(K128="","",IFERROR(Q128/(P128*IF(ISNUMBER(SEARCH("JPY",E128)),9.09,IF(ISNUMBER(SEARCH("XAU",E128)),1,IF(OR(ISNUMBER(SEARCH("30",E128)),ISNUMBER(SEARCH("500",E128)),ISNUMBER(SEARCH("100",E128))),1,10)))),0))</f>
        <v/>
      </c>
      <c r="S128" s="10"/>
      <c r="T128" s="28"/>
      <c r="U128" s="27" t="str">
        <f aca="false">IF(OR(S128="",T128=0),"",IFERROR((S128-K128)*IF(F128="Sell",-1,1)*R128*T128*IF(ISNUMBER(SEARCH("JPY",E128)),1000,IF(ISNUMBER(SEARCH("XAU",E128)),100,IF(OR(ISNUMBER(SEARCH("30",E128)),ISNUMBER(SEARCH("500",E128)),ISNUMBER(SEARCH("100",E128))),100,100000))),0))</f>
        <v/>
      </c>
      <c r="V128" s="10"/>
      <c r="W128" s="28"/>
      <c r="X128" s="27" t="str">
        <f aca="false">IF(OR(V128="",W128=0),"",IFERROR((V128-K128)*IF(F128="Sell",-1,1)*R128*W128*IF(ISNUMBER(SEARCH("JPY",E128)),1000,IF(ISNUMBER(SEARCH("XAU",E128)),100,IF(OR(ISNUMBER(SEARCH("30",E128)),ISNUMBER(SEARCH("500",E128)),ISNUMBER(SEARCH("100",E128))),100,100000))),0))</f>
        <v/>
      </c>
      <c r="Y128" s="10"/>
      <c r="Z128" s="28"/>
      <c r="AA128" s="27" t="str">
        <f aca="false">IF(OR(Y128="",Z128=0),"",IFERROR((Y128-K128)*IF(F128="Sell",-1,1)*R128*Z128*IF(ISNUMBER(SEARCH("JPY",E128)),1000,IF(ISNUMBER(SEARCH("XAU",E128)),100,IF(OR(ISNUMBER(SEARCH("30",E128)),ISNUMBER(SEARCH("500",E128)),ISNUMBER(SEARCH("100",E128))),100,100000))),0))</f>
        <v/>
      </c>
      <c r="AB128" s="10"/>
      <c r="AC128" s="29" t="str">
        <f aca="false">IF(K128="","",1-IFERROR(T128,0)-IFERROR(W128,0)-IFERROR(Z128,0))</f>
        <v/>
      </c>
      <c r="AD128" s="30" t="str">
        <f aca="false">IF(AB128="","",IFERROR((IFERROR(S128*T128,0)+IFERROR(V128*W128,0)+IFERROR(Y128*Z128,0)+AB128*AC128)/(IFERROR(T128,0)+IFERROR(W128,0)+IFERROR(Z128,0)+AC128),AB128))</f>
        <v/>
      </c>
      <c r="AE128" s="27" t="str">
        <f aca="false">IF(AB128="","",IF(U128="",0,U128)+IF(X128="",0,X128)+IF(AA128="",0,AA128)+IFERROR((AB128-K128)*IF(F128="Sell",-1,1)*R128*AC128*IF(ISNUMBER(SEARCH("JPY",E128)),1000,IF(ISNUMBER(SEARCH("XAU",E128)),100,IF(OR(ISNUMBER(SEARCH("30",E128)),ISNUMBER(SEARCH("500",E128)),ISNUMBER(SEARCH("100",E128))),100,100000))),0))</f>
        <v/>
      </c>
      <c r="AF128" s="31" t="str">
        <f aca="false">IF(OR(K128="",M128="",L128=""),"",IFERROR(ABS(M128-K128)/ABS(K128-L128),0))</f>
        <v/>
      </c>
      <c r="AG128" s="31" t="str">
        <f aca="false">IF(OR(AE128="",AE128=0,Q128=0,Q128=""),"",IFERROR(AE128/Q128,0))</f>
        <v/>
      </c>
      <c r="AH128" s="32" t="str">
        <f aca="false">IF(AB128="","Open",IF(AG128="","Open",IF(AG128&gt;0.1,"Win",IF(AG128&lt;-0.1,"Loss","Breakeven"))))</f>
        <v>Open</v>
      </c>
      <c r="AI128" s="33" t="str">
        <f aca="false">IF(OR(B128="",D128=""),"",D128-B128)</f>
        <v/>
      </c>
      <c r="AJ128" s="24" t="str">
        <f aca="false">IF(AD128="","",IFERROR((AD128-K128)*IF(F128="Sell",-1,1)/IF(ISNUMBER(SEARCH("JPY",E128)),0.01,IF(ISNUMBER(SEARCH("XAU",E128)),0.01,IF(OR(ISNUMBER(SEARCH("30",E128)),ISNUMBER(SEARCH("500",E128)),ISNUMBER(SEARCH("100",E128))),1,0.0001))),0))</f>
        <v/>
      </c>
      <c r="AK128" s="10"/>
      <c r="AL128" s="10"/>
      <c r="AM128" s="10"/>
      <c r="AN128" s="10"/>
      <c r="AO128" s="27" t="str">
        <f aca="false">IF(AE128="","",IFERROR(IF(AO127="",SETTINGS!$B$6,AO127),SETTINGS!$B$6)+IF(AE128="",0,AE128))</f>
        <v/>
      </c>
      <c r="AP128" s="2"/>
    </row>
    <row r="129" customFormat="false" ht="15" hidden="false" customHeight="false" outlineLevel="0" collapsed="false">
      <c r="A129" s="24" t="str">
        <f aca="false">IF(B129="","",ROW()-3)</f>
        <v/>
      </c>
      <c r="B129" s="34"/>
      <c r="C129" s="12"/>
      <c r="D129" s="34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35"/>
      <c r="P129" s="24" t="str">
        <f aca="false">IF(K129="","",IFERROR(ABS(K129-L129)/IF(ISNUMBER(SEARCH("JPY",E129)),0.01,IF(ISNUMBER(SEARCH("XAU",E129)),0.01,IF(OR(ISNUMBER(SEARCH("30",E129)),ISNUMBER(SEARCH("500",E129)),ISNUMBER(SEARCH("100",E129))),1,0.0001))),0))</f>
        <v/>
      </c>
      <c r="Q129" s="27" t="str">
        <f aca="false">IF(K129="","",SETTINGS!$B$6*O129)</f>
        <v/>
      </c>
      <c r="R129" s="24" t="str">
        <f aca="false">IF(K129="","",IFERROR(Q129/(P129*IF(ISNUMBER(SEARCH("JPY",E129)),9.09,IF(ISNUMBER(SEARCH("XAU",E129)),1,IF(OR(ISNUMBER(SEARCH("30",E129)),ISNUMBER(SEARCH("500",E129)),ISNUMBER(SEARCH("100",E129))),1,10)))),0))</f>
        <v/>
      </c>
      <c r="S129" s="12"/>
      <c r="T129" s="36"/>
      <c r="U129" s="27" t="str">
        <f aca="false">IF(OR(S129="",T129=0),"",IFERROR((S129-K129)*IF(F129="Sell",-1,1)*R129*T129*IF(ISNUMBER(SEARCH("JPY",E129)),1000,IF(ISNUMBER(SEARCH("XAU",E129)),100,IF(OR(ISNUMBER(SEARCH("30",E129)),ISNUMBER(SEARCH("500",E129)),ISNUMBER(SEARCH("100",E129))),100,100000))),0))</f>
        <v/>
      </c>
      <c r="V129" s="12"/>
      <c r="W129" s="36"/>
      <c r="X129" s="27" t="str">
        <f aca="false">IF(OR(V129="",W129=0),"",IFERROR((V129-K129)*IF(F129="Sell",-1,1)*R129*W129*IF(ISNUMBER(SEARCH("JPY",E129)),1000,IF(ISNUMBER(SEARCH("XAU",E129)),100,IF(OR(ISNUMBER(SEARCH("30",E129)),ISNUMBER(SEARCH("500",E129)),ISNUMBER(SEARCH("100",E129))),100,100000))),0))</f>
        <v/>
      </c>
      <c r="Y129" s="12"/>
      <c r="Z129" s="36"/>
      <c r="AA129" s="27" t="str">
        <f aca="false">IF(OR(Y129="",Z129=0),"",IFERROR((Y129-K129)*IF(F129="Sell",-1,1)*R129*Z129*IF(ISNUMBER(SEARCH("JPY",E129)),1000,IF(ISNUMBER(SEARCH("XAU",E129)),100,IF(OR(ISNUMBER(SEARCH("30",E129)),ISNUMBER(SEARCH("500",E129)),ISNUMBER(SEARCH("100",E129))),100,100000))),0))</f>
        <v/>
      </c>
      <c r="AB129" s="12"/>
      <c r="AC129" s="29" t="str">
        <f aca="false">IF(K129="","",1-IFERROR(T129,0)-IFERROR(W129,0)-IFERROR(Z129,0))</f>
        <v/>
      </c>
      <c r="AD129" s="30" t="str">
        <f aca="false">IF(AB129="","",IFERROR((IFERROR(S129*T129,0)+IFERROR(V129*W129,0)+IFERROR(Y129*Z129,0)+AB129*AC129)/(IFERROR(T129,0)+IFERROR(W129,0)+IFERROR(Z129,0)+AC129),AB129))</f>
        <v/>
      </c>
      <c r="AE129" s="27" t="str">
        <f aca="false">IF(AB129="","",IF(U129="",0,U129)+IF(X129="",0,X129)+IF(AA129="",0,AA129)+IFERROR((AB129-K129)*IF(F129="Sell",-1,1)*R129*AC129*IF(ISNUMBER(SEARCH("JPY",E129)),1000,IF(ISNUMBER(SEARCH("XAU",E129)),100,IF(OR(ISNUMBER(SEARCH("30",E129)),ISNUMBER(SEARCH("500",E129)),ISNUMBER(SEARCH("100",E129))),100,100000))),0))</f>
        <v/>
      </c>
      <c r="AF129" s="31" t="str">
        <f aca="false">IF(OR(K129="",M129="",L129=""),"",IFERROR(ABS(M129-K129)/ABS(K129-L129),0))</f>
        <v/>
      </c>
      <c r="AG129" s="31" t="str">
        <f aca="false">IF(OR(AE129="",AE129=0,Q129=0,Q129=""),"",IFERROR(AE129/Q129,0))</f>
        <v/>
      </c>
      <c r="AH129" s="32" t="str">
        <f aca="false">IF(AB129="","Open",IF(AG129="","Open",IF(AG129&gt;0.1,"Win",IF(AG129&lt;-0.1,"Loss","Breakeven"))))</f>
        <v>Open</v>
      </c>
      <c r="AI129" s="33" t="str">
        <f aca="false">IF(OR(B129="",D129=""),"",D129-B129)</f>
        <v/>
      </c>
      <c r="AJ129" s="24" t="str">
        <f aca="false">IF(AD129="","",IFERROR((AD129-K129)*IF(F129="Sell",-1,1)/IF(ISNUMBER(SEARCH("JPY",E129)),0.01,IF(ISNUMBER(SEARCH("XAU",E129)),0.01,IF(OR(ISNUMBER(SEARCH("30",E129)),ISNUMBER(SEARCH("500",E129)),ISNUMBER(SEARCH("100",E129))),1,0.0001))),0))</f>
        <v/>
      </c>
      <c r="AK129" s="12"/>
      <c r="AL129" s="12"/>
      <c r="AM129" s="12"/>
      <c r="AN129" s="12"/>
      <c r="AO129" s="27" t="str">
        <f aca="false">IF(AE129="","",IFERROR(IF(AO128="",SETTINGS!$B$6,AO128),SETTINGS!$B$6)+IF(AE129="",0,AE129))</f>
        <v/>
      </c>
      <c r="AP129" s="2"/>
    </row>
    <row r="130" customFormat="false" ht="15" hidden="false" customHeight="false" outlineLevel="0" collapsed="false">
      <c r="A130" s="24" t="str">
        <f aca="false">IF(B130="","",ROW()-3)</f>
        <v/>
      </c>
      <c r="B130" s="25"/>
      <c r="C130" s="10"/>
      <c r="D130" s="25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6"/>
      <c r="P130" s="24" t="str">
        <f aca="false">IF(K130="","",IFERROR(ABS(K130-L130)/IF(ISNUMBER(SEARCH("JPY",E130)),0.01,IF(ISNUMBER(SEARCH("XAU",E130)),0.01,IF(OR(ISNUMBER(SEARCH("30",E130)),ISNUMBER(SEARCH("500",E130)),ISNUMBER(SEARCH("100",E130))),1,0.0001))),0))</f>
        <v/>
      </c>
      <c r="Q130" s="27" t="str">
        <f aca="false">IF(K130="","",SETTINGS!$B$6*O130)</f>
        <v/>
      </c>
      <c r="R130" s="24" t="str">
        <f aca="false">IF(K130="","",IFERROR(Q130/(P130*IF(ISNUMBER(SEARCH("JPY",E130)),9.09,IF(ISNUMBER(SEARCH("XAU",E130)),1,IF(OR(ISNUMBER(SEARCH("30",E130)),ISNUMBER(SEARCH("500",E130)),ISNUMBER(SEARCH("100",E130))),1,10)))),0))</f>
        <v/>
      </c>
      <c r="S130" s="10"/>
      <c r="T130" s="28"/>
      <c r="U130" s="27" t="str">
        <f aca="false">IF(OR(S130="",T130=0),"",IFERROR((S130-K130)*IF(F130="Sell",-1,1)*R130*T130*IF(ISNUMBER(SEARCH("JPY",E130)),1000,IF(ISNUMBER(SEARCH("XAU",E130)),100,IF(OR(ISNUMBER(SEARCH("30",E130)),ISNUMBER(SEARCH("500",E130)),ISNUMBER(SEARCH("100",E130))),100,100000))),0))</f>
        <v/>
      </c>
      <c r="V130" s="10"/>
      <c r="W130" s="28"/>
      <c r="X130" s="27" t="str">
        <f aca="false">IF(OR(V130="",W130=0),"",IFERROR((V130-K130)*IF(F130="Sell",-1,1)*R130*W130*IF(ISNUMBER(SEARCH("JPY",E130)),1000,IF(ISNUMBER(SEARCH("XAU",E130)),100,IF(OR(ISNUMBER(SEARCH("30",E130)),ISNUMBER(SEARCH("500",E130)),ISNUMBER(SEARCH("100",E130))),100,100000))),0))</f>
        <v/>
      </c>
      <c r="Y130" s="10"/>
      <c r="Z130" s="28"/>
      <c r="AA130" s="27" t="str">
        <f aca="false">IF(OR(Y130="",Z130=0),"",IFERROR((Y130-K130)*IF(F130="Sell",-1,1)*R130*Z130*IF(ISNUMBER(SEARCH("JPY",E130)),1000,IF(ISNUMBER(SEARCH("XAU",E130)),100,IF(OR(ISNUMBER(SEARCH("30",E130)),ISNUMBER(SEARCH("500",E130)),ISNUMBER(SEARCH("100",E130))),100,100000))),0))</f>
        <v/>
      </c>
      <c r="AB130" s="10"/>
      <c r="AC130" s="29" t="str">
        <f aca="false">IF(K130="","",1-IFERROR(T130,0)-IFERROR(W130,0)-IFERROR(Z130,0))</f>
        <v/>
      </c>
      <c r="AD130" s="30" t="str">
        <f aca="false">IF(AB130="","",IFERROR((IFERROR(S130*T130,0)+IFERROR(V130*W130,0)+IFERROR(Y130*Z130,0)+AB130*AC130)/(IFERROR(T130,0)+IFERROR(W130,0)+IFERROR(Z130,0)+AC130),AB130))</f>
        <v/>
      </c>
      <c r="AE130" s="27" t="str">
        <f aca="false">IF(AB130="","",IF(U130="",0,U130)+IF(X130="",0,X130)+IF(AA130="",0,AA130)+IFERROR((AB130-K130)*IF(F130="Sell",-1,1)*R130*AC130*IF(ISNUMBER(SEARCH("JPY",E130)),1000,IF(ISNUMBER(SEARCH("XAU",E130)),100,IF(OR(ISNUMBER(SEARCH("30",E130)),ISNUMBER(SEARCH("500",E130)),ISNUMBER(SEARCH("100",E130))),100,100000))),0))</f>
        <v/>
      </c>
      <c r="AF130" s="31" t="str">
        <f aca="false">IF(OR(K130="",M130="",L130=""),"",IFERROR(ABS(M130-K130)/ABS(K130-L130),0))</f>
        <v/>
      </c>
      <c r="AG130" s="31" t="str">
        <f aca="false">IF(OR(AE130="",AE130=0,Q130=0,Q130=""),"",IFERROR(AE130/Q130,0))</f>
        <v/>
      </c>
      <c r="AH130" s="32" t="str">
        <f aca="false">IF(AB130="","Open",IF(AG130="","Open",IF(AG130&gt;0.1,"Win",IF(AG130&lt;-0.1,"Loss","Breakeven"))))</f>
        <v>Open</v>
      </c>
      <c r="AI130" s="33" t="str">
        <f aca="false">IF(OR(B130="",D130=""),"",D130-B130)</f>
        <v/>
      </c>
      <c r="AJ130" s="24" t="str">
        <f aca="false">IF(AD130="","",IFERROR((AD130-K130)*IF(F130="Sell",-1,1)/IF(ISNUMBER(SEARCH("JPY",E130)),0.01,IF(ISNUMBER(SEARCH("XAU",E130)),0.01,IF(OR(ISNUMBER(SEARCH("30",E130)),ISNUMBER(SEARCH("500",E130)),ISNUMBER(SEARCH("100",E130))),1,0.0001))),0))</f>
        <v/>
      </c>
      <c r="AK130" s="10"/>
      <c r="AL130" s="10"/>
      <c r="AM130" s="10"/>
      <c r="AN130" s="10"/>
      <c r="AO130" s="27" t="str">
        <f aca="false">IF(AE130="","",IFERROR(IF(AO129="",SETTINGS!$B$6,AO129),SETTINGS!$B$6)+IF(AE130="",0,AE130))</f>
        <v/>
      </c>
      <c r="AP130" s="2"/>
    </row>
    <row r="131" customFormat="false" ht="15" hidden="false" customHeight="false" outlineLevel="0" collapsed="false">
      <c r="A131" s="24" t="str">
        <f aca="false">IF(B131="","",ROW()-3)</f>
        <v/>
      </c>
      <c r="B131" s="34"/>
      <c r="C131" s="12"/>
      <c r="D131" s="34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35"/>
      <c r="P131" s="24" t="str">
        <f aca="false">IF(K131="","",IFERROR(ABS(K131-L131)/IF(ISNUMBER(SEARCH("JPY",E131)),0.01,IF(ISNUMBER(SEARCH("XAU",E131)),0.01,IF(OR(ISNUMBER(SEARCH("30",E131)),ISNUMBER(SEARCH("500",E131)),ISNUMBER(SEARCH("100",E131))),1,0.0001))),0))</f>
        <v/>
      </c>
      <c r="Q131" s="27" t="str">
        <f aca="false">IF(K131="","",SETTINGS!$B$6*O131)</f>
        <v/>
      </c>
      <c r="R131" s="24" t="str">
        <f aca="false">IF(K131="","",IFERROR(Q131/(P131*IF(ISNUMBER(SEARCH("JPY",E131)),9.09,IF(ISNUMBER(SEARCH("XAU",E131)),1,IF(OR(ISNUMBER(SEARCH("30",E131)),ISNUMBER(SEARCH("500",E131)),ISNUMBER(SEARCH("100",E131))),1,10)))),0))</f>
        <v/>
      </c>
      <c r="S131" s="12"/>
      <c r="T131" s="36"/>
      <c r="U131" s="27" t="str">
        <f aca="false">IF(OR(S131="",T131=0),"",IFERROR((S131-K131)*IF(F131="Sell",-1,1)*R131*T131*IF(ISNUMBER(SEARCH("JPY",E131)),1000,IF(ISNUMBER(SEARCH("XAU",E131)),100,IF(OR(ISNUMBER(SEARCH("30",E131)),ISNUMBER(SEARCH("500",E131)),ISNUMBER(SEARCH("100",E131))),100,100000))),0))</f>
        <v/>
      </c>
      <c r="V131" s="12"/>
      <c r="W131" s="36"/>
      <c r="X131" s="27" t="str">
        <f aca="false">IF(OR(V131="",W131=0),"",IFERROR((V131-K131)*IF(F131="Sell",-1,1)*R131*W131*IF(ISNUMBER(SEARCH("JPY",E131)),1000,IF(ISNUMBER(SEARCH("XAU",E131)),100,IF(OR(ISNUMBER(SEARCH("30",E131)),ISNUMBER(SEARCH("500",E131)),ISNUMBER(SEARCH("100",E131))),100,100000))),0))</f>
        <v/>
      </c>
      <c r="Y131" s="12"/>
      <c r="Z131" s="36"/>
      <c r="AA131" s="27" t="str">
        <f aca="false">IF(OR(Y131="",Z131=0),"",IFERROR((Y131-K131)*IF(F131="Sell",-1,1)*R131*Z131*IF(ISNUMBER(SEARCH("JPY",E131)),1000,IF(ISNUMBER(SEARCH("XAU",E131)),100,IF(OR(ISNUMBER(SEARCH("30",E131)),ISNUMBER(SEARCH("500",E131)),ISNUMBER(SEARCH("100",E131))),100,100000))),0))</f>
        <v/>
      </c>
      <c r="AB131" s="12"/>
      <c r="AC131" s="29" t="str">
        <f aca="false">IF(K131="","",1-IFERROR(T131,0)-IFERROR(W131,0)-IFERROR(Z131,0))</f>
        <v/>
      </c>
      <c r="AD131" s="30" t="str">
        <f aca="false">IF(AB131="","",IFERROR((IFERROR(S131*T131,0)+IFERROR(V131*W131,0)+IFERROR(Y131*Z131,0)+AB131*AC131)/(IFERROR(T131,0)+IFERROR(W131,0)+IFERROR(Z131,0)+AC131),AB131))</f>
        <v/>
      </c>
      <c r="AE131" s="27" t="str">
        <f aca="false">IF(AB131="","",IF(U131="",0,U131)+IF(X131="",0,X131)+IF(AA131="",0,AA131)+IFERROR((AB131-K131)*IF(F131="Sell",-1,1)*R131*AC131*IF(ISNUMBER(SEARCH("JPY",E131)),1000,IF(ISNUMBER(SEARCH("XAU",E131)),100,IF(OR(ISNUMBER(SEARCH("30",E131)),ISNUMBER(SEARCH("500",E131)),ISNUMBER(SEARCH("100",E131))),100,100000))),0))</f>
        <v/>
      </c>
      <c r="AF131" s="31" t="str">
        <f aca="false">IF(OR(K131="",M131="",L131=""),"",IFERROR(ABS(M131-K131)/ABS(K131-L131),0))</f>
        <v/>
      </c>
      <c r="AG131" s="31" t="str">
        <f aca="false">IF(OR(AE131="",AE131=0,Q131=0,Q131=""),"",IFERROR(AE131/Q131,0))</f>
        <v/>
      </c>
      <c r="AH131" s="32" t="str">
        <f aca="false">IF(AB131="","Open",IF(AG131="","Open",IF(AG131&gt;0.1,"Win",IF(AG131&lt;-0.1,"Loss","Breakeven"))))</f>
        <v>Open</v>
      </c>
      <c r="AI131" s="33" t="str">
        <f aca="false">IF(OR(B131="",D131=""),"",D131-B131)</f>
        <v/>
      </c>
      <c r="AJ131" s="24" t="str">
        <f aca="false">IF(AD131="","",IFERROR((AD131-K131)*IF(F131="Sell",-1,1)/IF(ISNUMBER(SEARCH("JPY",E131)),0.01,IF(ISNUMBER(SEARCH("XAU",E131)),0.01,IF(OR(ISNUMBER(SEARCH("30",E131)),ISNUMBER(SEARCH("500",E131)),ISNUMBER(SEARCH("100",E131))),1,0.0001))),0))</f>
        <v/>
      </c>
      <c r="AK131" s="12"/>
      <c r="AL131" s="12"/>
      <c r="AM131" s="12"/>
      <c r="AN131" s="12"/>
      <c r="AO131" s="27" t="str">
        <f aca="false">IF(AE131="","",IFERROR(IF(AO130="",SETTINGS!$B$6,AO130),SETTINGS!$B$6)+IF(AE131="",0,AE131))</f>
        <v/>
      </c>
      <c r="AP131" s="2"/>
    </row>
    <row r="132" customFormat="false" ht="15" hidden="false" customHeight="false" outlineLevel="0" collapsed="false">
      <c r="A132" s="24" t="str">
        <f aca="false">IF(B132="","",ROW()-3)</f>
        <v/>
      </c>
      <c r="B132" s="25"/>
      <c r="C132" s="10"/>
      <c r="D132" s="25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26"/>
      <c r="P132" s="24" t="str">
        <f aca="false">IF(K132="","",IFERROR(ABS(K132-L132)/IF(ISNUMBER(SEARCH("JPY",E132)),0.01,IF(ISNUMBER(SEARCH("XAU",E132)),0.01,IF(OR(ISNUMBER(SEARCH("30",E132)),ISNUMBER(SEARCH("500",E132)),ISNUMBER(SEARCH("100",E132))),1,0.0001))),0))</f>
        <v/>
      </c>
      <c r="Q132" s="27" t="str">
        <f aca="false">IF(K132="","",SETTINGS!$B$6*O132)</f>
        <v/>
      </c>
      <c r="R132" s="24" t="str">
        <f aca="false">IF(K132="","",IFERROR(Q132/(P132*IF(ISNUMBER(SEARCH("JPY",E132)),9.09,IF(ISNUMBER(SEARCH("XAU",E132)),1,IF(OR(ISNUMBER(SEARCH("30",E132)),ISNUMBER(SEARCH("500",E132)),ISNUMBER(SEARCH("100",E132))),1,10)))),0))</f>
        <v/>
      </c>
      <c r="S132" s="10"/>
      <c r="T132" s="28"/>
      <c r="U132" s="27" t="str">
        <f aca="false">IF(OR(S132="",T132=0),"",IFERROR((S132-K132)*IF(F132="Sell",-1,1)*R132*T132*IF(ISNUMBER(SEARCH("JPY",E132)),1000,IF(ISNUMBER(SEARCH("XAU",E132)),100,IF(OR(ISNUMBER(SEARCH("30",E132)),ISNUMBER(SEARCH("500",E132)),ISNUMBER(SEARCH("100",E132))),100,100000))),0))</f>
        <v/>
      </c>
      <c r="V132" s="10"/>
      <c r="W132" s="28"/>
      <c r="X132" s="27" t="str">
        <f aca="false">IF(OR(V132="",W132=0),"",IFERROR((V132-K132)*IF(F132="Sell",-1,1)*R132*W132*IF(ISNUMBER(SEARCH("JPY",E132)),1000,IF(ISNUMBER(SEARCH("XAU",E132)),100,IF(OR(ISNUMBER(SEARCH("30",E132)),ISNUMBER(SEARCH("500",E132)),ISNUMBER(SEARCH("100",E132))),100,100000))),0))</f>
        <v/>
      </c>
      <c r="Y132" s="10"/>
      <c r="Z132" s="28"/>
      <c r="AA132" s="27" t="str">
        <f aca="false">IF(OR(Y132="",Z132=0),"",IFERROR((Y132-K132)*IF(F132="Sell",-1,1)*R132*Z132*IF(ISNUMBER(SEARCH("JPY",E132)),1000,IF(ISNUMBER(SEARCH("XAU",E132)),100,IF(OR(ISNUMBER(SEARCH("30",E132)),ISNUMBER(SEARCH("500",E132)),ISNUMBER(SEARCH("100",E132))),100,100000))),0))</f>
        <v/>
      </c>
      <c r="AB132" s="10"/>
      <c r="AC132" s="29" t="str">
        <f aca="false">IF(K132="","",1-IFERROR(T132,0)-IFERROR(W132,0)-IFERROR(Z132,0))</f>
        <v/>
      </c>
      <c r="AD132" s="30" t="str">
        <f aca="false">IF(AB132="","",IFERROR((IFERROR(S132*T132,0)+IFERROR(V132*W132,0)+IFERROR(Y132*Z132,0)+AB132*AC132)/(IFERROR(T132,0)+IFERROR(W132,0)+IFERROR(Z132,0)+AC132),AB132))</f>
        <v/>
      </c>
      <c r="AE132" s="27" t="str">
        <f aca="false">IF(AB132="","",IF(U132="",0,U132)+IF(X132="",0,X132)+IF(AA132="",0,AA132)+IFERROR((AB132-K132)*IF(F132="Sell",-1,1)*R132*AC132*IF(ISNUMBER(SEARCH("JPY",E132)),1000,IF(ISNUMBER(SEARCH("XAU",E132)),100,IF(OR(ISNUMBER(SEARCH("30",E132)),ISNUMBER(SEARCH("500",E132)),ISNUMBER(SEARCH("100",E132))),100,100000))),0))</f>
        <v/>
      </c>
      <c r="AF132" s="31" t="str">
        <f aca="false">IF(OR(K132="",M132="",L132=""),"",IFERROR(ABS(M132-K132)/ABS(K132-L132),0))</f>
        <v/>
      </c>
      <c r="AG132" s="31" t="str">
        <f aca="false">IF(OR(AE132="",AE132=0,Q132=0,Q132=""),"",IFERROR(AE132/Q132,0))</f>
        <v/>
      </c>
      <c r="AH132" s="32" t="str">
        <f aca="false">IF(AB132="","Open",IF(AG132="","Open",IF(AG132&gt;0.1,"Win",IF(AG132&lt;-0.1,"Loss","Breakeven"))))</f>
        <v>Open</v>
      </c>
      <c r="AI132" s="33" t="str">
        <f aca="false">IF(OR(B132="",D132=""),"",D132-B132)</f>
        <v/>
      </c>
      <c r="AJ132" s="24" t="str">
        <f aca="false">IF(AD132="","",IFERROR((AD132-K132)*IF(F132="Sell",-1,1)/IF(ISNUMBER(SEARCH("JPY",E132)),0.01,IF(ISNUMBER(SEARCH("XAU",E132)),0.01,IF(OR(ISNUMBER(SEARCH("30",E132)),ISNUMBER(SEARCH("500",E132)),ISNUMBER(SEARCH("100",E132))),1,0.0001))),0))</f>
        <v/>
      </c>
      <c r="AK132" s="10"/>
      <c r="AL132" s="10"/>
      <c r="AM132" s="10"/>
      <c r="AN132" s="10"/>
      <c r="AO132" s="27" t="str">
        <f aca="false">IF(AE132="","",IFERROR(IF(AO131="",SETTINGS!$B$6,AO131),SETTINGS!$B$6)+IF(AE132="",0,AE132))</f>
        <v/>
      </c>
      <c r="AP132" s="2"/>
    </row>
    <row r="133" customFormat="false" ht="15" hidden="false" customHeight="false" outlineLevel="0" collapsed="false">
      <c r="A133" s="24" t="str">
        <f aca="false">IF(B133="","",ROW()-3)</f>
        <v/>
      </c>
      <c r="B133" s="34"/>
      <c r="C133" s="12"/>
      <c r="D133" s="34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35"/>
      <c r="P133" s="24" t="str">
        <f aca="false">IF(K133="","",IFERROR(ABS(K133-L133)/IF(ISNUMBER(SEARCH("JPY",E133)),0.01,IF(ISNUMBER(SEARCH("XAU",E133)),0.01,IF(OR(ISNUMBER(SEARCH("30",E133)),ISNUMBER(SEARCH("500",E133)),ISNUMBER(SEARCH("100",E133))),1,0.0001))),0))</f>
        <v/>
      </c>
      <c r="Q133" s="27" t="str">
        <f aca="false">IF(K133="","",SETTINGS!$B$6*O133)</f>
        <v/>
      </c>
      <c r="R133" s="24" t="str">
        <f aca="false">IF(K133="","",IFERROR(Q133/(P133*IF(ISNUMBER(SEARCH("JPY",E133)),9.09,IF(ISNUMBER(SEARCH("XAU",E133)),1,IF(OR(ISNUMBER(SEARCH("30",E133)),ISNUMBER(SEARCH("500",E133)),ISNUMBER(SEARCH("100",E133))),1,10)))),0))</f>
        <v/>
      </c>
      <c r="S133" s="12"/>
      <c r="T133" s="36"/>
      <c r="U133" s="27" t="str">
        <f aca="false">IF(OR(S133="",T133=0),"",IFERROR((S133-K133)*IF(F133="Sell",-1,1)*R133*T133*IF(ISNUMBER(SEARCH("JPY",E133)),1000,IF(ISNUMBER(SEARCH("XAU",E133)),100,IF(OR(ISNUMBER(SEARCH("30",E133)),ISNUMBER(SEARCH("500",E133)),ISNUMBER(SEARCH("100",E133))),100,100000))),0))</f>
        <v/>
      </c>
      <c r="V133" s="12"/>
      <c r="W133" s="36"/>
      <c r="X133" s="27" t="str">
        <f aca="false">IF(OR(V133="",W133=0),"",IFERROR((V133-K133)*IF(F133="Sell",-1,1)*R133*W133*IF(ISNUMBER(SEARCH("JPY",E133)),1000,IF(ISNUMBER(SEARCH("XAU",E133)),100,IF(OR(ISNUMBER(SEARCH("30",E133)),ISNUMBER(SEARCH("500",E133)),ISNUMBER(SEARCH("100",E133))),100,100000))),0))</f>
        <v/>
      </c>
      <c r="Y133" s="12"/>
      <c r="Z133" s="36"/>
      <c r="AA133" s="27" t="str">
        <f aca="false">IF(OR(Y133="",Z133=0),"",IFERROR((Y133-K133)*IF(F133="Sell",-1,1)*R133*Z133*IF(ISNUMBER(SEARCH("JPY",E133)),1000,IF(ISNUMBER(SEARCH("XAU",E133)),100,IF(OR(ISNUMBER(SEARCH("30",E133)),ISNUMBER(SEARCH("500",E133)),ISNUMBER(SEARCH("100",E133))),100,100000))),0))</f>
        <v/>
      </c>
      <c r="AB133" s="12"/>
      <c r="AC133" s="29" t="str">
        <f aca="false">IF(K133="","",1-IFERROR(T133,0)-IFERROR(W133,0)-IFERROR(Z133,0))</f>
        <v/>
      </c>
      <c r="AD133" s="30" t="str">
        <f aca="false">IF(AB133="","",IFERROR((IFERROR(S133*T133,0)+IFERROR(V133*W133,0)+IFERROR(Y133*Z133,0)+AB133*AC133)/(IFERROR(T133,0)+IFERROR(W133,0)+IFERROR(Z133,0)+AC133),AB133))</f>
        <v/>
      </c>
      <c r="AE133" s="27" t="str">
        <f aca="false">IF(AB133="","",IF(U133="",0,U133)+IF(X133="",0,X133)+IF(AA133="",0,AA133)+IFERROR((AB133-K133)*IF(F133="Sell",-1,1)*R133*AC133*IF(ISNUMBER(SEARCH("JPY",E133)),1000,IF(ISNUMBER(SEARCH("XAU",E133)),100,IF(OR(ISNUMBER(SEARCH("30",E133)),ISNUMBER(SEARCH("500",E133)),ISNUMBER(SEARCH("100",E133))),100,100000))),0))</f>
        <v/>
      </c>
      <c r="AF133" s="31" t="str">
        <f aca="false">IF(OR(K133="",M133="",L133=""),"",IFERROR(ABS(M133-K133)/ABS(K133-L133),0))</f>
        <v/>
      </c>
      <c r="AG133" s="31" t="str">
        <f aca="false">IF(OR(AE133="",AE133=0,Q133=0,Q133=""),"",IFERROR(AE133/Q133,0))</f>
        <v/>
      </c>
      <c r="AH133" s="32" t="str">
        <f aca="false">IF(AB133="","Open",IF(AG133="","Open",IF(AG133&gt;0.1,"Win",IF(AG133&lt;-0.1,"Loss","Breakeven"))))</f>
        <v>Open</v>
      </c>
      <c r="AI133" s="33" t="str">
        <f aca="false">IF(OR(B133="",D133=""),"",D133-B133)</f>
        <v/>
      </c>
      <c r="AJ133" s="24" t="str">
        <f aca="false">IF(AD133="","",IFERROR((AD133-K133)*IF(F133="Sell",-1,1)/IF(ISNUMBER(SEARCH("JPY",E133)),0.01,IF(ISNUMBER(SEARCH("XAU",E133)),0.01,IF(OR(ISNUMBER(SEARCH("30",E133)),ISNUMBER(SEARCH("500",E133)),ISNUMBER(SEARCH("100",E133))),1,0.0001))),0))</f>
        <v/>
      </c>
      <c r="AK133" s="12"/>
      <c r="AL133" s="12"/>
      <c r="AM133" s="12"/>
      <c r="AN133" s="12"/>
      <c r="AO133" s="27" t="str">
        <f aca="false">IF(AE133="","",IFERROR(IF(AO132="",SETTINGS!$B$6,AO132),SETTINGS!$B$6)+IF(AE133="",0,AE133))</f>
        <v/>
      </c>
      <c r="AP133" s="2"/>
    </row>
    <row r="134" customFormat="false" ht="15" hidden="false" customHeight="false" outlineLevel="0" collapsed="false">
      <c r="A134" s="24" t="str">
        <f aca="false">IF(B134="","",ROW()-3)</f>
        <v/>
      </c>
      <c r="B134" s="25"/>
      <c r="C134" s="10"/>
      <c r="D134" s="25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26"/>
      <c r="P134" s="24" t="str">
        <f aca="false">IF(K134="","",IFERROR(ABS(K134-L134)/IF(ISNUMBER(SEARCH("JPY",E134)),0.01,IF(ISNUMBER(SEARCH("XAU",E134)),0.01,IF(OR(ISNUMBER(SEARCH("30",E134)),ISNUMBER(SEARCH("500",E134)),ISNUMBER(SEARCH("100",E134))),1,0.0001))),0))</f>
        <v/>
      </c>
      <c r="Q134" s="27" t="str">
        <f aca="false">IF(K134="","",SETTINGS!$B$6*O134)</f>
        <v/>
      </c>
      <c r="R134" s="24" t="str">
        <f aca="false">IF(K134="","",IFERROR(Q134/(P134*IF(ISNUMBER(SEARCH("JPY",E134)),9.09,IF(ISNUMBER(SEARCH("XAU",E134)),1,IF(OR(ISNUMBER(SEARCH("30",E134)),ISNUMBER(SEARCH("500",E134)),ISNUMBER(SEARCH("100",E134))),1,10)))),0))</f>
        <v/>
      </c>
      <c r="S134" s="10"/>
      <c r="T134" s="28"/>
      <c r="U134" s="27" t="str">
        <f aca="false">IF(OR(S134="",T134=0),"",IFERROR((S134-K134)*IF(F134="Sell",-1,1)*R134*T134*IF(ISNUMBER(SEARCH("JPY",E134)),1000,IF(ISNUMBER(SEARCH("XAU",E134)),100,IF(OR(ISNUMBER(SEARCH("30",E134)),ISNUMBER(SEARCH("500",E134)),ISNUMBER(SEARCH("100",E134))),100,100000))),0))</f>
        <v/>
      </c>
      <c r="V134" s="10"/>
      <c r="W134" s="28"/>
      <c r="X134" s="27" t="str">
        <f aca="false">IF(OR(V134="",W134=0),"",IFERROR((V134-K134)*IF(F134="Sell",-1,1)*R134*W134*IF(ISNUMBER(SEARCH("JPY",E134)),1000,IF(ISNUMBER(SEARCH("XAU",E134)),100,IF(OR(ISNUMBER(SEARCH("30",E134)),ISNUMBER(SEARCH("500",E134)),ISNUMBER(SEARCH("100",E134))),100,100000))),0))</f>
        <v/>
      </c>
      <c r="Y134" s="10"/>
      <c r="Z134" s="28"/>
      <c r="AA134" s="27" t="str">
        <f aca="false">IF(OR(Y134="",Z134=0),"",IFERROR((Y134-K134)*IF(F134="Sell",-1,1)*R134*Z134*IF(ISNUMBER(SEARCH("JPY",E134)),1000,IF(ISNUMBER(SEARCH("XAU",E134)),100,IF(OR(ISNUMBER(SEARCH("30",E134)),ISNUMBER(SEARCH("500",E134)),ISNUMBER(SEARCH("100",E134))),100,100000))),0))</f>
        <v/>
      </c>
      <c r="AB134" s="10"/>
      <c r="AC134" s="29" t="str">
        <f aca="false">IF(K134="","",1-IFERROR(T134,0)-IFERROR(W134,0)-IFERROR(Z134,0))</f>
        <v/>
      </c>
      <c r="AD134" s="30" t="str">
        <f aca="false">IF(AB134="","",IFERROR((IFERROR(S134*T134,0)+IFERROR(V134*W134,0)+IFERROR(Y134*Z134,0)+AB134*AC134)/(IFERROR(T134,0)+IFERROR(W134,0)+IFERROR(Z134,0)+AC134),AB134))</f>
        <v/>
      </c>
      <c r="AE134" s="27" t="str">
        <f aca="false">IF(AB134="","",IF(U134="",0,U134)+IF(X134="",0,X134)+IF(AA134="",0,AA134)+IFERROR((AB134-K134)*IF(F134="Sell",-1,1)*R134*AC134*IF(ISNUMBER(SEARCH("JPY",E134)),1000,IF(ISNUMBER(SEARCH("XAU",E134)),100,IF(OR(ISNUMBER(SEARCH("30",E134)),ISNUMBER(SEARCH("500",E134)),ISNUMBER(SEARCH("100",E134))),100,100000))),0))</f>
        <v/>
      </c>
      <c r="AF134" s="31" t="str">
        <f aca="false">IF(OR(K134="",M134="",L134=""),"",IFERROR(ABS(M134-K134)/ABS(K134-L134),0))</f>
        <v/>
      </c>
      <c r="AG134" s="31" t="str">
        <f aca="false">IF(OR(AE134="",AE134=0,Q134=0,Q134=""),"",IFERROR(AE134/Q134,0))</f>
        <v/>
      </c>
      <c r="AH134" s="32" t="str">
        <f aca="false">IF(AB134="","Open",IF(AG134="","Open",IF(AG134&gt;0.1,"Win",IF(AG134&lt;-0.1,"Loss","Breakeven"))))</f>
        <v>Open</v>
      </c>
      <c r="AI134" s="33" t="str">
        <f aca="false">IF(OR(B134="",D134=""),"",D134-B134)</f>
        <v/>
      </c>
      <c r="AJ134" s="24" t="str">
        <f aca="false">IF(AD134="","",IFERROR((AD134-K134)*IF(F134="Sell",-1,1)/IF(ISNUMBER(SEARCH("JPY",E134)),0.01,IF(ISNUMBER(SEARCH("XAU",E134)),0.01,IF(OR(ISNUMBER(SEARCH("30",E134)),ISNUMBER(SEARCH("500",E134)),ISNUMBER(SEARCH("100",E134))),1,0.0001))),0))</f>
        <v/>
      </c>
      <c r="AK134" s="10"/>
      <c r="AL134" s="10"/>
      <c r="AM134" s="10"/>
      <c r="AN134" s="10"/>
      <c r="AO134" s="27" t="str">
        <f aca="false">IF(AE134="","",IFERROR(IF(AO133="",SETTINGS!$B$6,AO133),SETTINGS!$B$6)+IF(AE134="",0,AE134))</f>
        <v/>
      </c>
      <c r="AP134" s="2"/>
    </row>
    <row r="135" customFormat="false" ht="15" hidden="false" customHeight="false" outlineLevel="0" collapsed="false">
      <c r="A135" s="24" t="str">
        <f aca="false">IF(B135="","",ROW()-3)</f>
        <v/>
      </c>
      <c r="B135" s="34"/>
      <c r="C135" s="12"/>
      <c r="D135" s="34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35"/>
      <c r="P135" s="24" t="str">
        <f aca="false">IF(K135="","",IFERROR(ABS(K135-L135)/IF(ISNUMBER(SEARCH("JPY",E135)),0.01,IF(ISNUMBER(SEARCH("XAU",E135)),0.01,IF(OR(ISNUMBER(SEARCH("30",E135)),ISNUMBER(SEARCH("500",E135)),ISNUMBER(SEARCH("100",E135))),1,0.0001))),0))</f>
        <v/>
      </c>
      <c r="Q135" s="27" t="str">
        <f aca="false">IF(K135="","",SETTINGS!$B$6*O135)</f>
        <v/>
      </c>
      <c r="R135" s="24" t="str">
        <f aca="false">IF(K135="","",IFERROR(Q135/(P135*IF(ISNUMBER(SEARCH("JPY",E135)),9.09,IF(ISNUMBER(SEARCH("XAU",E135)),1,IF(OR(ISNUMBER(SEARCH("30",E135)),ISNUMBER(SEARCH("500",E135)),ISNUMBER(SEARCH("100",E135))),1,10)))),0))</f>
        <v/>
      </c>
      <c r="S135" s="12"/>
      <c r="T135" s="36"/>
      <c r="U135" s="27" t="str">
        <f aca="false">IF(OR(S135="",T135=0),"",IFERROR((S135-K135)*IF(F135="Sell",-1,1)*R135*T135*IF(ISNUMBER(SEARCH("JPY",E135)),1000,IF(ISNUMBER(SEARCH("XAU",E135)),100,IF(OR(ISNUMBER(SEARCH("30",E135)),ISNUMBER(SEARCH("500",E135)),ISNUMBER(SEARCH("100",E135))),100,100000))),0))</f>
        <v/>
      </c>
      <c r="V135" s="12"/>
      <c r="W135" s="36"/>
      <c r="X135" s="27" t="str">
        <f aca="false">IF(OR(V135="",W135=0),"",IFERROR((V135-K135)*IF(F135="Sell",-1,1)*R135*W135*IF(ISNUMBER(SEARCH("JPY",E135)),1000,IF(ISNUMBER(SEARCH("XAU",E135)),100,IF(OR(ISNUMBER(SEARCH("30",E135)),ISNUMBER(SEARCH("500",E135)),ISNUMBER(SEARCH("100",E135))),100,100000))),0))</f>
        <v/>
      </c>
      <c r="Y135" s="12"/>
      <c r="Z135" s="36"/>
      <c r="AA135" s="27" t="str">
        <f aca="false">IF(OR(Y135="",Z135=0),"",IFERROR((Y135-K135)*IF(F135="Sell",-1,1)*R135*Z135*IF(ISNUMBER(SEARCH("JPY",E135)),1000,IF(ISNUMBER(SEARCH("XAU",E135)),100,IF(OR(ISNUMBER(SEARCH("30",E135)),ISNUMBER(SEARCH("500",E135)),ISNUMBER(SEARCH("100",E135))),100,100000))),0))</f>
        <v/>
      </c>
      <c r="AB135" s="12"/>
      <c r="AC135" s="29" t="str">
        <f aca="false">IF(K135="","",1-IFERROR(T135,0)-IFERROR(W135,0)-IFERROR(Z135,0))</f>
        <v/>
      </c>
      <c r="AD135" s="30" t="str">
        <f aca="false">IF(AB135="","",IFERROR((IFERROR(S135*T135,0)+IFERROR(V135*W135,0)+IFERROR(Y135*Z135,0)+AB135*AC135)/(IFERROR(T135,0)+IFERROR(W135,0)+IFERROR(Z135,0)+AC135),AB135))</f>
        <v/>
      </c>
      <c r="AE135" s="27" t="str">
        <f aca="false">IF(AB135="","",IF(U135="",0,U135)+IF(X135="",0,X135)+IF(AA135="",0,AA135)+IFERROR((AB135-K135)*IF(F135="Sell",-1,1)*R135*AC135*IF(ISNUMBER(SEARCH("JPY",E135)),1000,IF(ISNUMBER(SEARCH("XAU",E135)),100,IF(OR(ISNUMBER(SEARCH("30",E135)),ISNUMBER(SEARCH("500",E135)),ISNUMBER(SEARCH("100",E135))),100,100000))),0))</f>
        <v/>
      </c>
      <c r="AF135" s="31" t="str">
        <f aca="false">IF(OR(K135="",M135="",L135=""),"",IFERROR(ABS(M135-K135)/ABS(K135-L135),0))</f>
        <v/>
      </c>
      <c r="AG135" s="31" t="str">
        <f aca="false">IF(OR(AE135="",AE135=0,Q135=0,Q135=""),"",IFERROR(AE135/Q135,0))</f>
        <v/>
      </c>
      <c r="AH135" s="32" t="str">
        <f aca="false">IF(AB135="","Open",IF(AG135="","Open",IF(AG135&gt;0.1,"Win",IF(AG135&lt;-0.1,"Loss","Breakeven"))))</f>
        <v>Open</v>
      </c>
      <c r="AI135" s="33" t="str">
        <f aca="false">IF(OR(B135="",D135=""),"",D135-B135)</f>
        <v/>
      </c>
      <c r="AJ135" s="24" t="str">
        <f aca="false">IF(AD135="","",IFERROR((AD135-K135)*IF(F135="Sell",-1,1)/IF(ISNUMBER(SEARCH("JPY",E135)),0.01,IF(ISNUMBER(SEARCH("XAU",E135)),0.01,IF(OR(ISNUMBER(SEARCH("30",E135)),ISNUMBER(SEARCH("500",E135)),ISNUMBER(SEARCH("100",E135))),1,0.0001))),0))</f>
        <v/>
      </c>
      <c r="AK135" s="12"/>
      <c r="AL135" s="12"/>
      <c r="AM135" s="12"/>
      <c r="AN135" s="12"/>
      <c r="AO135" s="27" t="str">
        <f aca="false">IF(AE135="","",IFERROR(IF(AO134="",SETTINGS!$B$6,AO134),SETTINGS!$B$6)+IF(AE135="",0,AE135))</f>
        <v/>
      </c>
      <c r="AP135" s="2"/>
    </row>
    <row r="136" customFormat="false" ht="15" hidden="false" customHeight="false" outlineLevel="0" collapsed="false">
      <c r="A136" s="24" t="str">
        <f aca="false">IF(B136="","",ROW()-3)</f>
        <v/>
      </c>
      <c r="B136" s="25"/>
      <c r="C136" s="10"/>
      <c r="D136" s="25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26"/>
      <c r="P136" s="24" t="str">
        <f aca="false">IF(K136="","",IFERROR(ABS(K136-L136)/IF(ISNUMBER(SEARCH("JPY",E136)),0.01,IF(ISNUMBER(SEARCH("XAU",E136)),0.01,IF(OR(ISNUMBER(SEARCH("30",E136)),ISNUMBER(SEARCH("500",E136)),ISNUMBER(SEARCH("100",E136))),1,0.0001))),0))</f>
        <v/>
      </c>
      <c r="Q136" s="27" t="str">
        <f aca="false">IF(K136="","",SETTINGS!$B$6*O136)</f>
        <v/>
      </c>
      <c r="R136" s="24" t="str">
        <f aca="false">IF(K136="","",IFERROR(Q136/(P136*IF(ISNUMBER(SEARCH("JPY",E136)),9.09,IF(ISNUMBER(SEARCH("XAU",E136)),1,IF(OR(ISNUMBER(SEARCH("30",E136)),ISNUMBER(SEARCH("500",E136)),ISNUMBER(SEARCH("100",E136))),1,10)))),0))</f>
        <v/>
      </c>
      <c r="S136" s="10"/>
      <c r="T136" s="28"/>
      <c r="U136" s="27" t="str">
        <f aca="false">IF(OR(S136="",T136=0),"",IFERROR((S136-K136)*IF(F136="Sell",-1,1)*R136*T136*IF(ISNUMBER(SEARCH("JPY",E136)),1000,IF(ISNUMBER(SEARCH("XAU",E136)),100,IF(OR(ISNUMBER(SEARCH("30",E136)),ISNUMBER(SEARCH("500",E136)),ISNUMBER(SEARCH("100",E136))),100,100000))),0))</f>
        <v/>
      </c>
      <c r="V136" s="10"/>
      <c r="W136" s="28"/>
      <c r="X136" s="27" t="str">
        <f aca="false">IF(OR(V136="",W136=0),"",IFERROR((V136-K136)*IF(F136="Sell",-1,1)*R136*W136*IF(ISNUMBER(SEARCH("JPY",E136)),1000,IF(ISNUMBER(SEARCH("XAU",E136)),100,IF(OR(ISNUMBER(SEARCH("30",E136)),ISNUMBER(SEARCH("500",E136)),ISNUMBER(SEARCH("100",E136))),100,100000))),0))</f>
        <v/>
      </c>
      <c r="Y136" s="10"/>
      <c r="Z136" s="28"/>
      <c r="AA136" s="27" t="str">
        <f aca="false">IF(OR(Y136="",Z136=0),"",IFERROR((Y136-K136)*IF(F136="Sell",-1,1)*R136*Z136*IF(ISNUMBER(SEARCH("JPY",E136)),1000,IF(ISNUMBER(SEARCH("XAU",E136)),100,IF(OR(ISNUMBER(SEARCH("30",E136)),ISNUMBER(SEARCH("500",E136)),ISNUMBER(SEARCH("100",E136))),100,100000))),0))</f>
        <v/>
      </c>
      <c r="AB136" s="10"/>
      <c r="AC136" s="29" t="str">
        <f aca="false">IF(K136="","",1-IFERROR(T136,0)-IFERROR(W136,0)-IFERROR(Z136,0))</f>
        <v/>
      </c>
      <c r="AD136" s="30" t="str">
        <f aca="false">IF(AB136="","",IFERROR((IFERROR(S136*T136,0)+IFERROR(V136*W136,0)+IFERROR(Y136*Z136,0)+AB136*AC136)/(IFERROR(T136,0)+IFERROR(W136,0)+IFERROR(Z136,0)+AC136),AB136))</f>
        <v/>
      </c>
      <c r="AE136" s="27" t="str">
        <f aca="false">IF(AB136="","",IF(U136="",0,U136)+IF(X136="",0,X136)+IF(AA136="",0,AA136)+IFERROR((AB136-K136)*IF(F136="Sell",-1,1)*R136*AC136*IF(ISNUMBER(SEARCH("JPY",E136)),1000,IF(ISNUMBER(SEARCH("XAU",E136)),100,IF(OR(ISNUMBER(SEARCH("30",E136)),ISNUMBER(SEARCH("500",E136)),ISNUMBER(SEARCH("100",E136))),100,100000))),0))</f>
        <v/>
      </c>
      <c r="AF136" s="31" t="str">
        <f aca="false">IF(OR(K136="",M136="",L136=""),"",IFERROR(ABS(M136-K136)/ABS(K136-L136),0))</f>
        <v/>
      </c>
      <c r="AG136" s="31" t="str">
        <f aca="false">IF(OR(AE136="",AE136=0,Q136=0,Q136=""),"",IFERROR(AE136/Q136,0))</f>
        <v/>
      </c>
      <c r="AH136" s="32" t="str">
        <f aca="false">IF(AB136="","Open",IF(AG136="","Open",IF(AG136&gt;0.1,"Win",IF(AG136&lt;-0.1,"Loss","Breakeven"))))</f>
        <v>Open</v>
      </c>
      <c r="AI136" s="33" t="str">
        <f aca="false">IF(OR(B136="",D136=""),"",D136-B136)</f>
        <v/>
      </c>
      <c r="AJ136" s="24" t="str">
        <f aca="false">IF(AD136="","",IFERROR((AD136-K136)*IF(F136="Sell",-1,1)/IF(ISNUMBER(SEARCH("JPY",E136)),0.01,IF(ISNUMBER(SEARCH("XAU",E136)),0.01,IF(OR(ISNUMBER(SEARCH("30",E136)),ISNUMBER(SEARCH("500",E136)),ISNUMBER(SEARCH("100",E136))),1,0.0001))),0))</f>
        <v/>
      </c>
      <c r="AK136" s="10"/>
      <c r="AL136" s="10"/>
      <c r="AM136" s="10"/>
      <c r="AN136" s="10"/>
      <c r="AO136" s="27" t="str">
        <f aca="false">IF(AE136="","",IFERROR(IF(AO135="",SETTINGS!$B$6,AO135),SETTINGS!$B$6)+IF(AE136="",0,AE136))</f>
        <v/>
      </c>
      <c r="AP136" s="2"/>
    </row>
    <row r="137" customFormat="false" ht="15" hidden="false" customHeight="false" outlineLevel="0" collapsed="false">
      <c r="A137" s="24" t="str">
        <f aca="false">IF(B137="","",ROW()-3)</f>
        <v/>
      </c>
      <c r="B137" s="34"/>
      <c r="C137" s="12"/>
      <c r="D137" s="34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35"/>
      <c r="P137" s="24" t="str">
        <f aca="false">IF(K137="","",IFERROR(ABS(K137-L137)/IF(ISNUMBER(SEARCH("JPY",E137)),0.01,IF(ISNUMBER(SEARCH("XAU",E137)),0.01,IF(OR(ISNUMBER(SEARCH("30",E137)),ISNUMBER(SEARCH("500",E137)),ISNUMBER(SEARCH("100",E137))),1,0.0001))),0))</f>
        <v/>
      </c>
      <c r="Q137" s="27" t="str">
        <f aca="false">IF(K137="","",SETTINGS!$B$6*O137)</f>
        <v/>
      </c>
      <c r="R137" s="24" t="str">
        <f aca="false">IF(K137="","",IFERROR(Q137/(P137*IF(ISNUMBER(SEARCH("JPY",E137)),9.09,IF(ISNUMBER(SEARCH("XAU",E137)),1,IF(OR(ISNUMBER(SEARCH("30",E137)),ISNUMBER(SEARCH("500",E137)),ISNUMBER(SEARCH("100",E137))),1,10)))),0))</f>
        <v/>
      </c>
      <c r="S137" s="12"/>
      <c r="T137" s="36"/>
      <c r="U137" s="27" t="str">
        <f aca="false">IF(OR(S137="",T137=0),"",IFERROR((S137-K137)*IF(F137="Sell",-1,1)*R137*T137*IF(ISNUMBER(SEARCH("JPY",E137)),1000,IF(ISNUMBER(SEARCH("XAU",E137)),100,IF(OR(ISNUMBER(SEARCH("30",E137)),ISNUMBER(SEARCH("500",E137)),ISNUMBER(SEARCH("100",E137))),100,100000))),0))</f>
        <v/>
      </c>
      <c r="V137" s="12"/>
      <c r="W137" s="36"/>
      <c r="X137" s="27" t="str">
        <f aca="false">IF(OR(V137="",W137=0),"",IFERROR((V137-K137)*IF(F137="Sell",-1,1)*R137*W137*IF(ISNUMBER(SEARCH("JPY",E137)),1000,IF(ISNUMBER(SEARCH("XAU",E137)),100,IF(OR(ISNUMBER(SEARCH("30",E137)),ISNUMBER(SEARCH("500",E137)),ISNUMBER(SEARCH("100",E137))),100,100000))),0))</f>
        <v/>
      </c>
      <c r="Y137" s="12"/>
      <c r="Z137" s="36"/>
      <c r="AA137" s="27" t="str">
        <f aca="false">IF(OR(Y137="",Z137=0),"",IFERROR((Y137-K137)*IF(F137="Sell",-1,1)*R137*Z137*IF(ISNUMBER(SEARCH("JPY",E137)),1000,IF(ISNUMBER(SEARCH("XAU",E137)),100,IF(OR(ISNUMBER(SEARCH("30",E137)),ISNUMBER(SEARCH("500",E137)),ISNUMBER(SEARCH("100",E137))),100,100000))),0))</f>
        <v/>
      </c>
      <c r="AB137" s="12"/>
      <c r="AC137" s="29" t="str">
        <f aca="false">IF(K137="","",1-IFERROR(T137,0)-IFERROR(W137,0)-IFERROR(Z137,0))</f>
        <v/>
      </c>
      <c r="AD137" s="30" t="str">
        <f aca="false">IF(AB137="","",IFERROR((IFERROR(S137*T137,0)+IFERROR(V137*W137,0)+IFERROR(Y137*Z137,0)+AB137*AC137)/(IFERROR(T137,0)+IFERROR(W137,0)+IFERROR(Z137,0)+AC137),AB137))</f>
        <v/>
      </c>
      <c r="AE137" s="27" t="str">
        <f aca="false">IF(AB137="","",IF(U137="",0,U137)+IF(X137="",0,X137)+IF(AA137="",0,AA137)+IFERROR((AB137-K137)*IF(F137="Sell",-1,1)*R137*AC137*IF(ISNUMBER(SEARCH("JPY",E137)),1000,IF(ISNUMBER(SEARCH("XAU",E137)),100,IF(OR(ISNUMBER(SEARCH("30",E137)),ISNUMBER(SEARCH("500",E137)),ISNUMBER(SEARCH("100",E137))),100,100000))),0))</f>
        <v/>
      </c>
      <c r="AF137" s="31" t="str">
        <f aca="false">IF(OR(K137="",M137="",L137=""),"",IFERROR(ABS(M137-K137)/ABS(K137-L137),0))</f>
        <v/>
      </c>
      <c r="AG137" s="31" t="str">
        <f aca="false">IF(OR(AE137="",AE137=0,Q137=0,Q137=""),"",IFERROR(AE137/Q137,0))</f>
        <v/>
      </c>
      <c r="AH137" s="32" t="str">
        <f aca="false">IF(AB137="","Open",IF(AG137="","Open",IF(AG137&gt;0.1,"Win",IF(AG137&lt;-0.1,"Loss","Breakeven"))))</f>
        <v>Open</v>
      </c>
      <c r="AI137" s="33" t="str">
        <f aca="false">IF(OR(B137="",D137=""),"",D137-B137)</f>
        <v/>
      </c>
      <c r="AJ137" s="24" t="str">
        <f aca="false">IF(AD137="","",IFERROR((AD137-K137)*IF(F137="Sell",-1,1)/IF(ISNUMBER(SEARCH("JPY",E137)),0.01,IF(ISNUMBER(SEARCH("XAU",E137)),0.01,IF(OR(ISNUMBER(SEARCH("30",E137)),ISNUMBER(SEARCH("500",E137)),ISNUMBER(SEARCH("100",E137))),1,0.0001))),0))</f>
        <v/>
      </c>
      <c r="AK137" s="12"/>
      <c r="AL137" s="12"/>
      <c r="AM137" s="12"/>
      <c r="AN137" s="12"/>
      <c r="AO137" s="27" t="str">
        <f aca="false">IF(AE137="","",IFERROR(IF(AO136="",SETTINGS!$B$6,AO136),SETTINGS!$B$6)+IF(AE137="",0,AE137))</f>
        <v/>
      </c>
      <c r="AP137" s="2"/>
    </row>
    <row r="138" customFormat="false" ht="15" hidden="false" customHeight="false" outlineLevel="0" collapsed="false">
      <c r="A138" s="24" t="str">
        <f aca="false">IF(B138="","",ROW()-3)</f>
        <v/>
      </c>
      <c r="B138" s="25"/>
      <c r="C138" s="10"/>
      <c r="D138" s="25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26"/>
      <c r="P138" s="24" t="str">
        <f aca="false">IF(K138="","",IFERROR(ABS(K138-L138)/IF(ISNUMBER(SEARCH("JPY",E138)),0.01,IF(ISNUMBER(SEARCH("XAU",E138)),0.01,IF(OR(ISNUMBER(SEARCH("30",E138)),ISNUMBER(SEARCH("500",E138)),ISNUMBER(SEARCH("100",E138))),1,0.0001))),0))</f>
        <v/>
      </c>
      <c r="Q138" s="27" t="str">
        <f aca="false">IF(K138="","",SETTINGS!$B$6*O138)</f>
        <v/>
      </c>
      <c r="R138" s="24" t="str">
        <f aca="false">IF(K138="","",IFERROR(Q138/(P138*IF(ISNUMBER(SEARCH("JPY",E138)),9.09,IF(ISNUMBER(SEARCH("XAU",E138)),1,IF(OR(ISNUMBER(SEARCH("30",E138)),ISNUMBER(SEARCH("500",E138)),ISNUMBER(SEARCH("100",E138))),1,10)))),0))</f>
        <v/>
      </c>
      <c r="S138" s="10"/>
      <c r="T138" s="28"/>
      <c r="U138" s="27" t="str">
        <f aca="false">IF(OR(S138="",T138=0),"",IFERROR((S138-K138)*IF(F138="Sell",-1,1)*R138*T138*IF(ISNUMBER(SEARCH("JPY",E138)),1000,IF(ISNUMBER(SEARCH("XAU",E138)),100,IF(OR(ISNUMBER(SEARCH("30",E138)),ISNUMBER(SEARCH("500",E138)),ISNUMBER(SEARCH("100",E138))),100,100000))),0))</f>
        <v/>
      </c>
      <c r="V138" s="10"/>
      <c r="W138" s="28"/>
      <c r="X138" s="27" t="str">
        <f aca="false">IF(OR(V138="",W138=0),"",IFERROR((V138-K138)*IF(F138="Sell",-1,1)*R138*W138*IF(ISNUMBER(SEARCH("JPY",E138)),1000,IF(ISNUMBER(SEARCH("XAU",E138)),100,IF(OR(ISNUMBER(SEARCH("30",E138)),ISNUMBER(SEARCH("500",E138)),ISNUMBER(SEARCH("100",E138))),100,100000))),0))</f>
        <v/>
      </c>
      <c r="Y138" s="10"/>
      <c r="Z138" s="28"/>
      <c r="AA138" s="27" t="str">
        <f aca="false">IF(OR(Y138="",Z138=0),"",IFERROR((Y138-K138)*IF(F138="Sell",-1,1)*R138*Z138*IF(ISNUMBER(SEARCH("JPY",E138)),1000,IF(ISNUMBER(SEARCH("XAU",E138)),100,IF(OR(ISNUMBER(SEARCH("30",E138)),ISNUMBER(SEARCH("500",E138)),ISNUMBER(SEARCH("100",E138))),100,100000))),0))</f>
        <v/>
      </c>
      <c r="AB138" s="10"/>
      <c r="AC138" s="29" t="str">
        <f aca="false">IF(K138="","",1-IFERROR(T138,0)-IFERROR(W138,0)-IFERROR(Z138,0))</f>
        <v/>
      </c>
      <c r="AD138" s="30" t="str">
        <f aca="false">IF(AB138="","",IFERROR((IFERROR(S138*T138,0)+IFERROR(V138*W138,0)+IFERROR(Y138*Z138,0)+AB138*AC138)/(IFERROR(T138,0)+IFERROR(W138,0)+IFERROR(Z138,0)+AC138),AB138))</f>
        <v/>
      </c>
      <c r="AE138" s="27" t="str">
        <f aca="false">IF(AB138="","",IF(U138="",0,U138)+IF(X138="",0,X138)+IF(AA138="",0,AA138)+IFERROR((AB138-K138)*IF(F138="Sell",-1,1)*R138*AC138*IF(ISNUMBER(SEARCH("JPY",E138)),1000,IF(ISNUMBER(SEARCH("XAU",E138)),100,IF(OR(ISNUMBER(SEARCH("30",E138)),ISNUMBER(SEARCH("500",E138)),ISNUMBER(SEARCH("100",E138))),100,100000))),0))</f>
        <v/>
      </c>
      <c r="AF138" s="31" t="str">
        <f aca="false">IF(OR(K138="",M138="",L138=""),"",IFERROR(ABS(M138-K138)/ABS(K138-L138),0))</f>
        <v/>
      </c>
      <c r="AG138" s="31" t="str">
        <f aca="false">IF(OR(AE138="",AE138=0,Q138=0,Q138=""),"",IFERROR(AE138/Q138,0))</f>
        <v/>
      </c>
      <c r="AH138" s="32" t="str">
        <f aca="false">IF(AB138="","Open",IF(AG138="","Open",IF(AG138&gt;0.1,"Win",IF(AG138&lt;-0.1,"Loss","Breakeven"))))</f>
        <v>Open</v>
      </c>
      <c r="AI138" s="33" t="str">
        <f aca="false">IF(OR(B138="",D138=""),"",D138-B138)</f>
        <v/>
      </c>
      <c r="AJ138" s="24" t="str">
        <f aca="false">IF(AD138="","",IFERROR((AD138-K138)*IF(F138="Sell",-1,1)/IF(ISNUMBER(SEARCH("JPY",E138)),0.01,IF(ISNUMBER(SEARCH("XAU",E138)),0.01,IF(OR(ISNUMBER(SEARCH("30",E138)),ISNUMBER(SEARCH("500",E138)),ISNUMBER(SEARCH("100",E138))),1,0.0001))),0))</f>
        <v/>
      </c>
      <c r="AK138" s="10"/>
      <c r="AL138" s="10"/>
      <c r="AM138" s="10"/>
      <c r="AN138" s="10"/>
      <c r="AO138" s="27" t="str">
        <f aca="false">IF(AE138="","",IFERROR(IF(AO137="",SETTINGS!$B$6,AO137),SETTINGS!$B$6)+IF(AE138="",0,AE138))</f>
        <v/>
      </c>
      <c r="AP138" s="2"/>
    </row>
    <row r="139" customFormat="false" ht="15" hidden="false" customHeight="false" outlineLevel="0" collapsed="false">
      <c r="A139" s="24" t="str">
        <f aca="false">IF(B139="","",ROW()-3)</f>
        <v/>
      </c>
      <c r="B139" s="34"/>
      <c r="C139" s="12"/>
      <c r="D139" s="34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35"/>
      <c r="P139" s="24" t="str">
        <f aca="false">IF(K139="","",IFERROR(ABS(K139-L139)/IF(ISNUMBER(SEARCH("JPY",E139)),0.01,IF(ISNUMBER(SEARCH("XAU",E139)),0.01,IF(OR(ISNUMBER(SEARCH("30",E139)),ISNUMBER(SEARCH("500",E139)),ISNUMBER(SEARCH("100",E139))),1,0.0001))),0))</f>
        <v/>
      </c>
      <c r="Q139" s="27" t="str">
        <f aca="false">IF(K139="","",SETTINGS!$B$6*O139)</f>
        <v/>
      </c>
      <c r="R139" s="24" t="str">
        <f aca="false">IF(K139="","",IFERROR(Q139/(P139*IF(ISNUMBER(SEARCH("JPY",E139)),9.09,IF(ISNUMBER(SEARCH("XAU",E139)),1,IF(OR(ISNUMBER(SEARCH("30",E139)),ISNUMBER(SEARCH("500",E139)),ISNUMBER(SEARCH("100",E139))),1,10)))),0))</f>
        <v/>
      </c>
      <c r="S139" s="12"/>
      <c r="T139" s="36"/>
      <c r="U139" s="27" t="str">
        <f aca="false">IF(OR(S139="",T139=0),"",IFERROR((S139-K139)*IF(F139="Sell",-1,1)*R139*T139*IF(ISNUMBER(SEARCH("JPY",E139)),1000,IF(ISNUMBER(SEARCH("XAU",E139)),100,IF(OR(ISNUMBER(SEARCH("30",E139)),ISNUMBER(SEARCH("500",E139)),ISNUMBER(SEARCH("100",E139))),100,100000))),0))</f>
        <v/>
      </c>
      <c r="V139" s="12"/>
      <c r="W139" s="36"/>
      <c r="X139" s="27" t="str">
        <f aca="false">IF(OR(V139="",W139=0),"",IFERROR((V139-K139)*IF(F139="Sell",-1,1)*R139*W139*IF(ISNUMBER(SEARCH("JPY",E139)),1000,IF(ISNUMBER(SEARCH("XAU",E139)),100,IF(OR(ISNUMBER(SEARCH("30",E139)),ISNUMBER(SEARCH("500",E139)),ISNUMBER(SEARCH("100",E139))),100,100000))),0))</f>
        <v/>
      </c>
      <c r="Y139" s="12"/>
      <c r="Z139" s="36"/>
      <c r="AA139" s="27" t="str">
        <f aca="false">IF(OR(Y139="",Z139=0),"",IFERROR((Y139-K139)*IF(F139="Sell",-1,1)*R139*Z139*IF(ISNUMBER(SEARCH("JPY",E139)),1000,IF(ISNUMBER(SEARCH("XAU",E139)),100,IF(OR(ISNUMBER(SEARCH("30",E139)),ISNUMBER(SEARCH("500",E139)),ISNUMBER(SEARCH("100",E139))),100,100000))),0))</f>
        <v/>
      </c>
      <c r="AB139" s="12"/>
      <c r="AC139" s="29" t="str">
        <f aca="false">IF(K139="","",1-IFERROR(T139,0)-IFERROR(W139,0)-IFERROR(Z139,0))</f>
        <v/>
      </c>
      <c r="AD139" s="30" t="str">
        <f aca="false">IF(AB139="","",IFERROR((IFERROR(S139*T139,0)+IFERROR(V139*W139,0)+IFERROR(Y139*Z139,0)+AB139*AC139)/(IFERROR(T139,0)+IFERROR(W139,0)+IFERROR(Z139,0)+AC139),AB139))</f>
        <v/>
      </c>
      <c r="AE139" s="27" t="str">
        <f aca="false">IF(AB139="","",IF(U139="",0,U139)+IF(X139="",0,X139)+IF(AA139="",0,AA139)+IFERROR((AB139-K139)*IF(F139="Sell",-1,1)*R139*AC139*IF(ISNUMBER(SEARCH("JPY",E139)),1000,IF(ISNUMBER(SEARCH("XAU",E139)),100,IF(OR(ISNUMBER(SEARCH("30",E139)),ISNUMBER(SEARCH("500",E139)),ISNUMBER(SEARCH("100",E139))),100,100000))),0))</f>
        <v/>
      </c>
      <c r="AF139" s="31" t="str">
        <f aca="false">IF(OR(K139="",M139="",L139=""),"",IFERROR(ABS(M139-K139)/ABS(K139-L139),0))</f>
        <v/>
      </c>
      <c r="AG139" s="31" t="str">
        <f aca="false">IF(OR(AE139="",AE139=0,Q139=0,Q139=""),"",IFERROR(AE139/Q139,0))</f>
        <v/>
      </c>
      <c r="AH139" s="32" t="str">
        <f aca="false">IF(AB139="","Open",IF(AG139="","Open",IF(AG139&gt;0.1,"Win",IF(AG139&lt;-0.1,"Loss","Breakeven"))))</f>
        <v>Open</v>
      </c>
      <c r="AI139" s="33" t="str">
        <f aca="false">IF(OR(B139="",D139=""),"",D139-B139)</f>
        <v/>
      </c>
      <c r="AJ139" s="24" t="str">
        <f aca="false">IF(AD139="","",IFERROR((AD139-K139)*IF(F139="Sell",-1,1)/IF(ISNUMBER(SEARCH("JPY",E139)),0.01,IF(ISNUMBER(SEARCH("XAU",E139)),0.01,IF(OR(ISNUMBER(SEARCH("30",E139)),ISNUMBER(SEARCH("500",E139)),ISNUMBER(SEARCH("100",E139))),1,0.0001))),0))</f>
        <v/>
      </c>
      <c r="AK139" s="12"/>
      <c r="AL139" s="12"/>
      <c r="AM139" s="12"/>
      <c r="AN139" s="12"/>
      <c r="AO139" s="27" t="str">
        <f aca="false">IF(AE139="","",IFERROR(IF(AO138="",SETTINGS!$B$6,AO138),SETTINGS!$B$6)+IF(AE139="",0,AE139))</f>
        <v/>
      </c>
      <c r="AP139" s="2"/>
    </row>
    <row r="140" customFormat="false" ht="15" hidden="false" customHeight="false" outlineLevel="0" collapsed="false">
      <c r="A140" s="24" t="str">
        <f aca="false">IF(B140="","",ROW()-3)</f>
        <v/>
      </c>
      <c r="B140" s="25"/>
      <c r="C140" s="10"/>
      <c r="D140" s="25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6"/>
      <c r="P140" s="24" t="str">
        <f aca="false">IF(K140="","",IFERROR(ABS(K140-L140)/IF(ISNUMBER(SEARCH("JPY",E140)),0.01,IF(ISNUMBER(SEARCH("XAU",E140)),0.01,IF(OR(ISNUMBER(SEARCH("30",E140)),ISNUMBER(SEARCH("500",E140)),ISNUMBER(SEARCH("100",E140))),1,0.0001))),0))</f>
        <v/>
      </c>
      <c r="Q140" s="27" t="str">
        <f aca="false">IF(K140="","",SETTINGS!$B$6*O140)</f>
        <v/>
      </c>
      <c r="R140" s="24" t="str">
        <f aca="false">IF(K140="","",IFERROR(Q140/(P140*IF(ISNUMBER(SEARCH("JPY",E140)),9.09,IF(ISNUMBER(SEARCH("XAU",E140)),1,IF(OR(ISNUMBER(SEARCH("30",E140)),ISNUMBER(SEARCH("500",E140)),ISNUMBER(SEARCH("100",E140))),1,10)))),0))</f>
        <v/>
      </c>
      <c r="S140" s="10"/>
      <c r="T140" s="28"/>
      <c r="U140" s="27" t="str">
        <f aca="false">IF(OR(S140="",T140=0),"",IFERROR((S140-K140)*IF(F140="Sell",-1,1)*R140*T140*IF(ISNUMBER(SEARCH("JPY",E140)),1000,IF(ISNUMBER(SEARCH("XAU",E140)),100,IF(OR(ISNUMBER(SEARCH("30",E140)),ISNUMBER(SEARCH("500",E140)),ISNUMBER(SEARCH("100",E140))),100,100000))),0))</f>
        <v/>
      </c>
      <c r="V140" s="10"/>
      <c r="W140" s="28"/>
      <c r="X140" s="27" t="str">
        <f aca="false">IF(OR(V140="",W140=0),"",IFERROR((V140-K140)*IF(F140="Sell",-1,1)*R140*W140*IF(ISNUMBER(SEARCH("JPY",E140)),1000,IF(ISNUMBER(SEARCH("XAU",E140)),100,IF(OR(ISNUMBER(SEARCH("30",E140)),ISNUMBER(SEARCH("500",E140)),ISNUMBER(SEARCH("100",E140))),100,100000))),0))</f>
        <v/>
      </c>
      <c r="Y140" s="10"/>
      <c r="Z140" s="28"/>
      <c r="AA140" s="27" t="str">
        <f aca="false">IF(OR(Y140="",Z140=0),"",IFERROR((Y140-K140)*IF(F140="Sell",-1,1)*R140*Z140*IF(ISNUMBER(SEARCH("JPY",E140)),1000,IF(ISNUMBER(SEARCH("XAU",E140)),100,IF(OR(ISNUMBER(SEARCH("30",E140)),ISNUMBER(SEARCH("500",E140)),ISNUMBER(SEARCH("100",E140))),100,100000))),0))</f>
        <v/>
      </c>
      <c r="AB140" s="10"/>
      <c r="AC140" s="29" t="str">
        <f aca="false">IF(K140="","",1-IFERROR(T140,0)-IFERROR(W140,0)-IFERROR(Z140,0))</f>
        <v/>
      </c>
      <c r="AD140" s="30" t="str">
        <f aca="false">IF(AB140="","",IFERROR((IFERROR(S140*T140,0)+IFERROR(V140*W140,0)+IFERROR(Y140*Z140,0)+AB140*AC140)/(IFERROR(T140,0)+IFERROR(W140,0)+IFERROR(Z140,0)+AC140),AB140))</f>
        <v/>
      </c>
      <c r="AE140" s="27" t="str">
        <f aca="false">IF(AB140="","",IF(U140="",0,U140)+IF(X140="",0,X140)+IF(AA140="",0,AA140)+IFERROR((AB140-K140)*IF(F140="Sell",-1,1)*R140*AC140*IF(ISNUMBER(SEARCH("JPY",E140)),1000,IF(ISNUMBER(SEARCH("XAU",E140)),100,IF(OR(ISNUMBER(SEARCH("30",E140)),ISNUMBER(SEARCH("500",E140)),ISNUMBER(SEARCH("100",E140))),100,100000))),0))</f>
        <v/>
      </c>
      <c r="AF140" s="31" t="str">
        <f aca="false">IF(OR(K140="",M140="",L140=""),"",IFERROR(ABS(M140-K140)/ABS(K140-L140),0))</f>
        <v/>
      </c>
      <c r="AG140" s="31" t="str">
        <f aca="false">IF(OR(AE140="",AE140=0,Q140=0,Q140=""),"",IFERROR(AE140/Q140,0))</f>
        <v/>
      </c>
      <c r="AH140" s="32" t="str">
        <f aca="false">IF(AB140="","Open",IF(AG140="","Open",IF(AG140&gt;0.1,"Win",IF(AG140&lt;-0.1,"Loss","Breakeven"))))</f>
        <v>Open</v>
      </c>
      <c r="AI140" s="33" t="str">
        <f aca="false">IF(OR(B140="",D140=""),"",D140-B140)</f>
        <v/>
      </c>
      <c r="AJ140" s="24" t="str">
        <f aca="false">IF(AD140="","",IFERROR((AD140-K140)*IF(F140="Sell",-1,1)/IF(ISNUMBER(SEARCH("JPY",E140)),0.01,IF(ISNUMBER(SEARCH("XAU",E140)),0.01,IF(OR(ISNUMBER(SEARCH("30",E140)),ISNUMBER(SEARCH("500",E140)),ISNUMBER(SEARCH("100",E140))),1,0.0001))),0))</f>
        <v/>
      </c>
      <c r="AK140" s="10"/>
      <c r="AL140" s="10"/>
      <c r="AM140" s="10"/>
      <c r="AN140" s="10"/>
      <c r="AO140" s="27" t="str">
        <f aca="false">IF(AE140="","",IFERROR(IF(AO139="",SETTINGS!$B$6,AO139),SETTINGS!$B$6)+IF(AE140="",0,AE140))</f>
        <v/>
      </c>
      <c r="AP140" s="2"/>
    </row>
    <row r="141" customFormat="false" ht="15" hidden="false" customHeight="false" outlineLevel="0" collapsed="false">
      <c r="A141" s="24" t="str">
        <f aca="false">IF(B141="","",ROW()-3)</f>
        <v/>
      </c>
      <c r="B141" s="34"/>
      <c r="C141" s="12"/>
      <c r="D141" s="34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35"/>
      <c r="P141" s="24" t="str">
        <f aca="false">IF(K141="","",IFERROR(ABS(K141-L141)/IF(ISNUMBER(SEARCH("JPY",E141)),0.01,IF(ISNUMBER(SEARCH("XAU",E141)),0.01,IF(OR(ISNUMBER(SEARCH("30",E141)),ISNUMBER(SEARCH("500",E141)),ISNUMBER(SEARCH("100",E141))),1,0.0001))),0))</f>
        <v/>
      </c>
      <c r="Q141" s="27" t="str">
        <f aca="false">IF(K141="","",SETTINGS!$B$6*O141)</f>
        <v/>
      </c>
      <c r="R141" s="24" t="str">
        <f aca="false">IF(K141="","",IFERROR(Q141/(P141*IF(ISNUMBER(SEARCH("JPY",E141)),9.09,IF(ISNUMBER(SEARCH("XAU",E141)),1,IF(OR(ISNUMBER(SEARCH("30",E141)),ISNUMBER(SEARCH("500",E141)),ISNUMBER(SEARCH("100",E141))),1,10)))),0))</f>
        <v/>
      </c>
      <c r="S141" s="12"/>
      <c r="T141" s="36"/>
      <c r="U141" s="27" t="str">
        <f aca="false">IF(OR(S141="",T141=0),"",IFERROR((S141-K141)*IF(F141="Sell",-1,1)*R141*T141*IF(ISNUMBER(SEARCH("JPY",E141)),1000,IF(ISNUMBER(SEARCH("XAU",E141)),100,IF(OR(ISNUMBER(SEARCH("30",E141)),ISNUMBER(SEARCH("500",E141)),ISNUMBER(SEARCH("100",E141))),100,100000))),0))</f>
        <v/>
      </c>
      <c r="V141" s="12"/>
      <c r="W141" s="36"/>
      <c r="X141" s="27" t="str">
        <f aca="false">IF(OR(V141="",W141=0),"",IFERROR((V141-K141)*IF(F141="Sell",-1,1)*R141*W141*IF(ISNUMBER(SEARCH("JPY",E141)),1000,IF(ISNUMBER(SEARCH("XAU",E141)),100,IF(OR(ISNUMBER(SEARCH("30",E141)),ISNUMBER(SEARCH("500",E141)),ISNUMBER(SEARCH("100",E141))),100,100000))),0))</f>
        <v/>
      </c>
      <c r="Y141" s="12"/>
      <c r="Z141" s="36"/>
      <c r="AA141" s="27" t="str">
        <f aca="false">IF(OR(Y141="",Z141=0),"",IFERROR((Y141-K141)*IF(F141="Sell",-1,1)*R141*Z141*IF(ISNUMBER(SEARCH("JPY",E141)),1000,IF(ISNUMBER(SEARCH("XAU",E141)),100,IF(OR(ISNUMBER(SEARCH("30",E141)),ISNUMBER(SEARCH("500",E141)),ISNUMBER(SEARCH("100",E141))),100,100000))),0))</f>
        <v/>
      </c>
      <c r="AB141" s="12"/>
      <c r="AC141" s="29" t="str">
        <f aca="false">IF(K141="","",1-IFERROR(T141,0)-IFERROR(W141,0)-IFERROR(Z141,0))</f>
        <v/>
      </c>
      <c r="AD141" s="30" t="str">
        <f aca="false">IF(AB141="","",IFERROR((IFERROR(S141*T141,0)+IFERROR(V141*W141,0)+IFERROR(Y141*Z141,0)+AB141*AC141)/(IFERROR(T141,0)+IFERROR(W141,0)+IFERROR(Z141,0)+AC141),AB141))</f>
        <v/>
      </c>
      <c r="AE141" s="27" t="str">
        <f aca="false">IF(AB141="","",IF(U141="",0,U141)+IF(X141="",0,X141)+IF(AA141="",0,AA141)+IFERROR((AB141-K141)*IF(F141="Sell",-1,1)*R141*AC141*IF(ISNUMBER(SEARCH("JPY",E141)),1000,IF(ISNUMBER(SEARCH("XAU",E141)),100,IF(OR(ISNUMBER(SEARCH("30",E141)),ISNUMBER(SEARCH("500",E141)),ISNUMBER(SEARCH("100",E141))),100,100000))),0))</f>
        <v/>
      </c>
      <c r="AF141" s="31" t="str">
        <f aca="false">IF(OR(K141="",M141="",L141=""),"",IFERROR(ABS(M141-K141)/ABS(K141-L141),0))</f>
        <v/>
      </c>
      <c r="AG141" s="31" t="str">
        <f aca="false">IF(OR(AE141="",AE141=0,Q141=0,Q141=""),"",IFERROR(AE141/Q141,0))</f>
        <v/>
      </c>
      <c r="AH141" s="32" t="str">
        <f aca="false">IF(AB141="","Open",IF(AG141="","Open",IF(AG141&gt;0.1,"Win",IF(AG141&lt;-0.1,"Loss","Breakeven"))))</f>
        <v>Open</v>
      </c>
      <c r="AI141" s="33" t="str">
        <f aca="false">IF(OR(B141="",D141=""),"",D141-B141)</f>
        <v/>
      </c>
      <c r="AJ141" s="24" t="str">
        <f aca="false">IF(AD141="","",IFERROR((AD141-K141)*IF(F141="Sell",-1,1)/IF(ISNUMBER(SEARCH("JPY",E141)),0.01,IF(ISNUMBER(SEARCH("XAU",E141)),0.01,IF(OR(ISNUMBER(SEARCH("30",E141)),ISNUMBER(SEARCH("500",E141)),ISNUMBER(SEARCH("100",E141))),1,0.0001))),0))</f>
        <v/>
      </c>
      <c r="AK141" s="12"/>
      <c r="AL141" s="12"/>
      <c r="AM141" s="12"/>
      <c r="AN141" s="12"/>
      <c r="AO141" s="27" t="str">
        <f aca="false">IF(AE141="","",IFERROR(IF(AO140="",SETTINGS!$B$6,AO140),SETTINGS!$B$6)+IF(AE141="",0,AE141))</f>
        <v/>
      </c>
      <c r="AP141" s="2"/>
    </row>
    <row r="142" customFormat="false" ht="15" hidden="false" customHeight="false" outlineLevel="0" collapsed="false">
      <c r="A142" s="24" t="str">
        <f aca="false">IF(B142="","",ROW()-3)</f>
        <v/>
      </c>
      <c r="B142" s="25"/>
      <c r="C142" s="10"/>
      <c r="D142" s="25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26"/>
      <c r="P142" s="24" t="str">
        <f aca="false">IF(K142="","",IFERROR(ABS(K142-L142)/IF(ISNUMBER(SEARCH("JPY",E142)),0.01,IF(ISNUMBER(SEARCH("XAU",E142)),0.01,IF(OR(ISNUMBER(SEARCH("30",E142)),ISNUMBER(SEARCH("500",E142)),ISNUMBER(SEARCH("100",E142))),1,0.0001))),0))</f>
        <v/>
      </c>
      <c r="Q142" s="27" t="str">
        <f aca="false">IF(K142="","",SETTINGS!$B$6*O142)</f>
        <v/>
      </c>
      <c r="R142" s="24" t="str">
        <f aca="false">IF(K142="","",IFERROR(Q142/(P142*IF(ISNUMBER(SEARCH("JPY",E142)),9.09,IF(ISNUMBER(SEARCH("XAU",E142)),1,IF(OR(ISNUMBER(SEARCH("30",E142)),ISNUMBER(SEARCH("500",E142)),ISNUMBER(SEARCH("100",E142))),1,10)))),0))</f>
        <v/>
      </c>
      <c r="S142" s="10"/>
      <c r="T142" s="28"/>
      <c r="U142" s="27" t="str">
        <f aca="false">IF(OR(S142="",T142=0),"",IFERROR((S142-K142)*IF(F142="Sell",-1,1)*R142*T142*IF(ISNUMBER(SEARCH("JPY",E142)),1000,IF(ISNUMBER(SEARCH("XAU",E142)),100,IF(OR(ISNUMBER(SEARCH("30",E142)),ISNUMBER(SEARCH("500",E142)),ISNUMBER(SEARCH("100",E142))),100,100000))),0))</f>
        <v/>
      </c>
      <c r="V142" s="10"/>
      <c r="W142" s="28"/>
      <c r="X142" s="27" t="str">
        <f aca="false">IF(OR(V142="",W142=0),"",IFERROR((V142-K142)*IF(F142="Sell",-1,1)*R142*W142*IF(ISNUMBER(SEARCH("JPY",E142)),1000,IF(ISNUMBER(SEARCH("XAU",E142)),100,IF(OR(ISNUMBER(SEARCH("30",E142)),ISNUMBER(SEARCH("500",E142)),ISNUMBER(SEARCH("100",E142))),100,100000))),0))</f>
        <v/>
      </c>
      <c r="Y142" s="10"/>
      <c r="Z142" s="28"/>
      <c r="AA142" s="27" t="str">
        <f aca="false">IF(OR(Y142="",Z142=0),"",IFERROR((Y142-K142)*IF(F142="Sell",-1,1)*R142*Z142*IF(ISNUMBER(SEARCH("JPY",E142)),1000,IF(ISNUMBER(SEARCH("XAU",E142)),100,IF(OR(ISNUMBER(SEARCH("30",E142)),ISNUMBER(SEARCH("500",E142)),ISNUMBER(SEARCH("100",E142))),100,100000))),0))</f>
        <v/>
      </c>
      <c r="AB142" s="10"/>
      <c r="AC142" s="29" t="str">
        <f aca="false">IF(K142="","",1-IFERROR(T142,0)-IFERROR(W142,0)-IFERROR(Z142,0))</f>
        <v/>
      </c>
      <c r="AD142" s="30" t="str">
        <f aca="false">IF(AB142="","",IFERROR((IFERROR(S142*T142,0)+IFERROR(V142*W142,0)+IFERROR(Y142*Z142,0)+AB142*AC142)/(IFERROR(T142,0)+IFERROR(W142,0)+IFERROR(Z142,0)+AC142),AB142))</f>
        <v/>
      </c>
      <c r="AE142" s="27" t="str">
        <f aca="false">IF(AB142="","",IF(U142="",0,U142)+IF(X142="",0,X142)+IF(AA142="",0,AA142)+IFERROR((AB142-K142)*IF(F142="Sell",-1,1)*R142*AC142*IF(ISNUMBER(SEARCH("JPY",E142)),1000,IF(ISNUMBER(SEARCH("XAU",E142)),100,IF(OR(ISNUMBER(SEARCH("30",E142)),ISNUMBER(SEARCH("500",E142)),ISNUMBER(SEARCH("100",E142))),100,100000))),0))</f>
        <v/>
      </c>
      <c r="AF142" s="31" t="str">
        <f aca="false">IF(OR(K142="",M142="",L142=""),"",IFERROR(ABS(M142-K142)/ABS(K142-L142),0))</f>
        <v/>
      </c>
      <c r="AG142" s="31" t="str">
        <f aca="false">IF(OR(AE142="",AE142=0,Q142=0,Q142=""),"",IFERROR(AE142/Q142,0))</f>
        <v/>
      </c>
      <c r="AH142" s="32" t="str">
        <f aca="false">IF(AB142="","Open",IF(AG142="","Open",IF(AG142&gt;0.1,"Win",IF(AG142&lt;-0.1,"Loss","Breakeven"))))</f>
        <v>Open</v>
      </c>
      <c r="AI142" s="33" t="str">
        <f aca="false">IF(OR(B142="",D142=""),"",D142-B142)</f>
        <v/>
      </c>
      <c r="AJ142" s="24" t="str">
        <f aca="false">IF(AD142="","",IFERROR((AD142-K142)*IF(F142="Sell",-1,1)/IF(ISNUMBER(SEARCH("JPY",E142)),0.01,IF(ISNUMBER(SEARCH("XAU",E142)),0.01,IF(OR(ISNUMBER(SEARCH("30",E142)),ISNUMBER(SEARCH("500",E142)),ISNUMBER(SEARCH("100",E142))),1,0.0001))),0))</f>
        <v/>
      </c>
      <c r="AK142" s="10"/>
      <c r="AL142" s="10"/>
      <c r="AM142" s="10"/>
      <c r="AN142" s="10"/>
      <c r="AO142" s="27" t="str">
        <f aca="false">IF(AE142="","",IFERROR(IF(AO141="",SETTINGS!$B$6,AO141),SETTINGS!$B$6)+IF(AE142="",0,AE142))</f>
        <v/>
      </c>
      <c r="AP142" s="2"/>
    </row>
    <row r="143" customFormat="false" ht="15" hidden="false" customHeight="false" outlineLevel="0" collapsed="false">
      <c r="A143" s="24" t="str">
        <f aca="false">IF(B143="","",ROW()-3)</f>
        <v/>
      </c>
      <c r="B143" s="34"/>
      <c r="C143" s="12"/>
      <c r="D143" s="34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35"/>
      <c r="P143" s="24" t="str">
        <f aca="false">IF(K143="","",IFERROR(ABS(K143-L143)/IF(ISNUMBER(SEARCH("JPY",E143)),0.01,IF(ISNUMBER(SEARCH("XAU",E143)),0.01,IF(OR(ISNUMBER(SEARCH("30",E143)),ISNUMBER(SEARCH("500",E143)),ISNUMBER(SEARCH("100",E143))),1,0.0001))),0))</f>
        <v/>
      </c>
      <c r="Q143" s="27" t="str">
        <f aca="false">IF(K143="","",SETTINGS!$B$6*O143)</f>
        <v/>
      </c>
      <c r="R143" s="24" t="str">
        <f aca="false">IF(K143="","",IFERROR(Q143/(P143*IF(ISNUMBER(SEARCH("JPY",E143)),9.09,IF(ISNUMBER(SEARCH("XAU",E143)),1,IF(OR(ISNUMBER(SEARCH("30",E143)),ISNUMBER(SEARCH("500",E143)),ISNUMBER(SEARCH("100",E143))),1,10)))),0))</f>
        <v/>
      </c>
      <c r="S143" s="12"/>
      <c r="T143" s="36"/>
      <c r="U143" s="27" t="str">
        <f aca="false">IF(OR(S143="",T143=0),"",IFERROR((S143-K143)*IF(F143="Sell",-1,1)*R143*T143*IF(ISNUMBER(SEARCH("JPY",E143)),1000,IF(ISNUMBER(SEARCH("XAU",E143)),100,IF(OR(ISNUMBER(SEARCH("30",E143)),ISNUMBER(SEARCH("500",E143)),ISNUMBER(SEARCH("100",E143))),100,100000))),0))</f>
        <v/>
      </c>
      <c r="V143" s="12"/>
      <c r="W143" s="36"/>
      <c r="X143" s="27" t="str">
        <f aca="false">IF(OR(V143="",W143=0),"",IFERROR((V143-K143)*IF(F143="Sell",-1,1)*R143*W143*IF(ISNUMBER(SEARCH("JPY",E143)),1000,IF(ISNUMBER(SEARCH("XAU",E143)),100,IF(OR(ISNUMBER(SEARCH("30",E143)),ISNUMBER(SEARCH("500",E143)),ISNUMBER(SEARCH("100",E143))),100,100000))),0))</f>
        <v/>
      </c>
      <c r="Y143" s="12"/>
      <c r="Z143" s="36"/>
      <c r="AA143" s="27" t="str">
        <f aca="false">IF(OR(Y143="",Z143=0),"",IFERROR((Y143-K143)*IF(F143="Sell",-1,1)*R143*Z143*IF(ISNUMBER(SEARCH("JPY",E143)),1000,IF(ISNUMBER(SEARCH("XAU",E143)),100,IF(OR(ISNUMBER(SEARCH("30",E143)),ISNUMBER(SEARCH("500",E143)),ISNUMBER(SEARCH("100",E143))),100,100000))),0))</f>
        <v/>
      </c>
      <c r="AB143" s="12"/>
      <c r="AC143" s="29" t="str">
        <f aca="false">IF(K143="","",1-IFERROR(T143,0)-IFERROR(W143,0)-IFERROR(Z143,0))</f>
        <v/>
      </c>
      <c r="AD143" s="30" t="str">
        <f aca="false">IF(AB143="","",IFERROR((IFERROR(S143*T143,0)+IFERROR(V143*W143,0)+IFERROR(Y143*Z143,0)+AB143*AC143)/(IFERROR(T143,0)+IFERROR(W143,0)+IFERROR(Z143,0)+AC143),AB143))</f>
        <v/>
      </c>
      <c r="AE143" s="27" t="str">
        <f aca="false">IF(AB143="","",IF(U143="",0,U143)+IF(X143="",0,X143)+IF(AA143="",0,AA143)+IFERROR((AB143-K143)*IF(F143="Sell",-1,1)*R143*AC143*IF(ISNUMBER(SEARCH("JPY",E143)),1000,IF(ISNUMBER(SEARCH("XAU",E143)),100,IF(OR(ISNUMBER(SEARCH("30",E143)),ISNUMBER(SEARCH("500",E143)),ISNUMBER(SEARCH("100",E143))),100,100000))),0))</f>
        <v/>
      </c>
      <c r="AF143" s="31" t="str">
        <f aca="false">IF(OR(K143="",M143="",L143=""),"",IFERROR(ABS(M143-K143)/ABS(K143-L143),0))</f>
        <v/>
      </c>
      <c r="AG143" s="31" t="str">
        <f aca="false">IF(OR(AE143="",AE143=0,Q143=0,Q143=""),"",IFERROR(AE143/Q143,0))</f>
        <v/>
      </c>
      <c r="AH143" s="32" t="str">
        <f aca="false">IF(AB143="","Open",IF(AG143="","Open",IF(AG143&gt;0.1,"Win",IF(AG143&lt;-0.1,"Loss","Breakeven"))))</f>
        <v>Open</v>
      </c>
      <c r="AI143" s="33" t="str">
        <f aca="false">IF(OR(B143="",D143=""),"",D143-B143)</f>
        <v/>
      </c>
      <c r="AJ143" s="24" t="str">
        <f aca="false">IF(AD143="","",IFERROR((AD143-K143)*IF(F143="Sell",-1,1)/IF(ISNUMBER(SEARCH("JPY",E143)),0.01,IF(ISNUMBER(SEARCH("XAU",E143)),0.01,IF(OR(ISNUMBER(SEARCH("30",E143)),ISNUMBER(SEARCH("500",E143)),ISNUMBER(SEARCH("100",E143))),1,0.0001))),0))</f>
        <v/>
      </c>
      <c r="AK143" s="12"/>
      <c r="AL143" s="12"/>
      <c r="AM143" s="12"/>
      <c r="AN143" s="12"/>
      <c r="AO143" s="27" t="str">
        <f aca="false">IF(AE143="","",IFERROR(IF(AO142="",SETTINGS!$B$6,AO142),SETTINGS!$B$6)+IF(AE143="",0,AE143))</f>
        <v/>
      </c>
      <c r="AP143" s="2"/>
    </row>
    <row r="144" customFormat="false" ht="15" hidden="false" customHeight="false" outlineLevel="0" collapsed="false">
      <c r="A144" s="24" t="str">
        <f aca="false">IF(B144="","",ROW()-3)</f>
        <v/>
      </c>
      <c r="B144" s="25"/>
      <c r="C144" s="10"/>
      <c r="D144" s="25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26"/>
      <c r="P144" s="24" t="str">
        <f aca="false">IF(K144="","",IFERROR(ABS(K144-L144)/IF(ISNUMBER(SEARCH("JPY",E144)),0.01,IF(ISNUMBER(SEARCH("XAU",E144)),0.01,IF(OR(ISNUMBER(SEARCH("30",E144)),ISNUMBER(SEARCH("500",E144)),ISNUMBER(SEARCH("100",E144))),1,0.0001))),0))</f>
        <v/>
      </c>
      <c r="Q144" s="27" t="str">
        <f aca="false">IF(K144="","",SETTINGS!$B$6*O144)</f>
        <v/>
      </c>
      <c r="R144" s="24" t="str">
        <f aca="false">IF(K144="","",IFERROR(Q144/(P144*IF(ISNUMBER(SEARCH("JPY",E144)),9.09,IF(ISNUMBER(SEARCH("XAU",E144)),1,IF(OR(ISNUMBER(SEARCH("30",E144)),ISNUMBER(SEARCH("500",E144)),ISNUMBER(SEARCH("100",E144))),1,10)))),0))</f>
        <v/>
      </c>
      <c r="S144" s="10"/>
      <c r="T144" s="28"/>
      <c r="U144" s="27" t="str">
        <f aca="false">IF(OR(S144="",T144=0),"",IFERROR((S144-K144)*IF(F144="Sell",-1,1)*R144*T144*IF(ISNUMBER(SEARCH("JPY",E144)),1000,IF(ISNUMBER(SEARCH("XAU",E144)),100,IF(OR(ISNUMBER(SEARCH("30",E144)),ISNUMBER(SEARCH("500",E144)),ISNUMBER(SEARCH("100",E144))),100,100000))),0))</f>
        <v/>
      </c>
      <c r="V144" s="10"/>
      <c r="W144" s="28"/>
      <c r="X144" s="27" t="str">
        <f aca="false">IF(OR(V144="",W144=0),"",IFERROR((V144-K144)*IF(F144="Sell",-1,1)*R144*W144*IF(ISNUMBER(SEARCH("JPY",E144)),1000,IF(ISNUMBER(SEARCH("XAU",E144)),100,IF(OR(ISNUMBER(SEARCH("30",E144)),ISNUMBER(SEARCH("500",E144)),ISNUMBER(SEARCH("100",E144))),100,100000))),0))</f>
        <v/>
      </c>
      <c r="Y144" s="10"/>
      <c r="Z144" s="28"/>
      <c r="AA144" s="27" t="str">
        <f aca="false">IF(OR(Y144="",Z144=0),"",IFERROR((Y144-K144)*IF(F144="Sell",-1,1)*R144*Z144*IF(ISNUMBER(SEARCH("JPY",E144)),1000,IF(ISNUMBER(SEARCH("XAU",E144)),100,IF(OR(ISNUMBER(SEARCH("30",E144)),ISNUMBER(SEARCH("500",E144)),ISNUMBER(SEARCH("100",E144))),100,100000))),0))</f>
        <v/>
      </c>
      <c r="AB144" s="10"/>
      <c r="AC144" s="29" t="str">
        <f aca="false">IF(K144="","",1-IFERROR(T144,0)-IFERROR(W144,0)-IFERROR(Z144,0))</f>
        <v/>
      </c>
      <c r="AD144" s="30" t="str">
        <f aca="false">IF(AB144="","",IFERROR((IFERROR(S144*T144,0)+IFERROR(V144*W144,0)+IFERROR(Y144*Z144,0)+AB144*AC144)/(IFERROR(T144,0)+IFERROR(W144,0)+IFERROR(Z144,0)+AC144),AB144))</f>
        <v/>
      </c>
      <c r="AE144" s="27" t="str">
        <f aca="false">IF(AB144="","",IF(U144="",0,U144)+IF(X144="",0,X144)+IF(AA144="",0,AA144)+IFERROR((AB144-K144)*IF(F144="Sell",-1,1)*R144*AC144*IF(ISNUMBER(SEARCH("JPY",E144)),1000,IF(ISNUMBER(SEARCH("XAU",E144)),100,IF(OR(ISNUMBER(SEARCH("30",E144)),ISNUMBER(SEARCH("500",E144)),ISNUMBER(SEARCH("100",E144))),100,100000))),0))</f>
        <v/>
      </c>
      <c r="AF144" s="31" t="str">
        <f aca="false">IF(OR(K144="",M144="",L144=""),"",IFERROR(ABS(M144-K144)/ABS(K144-L144),0))</f>
        <v/>
      </c>
      <c r="AG144" s="31" t="str">
        <f aca="false">IF(OR(AE144="",AE144=0,Q144=0,Q144=""),"",IFERROR(AE144/Q144,0))</f>
        <v/>
      </c>
      <c r="AH144" s="32" t="str">
        <f aca="false">IF(AB144="","Open",IF(AG144="","Open",IF(AG144&gt;0.1,"Win",IF(AG144&lt;-0.1,"Loss","Breakeven"))))</f>
        <v>Open</v>
      </c>
      <c r="AI144" s="33" t="str">
        <f aca="false">IF(OR(B144="",D144=""),"",D144-B144)</f>
        <v/>
      </c>
      <c r="AJ144" s="24" t="str">
        <f aca="false">IF(AD144="","",IFERROR((AD144-K144)*IF(F144="Sell",-1,1)/IF(ISNUMBER(SEARCH("JPY",E144)),0.01,IF(ISNUMBER(SEARCH("XAU",E144)),0.01,IF(OR(ISNUMBER(SEARCH("30",E144)),ISNUMBER(SEARCH("500",E144)),ISNUMBER(SEARCH("100",E144))),1,0.0001))),0))</f>
        <v/>
      </c>
      <c r="AK144" s="10"/>
      <c r="AL144" s="10"/>
      <c r="AM144" s="10"/>
      <c r="AN144" s="10"/>
      <c r="AO144" s="27" t="str">
        <f aca="false">IF(AE144="","",IFERROR(IF(AO143="",SETTINGS!$B$6,AO143),SETTINGS!$B$6)+IF(AE144="",0,AE144))</f>
        <v/>
      </c>
      <c r="AP144" s="2"/>
    </row>
    <row r="145" customFormat="false" ht="15" hidden="false" customHeight="false" outlineLevel="0" collapsed="false">
      <c r="A145" s="24" t="str">
        <f aca="false">IF(B145="","",ROW()-3)</f>
        <v/>
      </c>
      <c r="B145" s="34"/>
      <c r="C145" s="12"/>
      <c r="D145" s="34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35"/>
      <c r="P145" s="24" t="str">
        <f aca="false">IF(K145="","",IFERROR(ABS(K145-L145)/IF(ISNUMBER(SEARCH("JPY",E145)),0.01,IF(ISNUMBER(SEARCH("XAU",E145)),0.01,IF(OR(ISNUMBER(SEARCH("30",E145)),ISNUMBER(SEARCH("500",E145)),ISNUMBER(SEARCH("100",E145))),1,0.0001))),0))</f>
        <v/>
      </c>
      <c r="Q145" s="27" t="str">
        <f aca="false">IF(K145="","",SETTINGS!$B$6*O145)</f>
        <v/>
      </c>
      <c r="R145" s="24" t="str">
        <f aca="false">IF(K145="","",IFERROR(Q145/(P145*IF(ISNUMBER(SEARCH("JPY",E145)),9.09,IF(ISNUMBER(SEARCH("XAU",E145)),1,IF(OR(ISNUMBER(SEARCH("30",E145)),ISNUMBER(SEARCH("500",E145)),ISNUMBER(SEARCH("100",E145))),1,10)))),0))</f>
        <v/>
      </c>
      <c r="S145" s="12"/>
      <c r="T145" s="36"/>
      <c r="U145" s="27" t="str">
        <f aca="false">IF(OR(S145="",T145=0),"",IFERROR((S145-K145)*IF(F145="Sell",-1,1)*R145*T145*IF(ISNUMBER(SEARCH("JPY",E145)),1000,IF(ISNUMBER(SEARCH("XAU",E145)),100,IF(OR(ISNUMBER(SEARCH("30",E145)),ISNUMBER(SEARCH("500",E145)),ISNUMBER(SEARCH("100",E145))),100,100000))),0))</f>
        <v/>
      </c>
      <c r="V145" s="12"/>
      <c r="W145" s="36"/>
      <c r="X145" s="27" t="str">
        <f aca="false">IF(OR(V145="",W145=0),"",IFERROR((V145-K145)*IF(F145="Sell",-1,1)*R145*W145*IF(ISNUMBER(SEARCH("JPY",E145)),1000,IF(ISNUMBER(SEARCH("XAU",E145)),100,IF(OR(ISNUMBER(SEARCH("30",E145)),ISNUMBER(SEARCH("500",E145)),ISNUMBER(SEARCH("100",E145))),100,100000))),0))</f>
        <v/>
      </c>
      <c r="Y145" s="12"/>
      <c r="Z145" s="36"/>
      <c r="AA145" s="27" t="str">
        <f aca="false">IF(OR(Y145="",Z145=0),"",IFERROR((Y145-K145)*IF(F145="Sell",-1,1)*R145*Z145*IF(ISNUMBER(SEARCH("JPY",E145)),1000,IF(ISNUMBER(SEARCH("XAU",E145)),100,IF(OR(ISNUMBER(SEARCH("30",E145)),ISNUMBER(SEARCH("500",E145)),ISNUMBER(SEARCH("100",E145))),100,100000))),0))</f>
        <v/>
      </c>
      <c r="AB145" s="12"/>
      <c r="AC145" s="29" t="str">
        <f aca="false">IF(K145="","",1-IFERROR(T145,0)-IFERROR(W145,0)-IFERROR(Z145,0))</f>
        <v/>
      </c>
      <c r="AD145" s="30" t="str">
        <f aca="false">IF(AB145="","",IFERROR((IFERROR(S145*T145,0)+IFERROR(V145*W145,0)+IFERROR(Y145*Z145,0)+AB145*AC145)/(IFERROR(T145,0)+IFERROR(W145,0)+IFERROR(Z145,0)+AC145),AB145))</f>
        <v/>
      </c>
      <c r="AE145" s="27" t="str">
        <f aca="false">IF(AB145="","",IF(U145="",0,U145)+IF(X145="",0,X145)+IF(AA145="",0,AA145)+IFERROR((AB145-K145)*IF(F145="Sell",-1,1)*R145*AC145*IF(ISNUMBER(SEARCH("JPY",E145)),1000,IF(ISNUMBER(SEARCH("XAU",E145)),100,IF(OR(ISNUMBER(SEARCH("30",E145)),ISNUMBER(SEARCH("500",E145)),ISNUMBER(SEARCH("100",E145))),100,100000))),0))</f>
        <v/>
      </c>
      <c r="AF145" s="31" t="str">
        <f aca="false">IF(OR(K145="",M145="",L145=""),"",IFERROR(ABS(M145-K145)/ABS(K145-L145),0))</f>
        <v/>
      </c>
      <c r="AG145" s="31" t="str">
        <f aca="false">IF(OR(AE145="",AE145=0,Q145=0,Q145=""),"",IFERROR(AE145/Q145,0))</f>
        <v/>
      </c>
      <c r="AH145" s="32" t="str">
        <f aca="false">IF(AB145="","Open",IF(AG145="","Open",IF(AG145&gt;0.1,"Win",IF(AG145&lt;-0.1,"Loss","Breakeven"))))</f>
        <v>Open</v>
      </c>
      <c r="AI145" s="33" t="str">
        <f aca="false">IF(OR(B145="",D145=""),"",D145-B145)</f>
        <v/>
      </c>
      <c r="AJ145" s="24" t="str">
        <f aca="false">IF(AD145="","",IFERROR((AD145-K145)*IF(F145="Sell",-1,1)/IF(ISNUMBER(SEARCH("JPY",E145)),0.01,IF(ISNUMBER(SEARCH("XAU",E145)),0.01,IF(OR(ISNUMBER(SEARCH("30",E145)),ISNUMBER(SEARCH("500",E145)),ISNUMBER(SEARCH("100",E145))),1,0.0001))),0))</f>
        <v/>
      </c>
      <c r="AK145" s="12"/>
      <c r="AL145" s="12"/>
      <c r="AM145" s="12"/>
      <c r="AN145" s="12"/>
      <c r="AO145" s="27" t="str">
        <f aca="false">IF(AE145="","",IFERROR(IF(AO144="",SETTINGS!$B$6,AO144),SETTINGS!$B$6)+IF(AE145="",0,AE145))</f>
        <v/>
      </c>
      <c r="AP145" s="2"/>
    </row>
    <row r="146" customFormat="false" ht="15" hidden="false" customHeight="false" outlineLevel="0" collapsed="false">
      <c r="A146" s="24" t="str">
        <f aca="false">IF(B146="","",ROW()-3)</f>
        <v/>
      </c>
      <c r="B146" s="25"/>
      <c r="C146" s="10"/>
      <c r="D146" s="25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26"/>
      <c r="P146" s="24" t="str">
        <f aca="false">IF(K146="","",IFERROR(ABS(K146-L146)/IF(ISNUMBER(SEARCH("JPY",E146)),0.01,IF(ISNUMBER(SEARCH("XAU",E146)),0.01,IF(OR(ISNUMBER(SEARCH("30",E146)),ISNUMBER(SEARCH("500",E146)),ISNUMBER(SEARCH("100",E146))),1,0.0001))),0))</f>
        <v/>
      </c>
      <c r="Q146" s="27" t="str">
        <f aca="false">IF(K146="","",SETTINGS!$B$6*O146)</f>
        <v/>
      </c>
      <c r="R146" s="24" t="str">
        <f aca="false">IF(K146="","",IFERROR(Q146/(P146*IF(ISNUMBER(SEARCH("JPY",E146)),9.09,IF(ISNUMBER(SEARCH("XAU",E146)),1,IF(OR(ISNUMBER(SEARCH("30",E146)),ISNUMBER(SEARCH("500",E146)),ISNUMBER(SEARCH("100",E146))),1,10)))),0))</f>
        <v/>
      </c>
      <c r="S146" s="10"/>
      <c r="T146" s="28"/>
      <c r="U146" s="27" t="str">
        <f aca="false">IF(OR(S146="",T146=0),"",IFERROR((S146-K146)*IF(F146="Sell",-1,1)*R146*T146*IF(ISNUMBER(SEARCH("JPY",E146)),1000,IF(ISNUMBER(SEARCH("XAU",E146)),100,IF(OR(ISNUMBER(SEARCH("30",E146)),ISNUMBER(SEARCH("500",E146)),ISNUMBER(SEARCH("100",E146))),100,100000))),0))</f>
        <v/>
      </c>
      <c r="V146" s="10"/>
      <c r="W146" s="28"/>
      <c r="X146" s="27" t="str">
        <f aca="false">IF(OR(V146="",W146=0),"",IFERROR((V146-K146)*IF(F146="Sell",-1,1)*R146*W146*IF(ISNUMBER(SEARCH("JPY",E146)),1000,IF(ISNUMBER(SEARCH("XAU",E146)),100,IF(OR(ISNUMBER(SEARCH("30",E146)),ISNUMBER(SEARCH("500",E146)),ISNUMBER(SEARCH("100",E146))),100,100000))),0))</f>
        <v/>
      </c>
      <c r="Y146" s="10"/>
      <c r="Z146" s="28"/>
      <c r="AA146" s="27" t="str">
        <f aca="false">IF(OR(Y146="",Z146=0),"",IFERROR((Y146-K146)*IF(F146="Sell",-1,1)*R146*Z146*IF(ISNUMBER(SEARCH("JPY",E146)),1000,IF(ISNUMBER(SEARCH("XAU",E146)),100,IF(OR(ISNUMBER(SEARCH("30",E146)),ISNUMBER(SEARCH("500",E146)),ISNUMBER(SEARCH("100",E146))),100,100000))),0))</f>
        <v/>
      </c>
      <c r="AB146" s="10"/>
      <c r="AC146" s="29" t="str">
        <f aca="false">IF(K146="","",1-IFERROR(T146,0)-IFERROR(W146,0)-IFERROR(Z146,0))</f>
        <v/>
      </c>
      <c r="AD146" s="30" t="str">
        <f aca="false">IF(AB146="","",IFERROR((IFERROR(S146*T146,0)+IFERROR(V146*W146,0)+IFERROR(Y146*Z146,0)+AB146*AC146)/(IFERROR(T146,0)+IFERROR(W146,0)+IFERROR(Z146,0)+AC146),AB146))</f>
        <v/>
      </c>
      <c r="AE146" s="27" t="str">
        <f aca="false">IF(AB146="","",IF(U146="",0,U146)+IF(X146="",0,X146)+IF(AA146="",0,AA146)+IFERROR((AB146-K146)*IF(F146="Sell",-1,1)*R146*AC146*IF(ISNUMBER(SEARCH("JPY",E146)),1000,IF(ISNUMBER(SEARCH("XAU",E146)),100,IF(OR(ISNUMBER(SEARCH("30",E146)),ISNUMBER(SEARCH("500",E146)),ISNUMBER(SEARCH("100",E146))),100,100000))),0))</f>
        <v/>
      </c>
      <c r="AF146" s="31" t="str">
        <f aca="false">IF(OR(K146="",M146="",L146=""),"",IFERROR(ABS(M146-K146)/ABS(K146-L146),0))</f>
        <v/>
      </c>
      <c r="AG146" s="31" t="str">
        <f aca="false">IF(OR(AE146="",AE146=0,Q146=0,Q146=""),"",IFERROR(AE146/Q146,0))</f>
        <v/>
      </c>
      <c r="AH146" s="32" t="str">
        <f aca="false">IF(AB146="","Open",IF(AG146="","Open",IF(AG146&gt;0.1,"Win",IF(AG146&lt;-0.1,"Loss","Breakeven"))))</f>
        <v>Open</v>
      </c>
      <c r="AI146" s="33" t="str">
        <f aca="false">IF(OR(B146="",D146=""),"",D146-B146)</f>
        <v/>
      </c>
      <c r="AJ146" s="24" t="str">
        <f aca="false">IF(AD146="","",IFERROR((AD146-K146)*IF(F146="Sell",-1,1)/IF(ISNUMBER(SEARCH("JPY",E146)),0.01,IF(ISNUMBER(SEARCH("XAU",E146)),0.01,IF(OR(ISNUMBER(SEARCH("30",E146)),ISNUMBER(SEARCH("500",E146)),ISNUMBER(SEARCH("100",E146))),1,0.0001))),0))</f>
        <v/>
      </c>
      <c r="AK146" s="10"/>
      <c r="AL146" s="10"/>
      <c r="AM146" s="10"/>
      <c r="AN146" s="10"/>
      <c r="AO146" s="27" t="str">
        <f aca="false">IF(AE146="","",IFERROR(IF(AO145="",SETTINGS!$B$6,AO145),SETTINGS!$B$6)+IF(AE146="",0,AE146))</f>
        <v/>
      </c>
      <c r="AP146" s="2"/>
    </row>
    <row r="147" customFormat="false" ht="15" hidden="false" customHeight="false" outlineLevel="0" collapsed="false">
      <c r="A147" s="24" t="str">
        <f aca="false">IF(B147="","",ROW()-3)</f>
        <v/>
      </c>
      <c r="B147" s="34"/>
      <c r="C147" s="12"/>
      <c r="D147" s="34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35"/>
      <c r="P147" s="24" t="str">
        <f aca="false">IF(K147="","",IFERROR(ABS(K147-L147)/IF(ISNUMBER(SEARCH("JPY",E147)),0.01,IF(ISNUMBER(SEARCH("XAU",E147)),0.01,IF(OR(ISNUMBER(SEARCH("30",E147)),ISNUMBER(SEARCH("500",E147)),ISNUMBER(SEARCH("100",E147))),1,0.0001))),0))</f>
        <v/>
      </c>
      <c r="Q147" s="27" t="str">
        <f aca="false">IF(K147="","",SETTINGS!$B$6*O147)</f>
        <v/>
      </c>
      <c r="R147" s="24" t="str">
        <f aca="false">IF(K147="","",IFERROR(Q147/(P147*IF(ISNUMBER(SEARCH("JPY",E147)),9.09,IF(ISNUMBER(SEARCH("XAU",E147)),1,IF(OR(ISNUMBER(SEARCH("30",E147)),ISNUMBER(SEARCH("500",E147)),ISNUMBER(SEARCH("100",E147))),1,10)))),0))</f>
        <v/>
      </c>
      <c r="S147" s="12"/>
      <c r="T147" s="36"/>
      <c r="U147" s="27" t="str">
        <f aca="false">IF(OR(S147="",T147=0),"",IFERROR((S147-K147)*IF(F147="Sell",-1,1)*R147*T147*IF(ISNUMBER(SEARCH("JPY",E147)),1000,IF(ISNUMBER(SEARCH("XAU",E147)),100,IF(OR(ISNUMBER(SEARCH("30",E147)),ISNUMBER(SEARCH("500",E147)),ISNUMBER(SEARCH("100",E147))),100,100000))),0))</f>
        <v/>
      </c>
      <c r="V147" s="12"/>
      <c r="W147" s="36"/>
      <c r="X147" s="27" t="str">
        <f aca="false">IF(OR(V147="",W147=0),"",IFERROR((V147-K147)*IF(F147="Sell",-1,1)*R147*W147*IF(ISNUMBER(SEARCH("JPY",E147)),1000,IF(ISNUMBER(SEARCH("XAU",E147)),100,IF(OR(ISNUMBER(SEARCH("30",E147)),ISNUMBER(SEARCH("500",E147)),ISNUMBER(SEARCH("100",E147))),100,100000))),0))</f>
        <v/>
      </c>
      <c r="Y147" s="12"/>
      <c r="Z147" s="36"/>
      <c r="AA147" s="27" t="str">
        <f aca="false">IF(OR(Y147="",Z147=0),"",IFERROR((Y147-K147)*IF(F147="Sell",-1,1)*R147*Z147*IF(ISNUMBER(SEARCH("JPY",E147)),1000,IF(ISNUMBER(SEARCH("XAU",E147)),100,IF(OR(ISNUMBER(SEARCH("30",E147)),ISNUMBER(SEARCH("500",E147)),ISNUMBER(SEARCH("100",E147))),100,100000))),0))</f>
        <v/>
      </c>
      <c r="AB147" s="12"/>
      <c r="AC147" s="29" t="str">
        <f aca="false">IF(K147="","",1-IFERROR(T147,0)-IFERROR(W147,0)-IFERROR(Z147,0))</f>
        <v/>
      </c>
      <c r="AD147" s="30" t="str">
        <f aca="false">IF(AB147="","",IFERROR((IFERROR(S147*T147,0)+IFERROR(V147*W147,0)+IFERROR(Y147*Z147,0)+AB147*AC147)/(IFERROR(T147,0)+IFERROR(W147,0)+IFERROR(Z147,0)+AC147),AB147))</f>
        <v/>
      </c>
      <c r="AE147" s="27" t="str">
        <f aca="false">IF(AB147="","",IF(U147="",0,U147)+IF(X147="",0,X147)+IF(AA147="",0,AA147)+IFERROR((AB147-K147)*IF(F147="Sell",-1,1)*R147*AC147*IF(ISNUMBER(SEARCH("JPY",E147)),1000,IF(ISNUMBER(SEARCH("XAU",E147)),100,IF(OR(ISNUMBER(SEARCH("30",E147)),ISNUMBER(SEARCH("500",E147)),ISNUMBER(SEARCH("100",E147))),100,100000))),0))</f>
        <v/>
      </c>
      <c r="AF147" s="31" t="str">
        <f aca="false">IF(OR(K147="",M147="",L147=""),"",IFERROR(ABS(M147-K147)/ABS(K147-L147),0))</f>
        <v/>
      </c>
      <c r="AG147" s="31" t="str">
        <f aca="false">IF(OR(AE147="",AE147=0,Q147=0,Q147=""),"",IFERROR(AE147/Q147,0))</f>
        <v/>
      </c>
      <c r="AH147" s="32" t="str">
        <f aca="false">IF(AB147="","Open",IF(AG147="","Open",IF(AG147&gt;0.1,"Win",IF(AG147&lt;-0.1,"Loss","Breakeven"))))</f>
        <v>Open</v>
      </c>
      <c r="AI147" s="33" t="str">
        <f aca="false">IF(OR(B147="",D147=""),"",D147-B147)</f>
        <v/>
      </c>
      <c r="AJ147" s="24" t="str">
        <f aca="false">IF(AD147="","",IFERROR((AD147-K147)*IF(F147="Sell",-1,1)/IF(ISNUMBER(SEARCH("JPY",E147)),0.01,IF(ISNUMBER(SEARCH("XAU",E147)),0.01,IF(OR(ISNUMBER(SEARCH("30",E147)),ISNUMBER(SEARCH("500",E147)),ISNUMBER(SEARCH("100",E147))),1,0.0001))),0))</f>
        <v/>
      </c>
      <c r="AK147" s="12"/>
      <c r="AL147" s="12"/>
      <c r="AM147" s="12"/>
      <c r="AN147" s="12"/>
      <c r="AO147" s="27" t="str">
        <f aca="false">IF(AE147="","",IFERROR(IF(AO146="",SETTINGS!$B$6,AO146),SETTINGS!$B$6)+IF(AE147="",0,AE147))</f>
        <v/>
      </c>
      <c r="AP147" s="2"/>
    </row>
    <row r="148" customFormat="false" ht="15" hidden="false" customHeight="false" outlineLevel="0" collapsed="false">
      <c r="A148" s="24" t="str">
        <f aca="false">IF(B148="","",ROW()-3)</f>
        <v/>
      </c>
      <c r="B148" s="25"/>
      <c r="C148" s="10"/>
      <c r="D148" s="25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26"/>
      <c r="P148" s="24" t="str">
        <f aca="false">IF(K148="","",IFERROR(ABS(K148-L148)/IF(ISNUMBER(SEARCH("JPY",E148)),0.01,IF(ISNUMBER(SEARCH("XAU",E148)),0.01,IF(OR(ISNUMBER(SEARCH("30",E148)),ISNUMBER(SEARCH("500",E148)),ISNUMBER(SEARCH("100",E148))),1,0.0001))),0))</f>
        <v/>
      </c>
      <c r="Q148" s="27" t="str">
        <f aca="false">IF(K148="","",SETTINGS!$B$6*O148)</f>
        <v/>
      </c>
      <c r="R148" s="24" t="str">
        <f aca="false">IF(K148="","",IFERROR(Q148/(P148*IF(ISNUMBER(SEARCH("JPY",E148)),9.09,IF(ISNUMBER(SEARCH("XAU",E148)),1,IF(OR(ISNUMBER(SEARCH("30",E148)),ISNUMBER(SEARCH("500",E148)),ISNUMBER(SEARCH("100",E148))),1,10)))),0))</f>
        <v/>
      </c>
      <c r="S148" s="10"/>
      <c r="T148" s="28"/>
      <c r="U148" s="27" t="str">
        <f aca="false">IF(OR(S148="",T148=0),"",IFERROR((S148-K148)*IF(F148="Sell",-1,1)*R148*T148*IF(ISNUMBER(SEARCH("JPY",E148)),1000,IF(ISNUMBER(SEARCH("XAU",E148)),100,IF(OR(ISNUMBER(SEARCH("30",E148)),ISNUMBER(SEARCH("500",E148)),ISNUMBER(SEARCH("100",E148))),100,100000))),0))</f>
        <v/>
      </c>
      <c r="V148" s="10"/>
      <c r="W148" s="28"/>
      <c r="X148" s="27" t="str">
        <f aca="false">IF(OR(V148="",W148=0),"",IFERROR((V148-K148)*IF(F148="Sell",-1,1)*R148*W148*IF(ISNUMBER(SEARCH("JPY",E148)),1000,IF(ISNUMBER(SEARCH("XAU",E148)),100,IF(OR(ISNUMBER(SEARCH("30",E148)),ISNUMBER(SEARCH("500",E148)),ISNUMBER(SEARCH("100",E148))),100,100000))),0))</f>
        <v/>
      </c>
      <c r="Y148" s="10"/>
      <c r="Z148" s="28"/>
      <c r="AA148" s="27" t="str">
        <f aca="false">IF(OR(Y148="",Z148=0),"",IFERROR((Y148-K148)*IF(F148="Sell",-1,1)*R148*Z148*IF(ISNUMBER(SEARCH("JPY",E148)),1000,IF(ISNUMBER(SEARCH("XAU",E148)),100,IF(OR(ISNUMBER(SEARCH("30",E148)),ISNUMBER(SEARCH("500",E148)),ISNUMBER(SEARCH("100",E148))),100,100000))),0))</f>
        <v/>
      </c>
      <c r="AB148" s="10"/>
      <c r="AC148" s="29" t="str">
        <f aca="false">IF(K148="","",1-IFERROR(T148,0)-IFERROR(W148,0)-IFERROR(Z148,0))</f>
        <v/>
      </c>
      <c r="AD148" s="30" t="str">
        <f aca="false">IF(AB148="","",IFERROR((IFERROR(S148*T148,0)+IFERROR(V148*W148,0)+IFERROR(Y148*Z148,0)+AB148*AC148)/(IFERROR(T148,0)+IFERROR(W148,0)+IFERROR(Z148,0)+AC148),AB148))</f>
        <v/>
      </c>
      <c r="AE148" s="27" t="str">
        <f aca="false">IF(AB148="","",IF(U148="",0,U148)+IF(X148="",0,X148)+IF(AA148="",0,AA148)+IFERROR((AB148-K148)*IF(F148="Sell",-1,1)*R148*AC148*IF(ISNUMBER(SEARCH("JPY",E148)),1000,IF(ISNUMBER(SEARCH("XAU",E148)),100,IF(OR(ISNUMBER(SEARCH("30",E148)),ISNUMBER(SEARCH("500",E148)),ISNUMBER(SEARCH("100",E148))),100,100000))),0))</f>
        <v/>
      </c>
      <c r="AF148" s="31" t="str">
        <f aca="false">IF(OR(K148="",M148="",L148=""),"",IFERROR(ABS(M148-K148)/ABS(K148-L148),0))</f>
        <v/>
      </c>
      <c r="AG148" s="31" t="str">
        <f aca="false">IF(OR(AE148="",AE148=0,Q148=0,Q148=""),"",IFERROR(AE148/Q148,0))</f>
        <v/>
      </c>
      <c r="AH148" s="32" t="str">
        <f aca="false">IF(AB148="","Open",IF(AG148="","Open",IF(AG148&gt;0.1,"Win",IF(AG148&lt;-0.1,"Loss","Breakeven"))))</f>
        <v>Open</v>
      </c>
      <c r="AI148" s="33" t="str">
        <f aca="false">IF(OR(B148="",D148=""),"",D148-B148)</f>
        <v/>
      </c>
      <c r="AJ148" s="24" t="str">
        <f aca="false">IF(AD148="","",IFERROR((AD148-K148)*IF(F148="Sell",-1,1)/IF(ISNUMBER(SEARCH("JPY",E148)),0.01,IF(ISNUMBER(SEARCH("XAU",E148)),0.01,IF(OR(ISNUMBER(SEARCH("30",E148)),ISNUMBER(SEARCH("500",E148)),ISNUMBER(SEARCH("100",E148))),1,0.0001))),0))</f>
        <v/>
      </c>
      <c r="AK148" s="10"/>
      <c r="AL148" s="10"/>
      <c r="AM148" s="10"/>
      <c r="AN148" s="10"/>
      <c r="AO148" s="27" t="str">
        <f aca="false">IF(AE148="","",IFERROR(IF(AO147="",SETTINGS!$B$6,AO147),SETTINGS!$B$6)+IF(AE148="",0,AE148))</f>
        <v/>
      </c>
      <c r="AP148" s="2"/>
    </row>
    <row r="149" customFormat="false" ht="15" hidden="false" customHeight="false" outlineLevel="0" collapsed="false">
      <c r="A149" s="24" t="str">
        <f aca="false">IF(B149="","",ROW()-3)</f>
        <v/>
      </c>
      <c r="B149" s="34"/>
      <c r="C149" s="12"/>
      <c r="D149" s="34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35"/>
      <c r="P149" s="24" t="str">
        <f aca="false">IF(K149="","",IFERROR(ABS(K149-L149)/IF(ISNUMBER(SEARCH("JPY",E149)),0.01,IF(ISNUMBER(SEARCH("XAU",E149)),0.01,IF(OR(ISNUMBER(SEARCH("30",E149)),ISNUMBER(SEARCH("500",E149)),ISNUMBER(SEARCH("100",E149))),1,0.0001))),0))</f>
        <v/>
      </c>
      <c r="Q149" s="27" t="str">
        <f aca="false">IF(K149="","",SETTINGS!$B$6*O149)</f>
        <v/>
      </c>
      <c r="R149" s="24" t="str">
        <f aca="false">IF(K149="","",IFERROR(Q149/(P149*IF(ISNUMBER(SEARCH("JPY",E149)),9.09,IF(ISNUMBER(SEARCH("XAU",E149)),1,IF(OR(ISNUMBER(SEARCH("30",E149)),ISNUMBER(SEARCH("500",E149)),ISNUMBER(SEARCH("100",E149))),1,10)))),0))</f>
        <v/>
      </c>
      <c r="S149" s="12"/>
      <c r="T149" s="36"/>
      <c r="U149" s="27" t="str">
        <f aca="false">IF(OR(S149="",T149=0),"",IFERROR((S149-K149)*IF(F149="Sell",-1,1)*R149*T149*IF(ISNUMBER(SEARCH("JPY",E149)),1000,IF(ISNUMBER(SEARCH("XAU",E149)),100,IF(OR(ISNUMBER(SEARCH("30",E149)),ISNUMBER(SEARCH("500",E149)),ISNUMBER(SEARCH("100",E149))),100,100000))),0))</f>
        <v/>
      </c>
      <c r="V149" s="12"/>
      <c r="W149" s="36"/>
      <c r="X149" s="27" t="str">
        <f aca="false">IF(OR(V149="",W149=0),"",IFERROR((V149-K149)*IF(F149="Sell",-1,1)*R149*W149*IF(ISNUMBER(SEARCH("JPY",E149)),1000,IF(ISNUMBER(SEARCH("XAU",E149)),100,IF(OR(ISNUMBER(SEARCH("30",E149)),ISNUMBER(SEARCH("500",E149)),ISNUMBER(SEARCH("100",E149))),100,100000))),0))</f>
        <v/>
      </c>
      <c r="Y149" s="12"/>
      <c r="Z149" s="36"/>
      <c r="AA149" s="27" t="str">
        <f aca="false">IF(OR(Y149="",Z149=0),"",IFERROR((Y149-K149)*IF(F149="Sell",-1,1)*R149*Z149*IF(ISNUMBER(SEARCH("JPY",E149)),1000,IF(ISNUMBER(SEARCH("XAU",E149)),100,IF(OR(ISNUMBER(SEARCH("30",E149)),ISNUMBER(SEARCH("500",E149)),ISNUMBER(SEARCH("100",E149))),100,100000))),0))</f>
        <v/>
      </c>
      <c r="AB149" s="12"/>
      <c r="AC149" s="29" t="str">
        <f aca="false">IF(K149="","",1-IFERROR(T149,0)-IFERROR(W149,0)-IFERROR(Z149,0))</f>
        <v/>
      </c>
      <c r="AD149" s="30" t="str">
        <f aca="false">IF(AB149="","",IFERROR((IFERROR(S149*T149,0)+IFERROR(V149*W149,0)+IFERROR(Y149*Z149,0)+AB149*AC149)/(IFERROR(T149,0)+IFERROR(W149,0)+IFERROR(Z149,0)+AC149),AB149))</f>
        <v/>
      </c>
      <c r="AE149" s="27" t="str">
        <f aca="false">IF(AB149="","",IF(U149="",0,U149)+IF(X149="",0,X149)+IF(AA149="",0,AA149)+IFERROR((AB149-K149)*IF(F149="Sell",-1,1)*R149*AC149*IF(ISNUMBER(SEARCH("JPY",E149)),1000,IF(ISNUMBER(SEARCH("XAU",E149)),100,IF(OR(ISNUMBER(SEARCH("30",E149)),ISNUMBER(SEARCH("500",E149)),ISNUMBER(SEARCH("100",E149))),100,100000))),0))</f>
        <v/>
      </c>
      <c r="AF149" s="31" t="str">
        <f aca="false">IF(OR(K149="",M149="",L149=""),"",IFERROR(ABS(M149-K149)/ABS(K149-L149),0))</f>
        <v/>
      </c>
      <c r="AG149" s="31" t="str">
        <f aca="false">IF(OR(AE149="",AE149=0,Q149=0,Q149=""),"",IFERROR(AE149/Q149,0))</f>
        <v/>
      </c>
      <c r="AH149" s="32" t="str">
        <f aca="false">IF(AB149="","Open",IF(AG149="","Open",IF(AG149&gt;0.1,"Win",IF(AG149&lt;-0.1,"Loss","Breakeven"))))</f>
        <v>Open</v>
      </c>
      <c r="AI149" s="33" t="str">
        <f aca="false">IF(OR(B149="",D149=""),"",D149-B149)</f>
        <v/>
      </c>
      <c r="AJ149" s="24" t="str">
        <f aca="false">IF(AD149="","",IFERROR((AD149-K149)*IF(F149="Sell",-1,1)/IF(ISNUMBER(SEARCH("JPY",E149)),0.01,IF(ISNUMBER(SEARCH("XAU",E149)),0.01,IF(OR(ISNUMBER(SEARCH("30",E149)),ISNUMBER(SEARCH("500",E149)),ISNUMBER(SEARCH("100",E149))),1,0.0001))),0))</f>
        <v/>
      </c>
      <c r="AK149" s="12"/>
      <c r="AL149" s="12"/>
      <c r="AM149" s="12"/>
      <c r="AN149" s="12"/>
      <c r="AO149" s="27" t="str">
        <f aca="false">IF(AE149="","",IFERROR(IF(AO148="",SETTINGS!$B$6,AO148),SETTINGS!$B$6)+IF(AE149="",0,AE149))</f>
        <v/>
      </c>
      <c r="AP149" s="2"/>
    </row>
    <row r="150" customFormat="false" ht="15" hidden="false" customHeight="false" outlineLevel="0" collapsed="false">
      <c r="A150" s="24" t="str">
        <f aca="false">IF(B150="","",ROW()-3)</f>
        <v/>
      </c>
      <c r="B150" s="25"/>
      <c r="C150" s="10"/>
      <c r="D150" s="2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6"/>
      <c r="P150" s="24" t="str">
        <f aca="false">IF(K150="","",IFERROR(ABS(K150-L150)/IF(ISNUMBER(SEARCH("JPY",E150)),0.01,IF(ISNUMBER(SEARCH("XAU",E150)),0.01,IF(OR(ISNUMBER(SEARCH("30",E150)),ISNUMBER(SEARCH("500",E150)),ISNUMBER(SEARCH("100",E150))),1,0.0001))),0))</f>
        <v/>
      </c>
      <c r="Q150" s="27" t="str">
        <f aca="false">IF(K150="","",SETTINGS!$B$6*O150)</f>
        <v/>
      </c>
      <c r="R150" s="24" t="str">
        <f aca="false">IF(K150="","",IFERROR(Q150/(P150*IF(ISNUMBER(SEARCH("JPY",E150)),9.09,IF(ISNUMBER(SEARCH("XAU",E150)),1,IF(OR(ISNUMBER(SEARCH("30",E150)),ISNUMBER(SEARCH("500",E150)),ISNUMBER(SEARCH("100",E150))),1,10)))),0))</f>
        <v/>
      </c>
      <c r="S150" s="10"/>
      <c r="T150" s="28"/>
      <c r="U150" s="27" t="str">
        <f aca="false">IF(OR(S150="",T150=0),"",IFERROR((S150-K150)*IF(F150="Sell",-1,1)*R150*T150*IF(ISNUMBER(SEARCH("JPY",E150)),1000,IF(ISNUMBER(SEARCH("XAU",E150)),100,IF(OR(ISNUMBER(SEARCH("30",E150)),ISNUMBER(SEARCH("500",E150)),ISNUMBER(SEARCH("100",E150))),100,100000))),0))</f>
        <v/>
      </c>
      <c r="V150" s="10"/>
      <c r="W150" s="28"/>
      <c r="X150" s="27" t="str">
        <f aca="false">IF(OR(V150="",W150=0),"",IFERROR((V150-K150)*IF(F150="Sell",-1,1)*R150*W150*IF(ISNUMBER(SEARCH("JPY",E150)),1000,IF(ISNUMBER(SEARCH("XAU",E150)),100,IF(OR(ISNUMBER(SEARCH("30",E150)),ISNUMBER(SEARCH("500",E150)),ISNUMBER(SEARCH("100",E150))),100,100000))),0))</f>
        <v/>
      </c>
      <c r="Y150" s="10"/>
      <c r="Z150" s="28"/>
      <c r="AA150" s="27" t="str">
        <f aca="false">IF(OR(Y150="",Z150=0),"",IFERROR((Y150-K150)*IF(F150="Sell",-1,1)*R150*Z150*IF(ISNUMBER(SEARCH("JPY",E150)),1000,IF(ISNUMBER(SEARCH("XAU",E150)),100,IF(OR(ISNUMBER(SEARCH("30",E150)),ISNUMBER(SEARCH("500",E150)),ISNUMBER(SEARCH("100",E150))),100,100000))),0))</f>
        <v/>
      </c>
      <c r="AB150" s="10"/>
      <c r="AC150" s="29" t="str">
        <f aca="false">IF(K150="","",1-IFERROR(T150,0)-IFERROR(W150,0)-IFERROR(Z150,0))</f>
        <v/>
      </c>
      <c r="AD150" s="30" t="str">
        <f aca="false">IF(AB150="","",IFERROR((IFERROR(S150*T150,0)+IFERROR(V150*W150,0)+IFERROR(Y150*Z150,0)+AB150*AC150)/(IFERROR(T150,0)+IFERROR(W150,0)+IFERROR(Z150,0)+AC150),AB150))</f>
        <v/>
      </c>
      <c r="AE150" s="27" t="str">
        <f aca="false">IF(AB150="","",IF(U150="",0,U150)+IF(X150="",0,X150)+IF(AA150="",0,AA150)+IFERROR((AB150-K150)*IF(F150="Sell",-1,1)*R150*AC150*IF(ISNUMBER(SEARCH("JPY",E150)),1000,IF(ISNUMBER(SEARCH("XAU",E150)),100,IF(OR(ISNUMBER(SEARCH("30",E150)),ISNUMBER(SEARCH("500",E150)),ISNUMBER(SEARCH("100",E150))),100,100000))),0))</f>
        <v/>
      </c>
      <c r="AF150" s="31" t="str">
        <f aca="false">IF(OR(K150="",M150="",L150=""),"",IFERROR(ABS(M150-K150)/ABS(K150-L150),0))</f>
        <v/>
      </c>
      <c r="AG150" s="31" t="str">
        <f aca="false">IF(OR(AE150="",AE150=0,Q150=0,Q150=""),"",IFERROR(AE150/Q150,0))</f>
        <v/>
      </c>
      <c r="AH150" s="32" t="str">
        <f aca="false">IF(AB150="","Open",IF(AG150="","Open",IF(AG150&gt;0.1,"Win",IF(AG150&lt;-0.1,"Loss","Breakeven"))))</f>
        <v>Open</v>
      </c>
      <c r="AI150" s="33" t="str">
        <f aca="false">IF(OR(B150="",D150=""),"",D150-B150)</f>
        <v/>
      </c>
      <c r="AJ150" s="24" t="str">
        <f aca="false">IF(AD150="","",IFERROR((AD150-K150)*IF(F150="Sell",-1,1)/IF(ISNUMBER(SEARCH("JPY",E150)),0.01,IF(ISNUMBER(SEARCH("XAU",E150)),0.01,IF(OR(ISNUMBER(SEARCH("30",E150)),ISNUMBER(SEARCH("500",E150)),ISNUMBER(SEARCH("100",E150))),1,0.0001))),0))</f>
        <v/>
      </c>
      <c r="AK150" s="10"/>
      <c r="AL150" s="10"/>
      <c r="AM150" s="10"/>
      <c r="AN150" s="10"/>
      <c r="AO150" s="27" t="str">
        <f aca="false">IF(AE150="","",IFERROR(IF(AO149="",SETTINGS!$B$6,AO149),SETTINGS!$B$6)+IF(AE150="",0,AE150))</f>
        <v/>
      </c>
      <c r="AP150" s="2"/>
    </row>
    <row r="151" customFormat="false" ht="15" hidden="false" customHeight="false" outlineLevel="0" collapsed="false">
      <c r="A151" s="24" t="str">
        <f aca="false">IF(B151="","",ROW()-3)</f>
        <v/>
      </c>
      <c r="B151" s="34"/>
      <c r="C151" s="12"/>
      <c r="D151" s="34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35"/>
      <c r="P151" s="24" t="str">
        <f aca="false">IF(K151="","",IFERROR(ABS(K151-L151)/IF(ISNUMBER(SEARCH("JPY",E151)),0.01,IF(ISNUMBER(SEARCH("XAU",E151)),0.01,IF(OR(ISNUMBER(SEARCH("30",E151)),ISNUMBER(SEARCH("500",E151)),ISNUMBER(SEARCH("100",E151))),1,0.0001))),0))</f>
        <v/>
      </c>
      <c r="Q151" s="27" t="str">
        <f aca="false">IF(K151="","",SETTINGS!$B$6*O151)</f>
        <v/>
      </c>
      <c r="R151" s="24" t="str">
        <f aca="false">IF(K151="","",IFERROR(Q151/(P151*IF(ISNUMBER(SEARCH("JPY",E151)),9.09,IF(ISNUMBER(SEARCH("XAU",E151)),1,IF(OR(ISNUMBER(SEARCH("30",E151)),ISNUMBER(SEARCH("500",E151)),ISNUMBER(SEARCH("100",E151))),1,10)))),0))</f>
        <v/>
      </c>
      <c r="S151" s="12"/>
      <c r="T151" s="36"/>
      <c r="U151" s="27" t="str">
        <f aca="false">IF(OR(S151="",T151=0),"",IFERROR((S151-K151)*IF(F151="Sell",-1,1)*R151*T151*IF(ISNUMBER(SEARCH("JPY",E151)),1000,IF(ISNUMBER(SEARCH("XAU",E151)),100,IF(OR(ISNUMBER(SEARCH("30",E151)),ISNUMBER(SEARCH("500",E151)),ISNUMBER(SEARCH("100",E151))),100,100000))),0))</f>
        <v/>
      </c>
      <c r="V151" s="12"/>
      <c r="W151" s="36"/>
      <c r="X151" s="27" t="str">
        <f aca="false">IF(OR(V151="",W151=0),"",IFERROR((V151-K151)*IF(F151="Sell",-1,1)*R151*W151*IF(ISNUMBER(SEARCH("JPY",E151)),1000,IF(ISNUMBER(SEARCH("XAU",E151)),100,IF(OR(ISNUMBER(SEARCH("30",E151)),ISNUMBER(SEARCH("500",E151)),ISNUMBER(SEARCH("100",E151))),100,100000))),0))</f>
        <v/>
      </c>
      <c r="Y151" s="12"/>
      <c r="Z151" s="36"/>
      <c r="AA151" s="27" t="str">
        <f aca="false">IF(OR(Y151="",Z151=0),"",IFERROR((Y151-K151)*IF(F151="Sell",-1,1)*R151*Z151*IF(ISNUMBER(SEARCH("JPY",E151)),1000,IF(ISNUMBER(SEARCH("XAU",E151)),100,IF(OR(ISNUMBER(SEARCH("30",E151)),ISNUMBER(SEARCH("500",E151)),ISNUMBER(SEARCH("100",E151))),100,100000))),0))</f>
        <v/>
      </c>
      <c r="AB151" s="12"/>
      <c r="AC151" s="29" t="str">
        <f aca="false">IF(K151="","",1-IFERROR(T151,0)-IFERROR(W151,0)-IFERROR(Z151,0))</f>
        <v/>
      </c>
      <c r="AD151" s="30" t="str">
        <f aca="false">IF(AB151="","",IFERROR((IFERROR(S151*T151,0)+IFERROR(V151*W151,0)+IFERROR(Y151*Z151,0)+AB151*AC151)/(IFERROR(T151,0)+IFERROR(W151,0)+IFERROR(Z151,0)+AC151),AB151))</f>
        <v/>
      </c>
      <c r="AE151" s="27" t="str">
        <f aca="false">IF(AB151="","",IF(U151="",0,U151)+IF(X151="",0,X151)+IF(AA151="",0,AA151)+IFERROR((AB151-K151)*IF(F151="Sell",-1,1)*R151*AC151*IF(ISNUMBER(SEARCH("JPY",E151)),1000,IF(ISNUMBER(SEARCH("XAU",E151)),100,IF(OR(ISNUMBER(SEARCH("30",E151)),ISNUMBER(SEARCH("500",E151)),ISNUMBER(SEARCH("100",E151))),100,100000))),0))</f>
        <v/>
      </c>
      <c r="AF151" s="31" t="str">
        <f aca="false">IF(OR(K151="",M151="",L151=""),"",IFERROR(ABS(M151-K151)/ABS(K151-L151),0))</f>
        <v/>
      </c>
      <c r="AG151" s="31" t="str">
        <f aca="false">IF(OR(AE151="",AE151=0,Q151=0,Q151=""),"",IFERROR(AE151/Q151,0))</f>
        <v/>
      </c>
      <c r="AH151" s="32" t="str">
        <f aca="false">IF(AB151="","Open",IF(AG151="","Open",IF(AG151&gt;0.1,"Win",IF(AG151&lt;-0.1,"Loss","Breakeven"))))</f>
        <v>Open</v>
      </c>
      <c r="AI151" s="33" t="str">
        <f aca="false">IF(OR(B151="",D151=""),"",D151-B151)</f>
        <v/>
      </c>
      <c r="AJ151" s="24" t="str">
        <f aca="false">IF(AD151="","",IFERROR((AD151-K151)*IF(F151="Sell",-1,1)/IF(ISNUMBER(SEARCH("JPY",E151)),0.01,IF(ISNUMBER(SEARCH("XAU",E151)),0.01,IF(OR(ISNUMBER(SEARCH("30",E151)),ISNUMBER(SEARCH("500",E151)),ISNUMBER(SEARCH("100",E151))),1,0.0001))),0))</f>
        <v/>
      </c>
      <c r="AK151" s="12"/>
      <c r="AL151" s="12"/>
      <c r="AM151" s="12"/>
      <c r="AN151" s="12"/>
      <c r="AO151" s="27" t="str">
        <f aca="false">IF(AE151="","",IFERROR(IF(AO150="",SETTINGS!$B$6,AO150),SETTINGS!$B$6)+IF(AE151="",0,AE151))</f>
        <v/>
      </c>
      <c r="AP151" s="2"/>
    </row>
    <row r="152" customFormat="false" ht="15" hidden="false" customHeight="false" outlineLevel="0" collapsed="false">
      <c r="A152" s="24" t="str">
        <f aca="false">IF(B152="","",ROW()-3)</f>
        <v/>
      </c>
      <c r="B152" s="25"/>
      <c r="C152" s="10"/>
      <c r="D152" s="25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26"/>
      <c r="P152" s="24" t="str">
        <f aca="false">IF(K152="","",IFERROR(ABS(K152-L152)/IF(ISNUMBER(SEARCH("JPY",E152)),0.01,IF(ISNUMBER(SEARCH("XAU",E152)),0.01,IF(OR(ISNUMBER(SEARCH("30",E152)),ISNUMBER(SEARCH("500",E152)),ISNUMBER(SEARCH("100",E152))),1,0.0001))),0))</f>
        <v/>
      </c>
      <c r="Q152" s="27" t="str">
        <f aca="false">IF(K152="","",SETTINGS!$B$6*O152)</f>
        <v/>
      </c>
      <c r="R152" s="24" t="str">
        <f aca="false">IF(K152="","",IFERROR(Q152/(P152*IF(ISNUMBER(SEARCH("JPY",E152)),9.09,IF(ISNUMBER(SEARCH("XAU",E152)),1,IF(OR(ISNUMBER(SEARCH("30",E152)),ISNUMBER(SEARCH("500",E152)),ISNUMBER(SEARCH("100",E152))),1,10)))),0))</f>
        <v/>
      </c>
      <c r="S152" s="10"/>
      <c r="T152" s="28"/>
      <c r="U152" s="27" t="str">
        <f aca="false">IF(OR(S152="",T152=0),"",IFERROR((S152-K152)*IF(F152="Sell",-1,1)*R152*T152*IF(ISNUMBER(SEARCH("JPY",E152)),1000,IF(ISNUMBER(SEARCH("XAU",E152)),100,IF(OR(ISNUMBER(SEARCH("30",E152)),ISNUMBER(SEARCH("500",E152)),ISNUMBER(SEARCH("100",E152))),100,100000))),0))</f>
        <v/>
      </c>
      <c r="V152" s="10"/>
      <c r="W152" s="28"/>
      <c r="X152" s="27" t="str">
        <f aca="false">IF(OR(V152="",W152=0),"",IFERROR((V152-K152)*IF(F152="Sell",-1,1)*R152*W152*IF(ISNUMBER(SEARCH("JPY",E152)),1000,IF(ISNUMBER(SEARCH("XAU",E152)),100,IF(OR(ISNUMBER(SEARCH("30",E152)),ISNUMBER(SEARCH("500",E152)),ISNUMBER(SEARCH("100",E152))),100,100000))),0))</f>
        <v/>
      </c>
      <c r="Y152" s="10"/>
      <c r="Z152" s="28"/>
      <c r="AA152" s="27" t="str">
        <f aca="false">IF(OR(Y152="",Z152=0),"",IFERROR((Y152-K152)*IF(F152="Sell",-1,1)*R152*Z152*IF(ISNUMBER(SEARCH("JPY",E152)),1000,IF(ISNUMBER(SEARCH("XAU",E152)),100,IF(OR(ISNUMBER(SEARCH("30",E152)),ISNUMBER(SEARCH("500",E152)),ISNUMBER(SEARCH("100",E152))),100,100000))),0))</f>
        <v/>
      </c>
      <c r="AB152" s="10"/>
      <c r="AC152" s="29" t="str">
        <f aca="false">IF(K152="","",1-IFERROR(T152,0)-IFERROR(W152,0)-IFERROR(Z152,0))</f>
        <v/>
      </c>
      <c r="AD152" s="30" t="str">
        <f aca="false">IF(AB152="","",IFERROR((IFERROR(S152*T152,0)+IFERROR(V152*W152,0)+IFERROR(Y152*Z152,0)+AB152*AC152)/(IFERROR(T152,0)+IFERROR(W152,0)+IFERROR(Z152,0)+AC152),AB152))</f>
        <v/>
      </c>
      <c r="AE152" s="27" t="str">
        <f aca="false">IF(AB152="","",IF(U152="",0,U152)+IF(X152="",0,X152)+IF(AA152="",0,AA152)+IFERROR((AB152-K152)*IF(F152="Sell",-1,1)*R152*AC152*IF(ISNUMBER(SEARCH("JPY",E152)),1000,IF(ISNUMBER(SEARCH("XAU",E152)),100,IF(OR(ISNUMBER(SEARCH("30",E152)),ISNUMBER(SEARCH("500",E152)),ISNUMBER(SEARCH("100",E152))),100,100000))),0))</f>
        <v/>
      </c>
      <c r="AF152" s="31" t="str">
        <f aca="false">IF(OR(K152="",M152="",L152=""),"",IFERROR(ABS(M152-K152)/ABS(K152-L152),0))</f>
        <v/>
      </c>
      <c r="AG152" s="31" t="str">
        <f aca="false">IF(OR(AE152="",AE152=0,Q152=0,Q152=""),"",IFERROR(AE152/Q152,0))</f>
        <v/>
      </c>
      <c r="AH152" s="32" t="str">
        <f aca="false">IF(AB152="","Open",IF(AG152="","Open",IF(AG152&gt;0.1,"Win",IF(AG152&lt;-0.1,"Loss","Breakeven"))))</f>
        <v>Open</v>
      </c>
      <c r="AI152" s="33" t="str">
        <f aca="false">IF(OR(B152="",D152=""),"",D152-B152)</f>
        <v/>
      </c>
      <c r="AJ152" s="24" t="str">
        <f aca="false">IF(AD152="","",IFERROR((AD152-K152)*IF(F152="Sell",-1,1)/IF(ISNUMBER(SEARCH("JPY",E152)),0.01,IF(ISNUMBER(SEARCH("XAU",E152)),0.01,IF(OR(ISNUMBER(SEARCH("30",E152)),ISNUMBER(SEARCH("500",E152)),ISNUMBER(SEARCH("100",E152))),1,0.0001))),0))</f>
        <v/>
      </c>
      <c r="AK152" s="10"/>
      <c r="AL152" s="10"/>
      <c r="AM152" s="10"/>
      <c r="AN152" s="10"/>
      <c r="AO152" s="27" t="str">
        <f aca="false">IF(AE152="","",IFERROR(IF(AO151="",SETTINGS!$B$6,AO151),SETTINGS!$B$6)+IF(AE152="",0,AE152))</f>
        <v/>
      </c>
      <c r="AP152" s="2"/>
    </row>
    <row r="153" customFormat="false" ht="15" hidden="false" customHeight="false" outlineLevel="0" collapsed="false">
      <c r="A153" s="24" t="str">
        <f aca="false">IF(B153="","",ROW()-3)</f>
        <v/>
      </c>
      <c r="B153" s="34"/>
      <c r="C153" s="12"/>
      <c r="D153" s="34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35"/>
      <c r="P153" s="24" t="str">
        <f aca="false">IF(K153="","",IFERROR(ABS(K153-L153)/IF(ISNUMBER(SEARCH("JPY",E153)),0.01,IF(ISNUMBER(SEARCH("XAU",E153)),0.01,IF(OR(ISNUMBER(SEARCH("30",E153)),ISNUMBER(SEARCH("500",E153)),ISNUMBER(SEARCH("100",E153))),1,0.0001))),0))</f>
        <v/>
      </c>
      <c r="Q153" s="27" t="str">
        <f aca="false">IF(K153="","",SETTINGS!$B$6*O153)</f>
        <v/>
      </c>
      <c r="R153" s="24" t="str">
        <f aca="false">IF(K153="","",IFERROR(Q153/(P153*IF(ISNUMBER(SEARCH("JPY",E153)),9.09,IF(ISNUMBER(SEARCH("XAU",E153)),1,IF(OR(ISNUMBER(SEARCH("30",E153)),ISNUMBER(SEARCH("500",E153)),ISNUMBER(SEARCH("100",E153))),1,10)))),0))</f>
        <v/>
      </c>
      <c r="S153" s="12"/>
      <c r="T153" s="36"/>
      <c r="U153" s="27" t="str">
        <f aca="false">IF(OR(S153="",T153=0),"",IFERROR((S153-K153)*IF(F153="Sell",-1,1)*R153*T153*IF(ISNUMBER(SEARCH("JPY",E153)),1000,IF(ISNUMBER(SEARCH("XAU",E153)),100,IF(OR(ISNUMBER(SEARCH("30",E153)),ISNUMBER(SEARCH("500",E153)),ISNUMBER(SEARCH("100",E153))),100,100000))),0))</f>
        <v/>
      </c>
      <c r="V153" s="12"/>
      <c r="W153" s="36"/>
      <c r="X153" s="27" t="str">
        <f aca="false">IF(OR(V153="",W153=0),"",IFERROR((V153-K153)*IF(F153="Sell",-1,1)*R153*W153*IF(ISNUMBER(SEARCH("JPY",E153)),1000,IF(ISNUMBER(SEARCH("XAU",E153)),100,IF(OR(ISNUMBER(SEARCH("30",E153)),ISNUMBER(SEARCH("500",E153)),ISNUMBER(SEARCH("100",E153))),100,100000))),0))</f>
        <v/>
      </c>
      <c r="Y153" s="12"/>
      <c r="Z153" s="36"/>
      <c r="AA153" s="27" t="str">
        <f aca="false">IF(OR(Y153="",Z153=0),"",IFERROR((Y153-K153)*IF(F153="Sell",-1,1)*R153*Z153*IF(ISNUMBER(SEARCH("JPY",E153)),1000,IF(ISNUMBER(SEARCH("XAU",E153)),100,IF(OR(ISNUMBER(SEARCH("30",E153)),ISNUMBER(SEARCH("500",E153)),ISNUMBER(SEARCH("100",E153))),100,100000))),0))</f>
        <v/>
      </c>
      <c r="AB153" s="12"/>
      <c r="AC153" s="29" t="str">
        <f aca="false">IF(K153="","",1-IFERROR(T153,0)-IFERROR(W153,0)-IFERROR(Z153,0))</f>
        <v/>
      </c>
      <c r="AD153" s="30" t="str">
        <f aca="false">IF(AB153="","",IFERROR((IFERROR(S153*T153,0)+IFERROR(V153*W153,0)+IFERROR(Y153*Z153,0)+AB153*AC153)/(IFERROR(T153,0)+IFERROR(W153,0)+IFERROR(Z153,0)+AC153),AB153))</f>
        <v/>
      </c>
      <c r="AE153" s="27" t="str">
        <f aca="false">IF(AB153="","",IF(U153="",0,U153)+IF(X153="",0,X153)+IF(AA153="",0,AA153)+IFERROR((AB153-K153)*IF(F153="Sell",-1,1)*R153*AC153*IF(ISNUMBER(SEARCH("JPY",E153)),1000,IF(ISNUMBER(SEARCH("XAU",E153)),100,IF(OR(ISNUMBER(SEARCH("30",E153)),ISNUMBER(SEARCH("500",E153)),ISNUMBER(SEARCH("100",E153))),100,100000))),0))</f>
        <v/>
      </c>
      <c r="AF153" s="31" t="str">
        <f aca="false">IF(OR(K153="",M153="",L153=""),"",IFERROR(ABS(M153-K153)/ABS(K153-L153),0))</f>
        <v/>
      </c>
      <c r="AG153" s="31" t="str">
        <f aca="false">IF(OR(AE153="",AE153=0,Q153=0,Q153=""),"",IFERROR(AE153/Q153,0))</f>
        <v/>
      </c>
      <c r="AH153" s="32" t="str">
        <f aca="false">IF(AB153="","Open",IF(AG153="","Open",IF(AG153&gt;0.1,"Win",IF(AG153&lt;-0.1,"Loss","Breakeven"))))</f>
        <v>Open</v>
      </c>
      <c r="AI153" s="33" t="str">
        <f aca="false">IF(OR(B153="",D153=""),"",D153-B153)</f>
        <v/>
      </c>
      <c r="AJ153" s="24" t="str">
        <f aca="false">IF(AD153="","",IFERROR((AD153-K153)*IF(F153="Sell",-1,1)/IF(ISNUMBER(SEARCH("JPY",E153)),0.01,IF(ISNUMBER(SEARCH("XAU",E153)),0.01,IF(OR(ISNUMBER(SEARCH("30",E153)),ISNUMBER(SEARCH("500",E153)),ISNUMBER(SEARCH("100",E153))),1,0.0001))),0))</f>
        <v/>
      </c>
      <c r="AK153" s="12"/>
      <c r="AL153" s="12"/>
      <c r="AM153" s="12"/>
      <c r="AN153" s="12"/>
      <c r="AO153" s="27" t="str">
        <f aca="false">IF(AE153="","",IFERROR(IF(AO152="",SETTINGS!$B$6,AO152),SETTINGS!$B$6)+IF(AE153="",0,AE153))</f>
        <v/>
      </c>
      <c r="AP153" s="2"/>
    </row>
    <row r="154" customFormat="false" ht="15" hidden="false" customHeight="false" outlineLevel="0" collapsed="false">
      <c r="A154" s="24" t="str">
        <f aca="false">IF(B154="","",ROW()-3)</f>
        <v/>
      </c>
      <c r="B154" s="25"/>
      <c r="C154" s="10"/>
      <c r="D154" s="25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26"/>
      <c r="P154" s="24" t="str">
        <f aca="false">IF(K154="","",IFERROR(ABS(K154-L154)/IF(ISNUMBER(SEARCH("JPY",E154)),0.01,IF(ISNUMBER(SEARCH("XAU",E154)),0.01,IF(OR(ISNUMBER(SEARCH("30",E154)),ISNUMBER(SEARCH("500",E154)),ISNUMBER(SEARCH("100",E154))),1,0.0001))),0))</f>
        <v/>
      </c>
      <c r="Q154" s="27" t="str">
        <f aca="false">IF(K154="","",SETTINGS!$B$6*O154)</f>
        <v/>
      </c>
      <c r="R154" s="24" t="str">
        <f aca="false">IF(K154="","",IFERROR(Q154/(P154*IF(ISNUMBER(SEARCH("JPY",E154)),9.09,IF(ISNUMBER(SEARCH("XAU",E154)),1,IF(OR(ISNUMBER(SEARCH("30",E154)),ISNUMBER(SEARCH("500",E154)),ISNUMBER(SEARCH("100",E154))),1,10)))),0))</f>
        <v/>
      </c>
      <c r="S154" s="10"/>
      <c r="T154" s="28"/>
      <c r="U154" s="27" t="str">
        <f aca="false">IF(OR(S154="",T154=0),"",IFERROR((S154-K154)*IF(F154="Sell",-1,1)*R154*T154*IF(ISNUMBER(SEARCH("JPY",E154)),1000,IF(ISNUMBER(SEARCH("XAU",E154)),100,IF(OR(ISNUMBER(SEARCH("30",E154)),ISNUMBER(SEARCH("500",E154)),ISNUMBER(SEARCH("100",E154))),100,100000))),0))</f>
        <v/>
      </c>
      <c r="V154" s="10"/>
      <c r="W154" s="28"/>
      <c r="X154" s="27" t="str">
        <f aca="false">IF(OR(V154="",W154=0),"",IFERROR((V154-K154)*IF(F154="Sell",-1,1)*R154*W154*IF(ISNUMBER(SEARCH("JPY",E154)),1000,IF(ISNUMBER(SEARCH("XAU",E154)),100,IF(OR(ISNUMBER(SEARCH("30",E154)),ISNUMBER(SEARCH("500",E154)),ISNUMBER(SEARCH("100",E154))),100,100000))),0))</f>
        <v/>
      </c>
      <c r="Y154" s="10"/>
      <c r="Z154" s="28"/>
      <c r="AA154" s="27" t="str">
        <f aca="false">IF(OR(Y154="",Z154=0),"",IFERROR((Y154-K154)*IF(F154="Sell",-1,1)*R154*Z154*IF(ISNUMBER(SEARCH("JPY",E154)),1000,IF(ISNUMBER(SEARCH("XAU",E154)),100,IF(OR(ISNUMBER(SEARCH("30",E154)),ISNUMBER(SEARCH("500",E154)),ISNUMBER(SEARCH("100",E154))),100,100000))),0))</f>
        <v/>
      </c>
      <c r="AB154" s="10"/>
      <c r="AC154" s="29" t="str">
        <f aca="false">IF(K154="","",1-IFERROR(T154,0)-IFERROR(W154,0)-IFERROR(Z154,0))</f>
        <v/>
      </c>
      <c r="AD154" s="30" t="str">
        <f aca="false">IF(AB154="","",IFERROR((IFERROR(S154*T154,0)+IFERROR(V154*W154,0)+IFERROR(Y154*Z154,0)+AB154*AC154)/(IFERROR(T154,0)+IFERROR(W154,0)+IFERROR(Z154,0)+AC154),AB154))</f>
        <v/>
      </c>
      <c r="AE154" s="27" t="str">
        <f aca="false">IF(AB154="","",IF(U154="",0,U154)+IF(X154="",0,X154)+IF(AA154="",0,AA154)+IFERROR((AB154-K154)*IF(F154="Sell",-1,1)*R154*AC154*IF(ISNUMBER(SEARCH("JPY",E154)),1000,IF(ISNUMBER(SEARCH("XAU",E154)),100,IF(OR(ISNUMBER(SEARCH("30",E154)),ISNUMBER(SEARCH("500",E154)),ISNUMBER(SEARCH("100",E154))),100,100000))),0))</f>
        <v/>
      </c>
      <c r="AF154" s="31" t="str">
        <f aca="false">IF(OR(K154="",M154="",L154=""),"",IFERROR(ABS(M154-K154)/ABS(K154-L154),0))</f>
        <v/>
      </c>
      <c r="AG154" s="31" t="str">
        <f aca="false">IF(OR(AE154="",AE154=0,Q154=0,Q154=""),"",IFERROR(AE154/Q154,0))</f>
        <v/>
      </c>
      <c r="AH154" s="32" t="str">
        <f aca="false">IF(AB154="","Open",IF(AG154="","Open",IF(AG154&gt;0.1,"Win",IF(AG154&lt;-0.1,"Loss","Breakeven"))))</f>
        <v>Open</v>
      </c>
      <c r="AI154" s="33" t="str">
        <f aca="false">IF(OR(B154="",D154=""),"",D154-B154)</f>
        <v/>
      </c>
      <c r="AJ154" s="24" t="str">
        <f aca="false">IF(AD154="","",IFERROR((AD154-K154)*IF(F154="Sell",-1,1)/IF(ISNUMBER(SEARCH("JPY",E154)),0.01,IF(ISNUMBER(SEARCH("XAU",E154)),0.01,IF(OR(ISNUMBER(SEARCH("30",E154)),ISNUMBER(SEARCH("500",E154)),ISNUMBER(SEARCH("100",E154))),1,0.0001))),0))</f>
        <v/>
      </c>
      <c r="AK154" s="10"/>
      <c r="AL154" s="10"/>
      <c r="AM154" s="10"/>
      <c r="AN154" s="10"/>
      <c r="AO154" s="27" t="str">
        <f aca="false">IF(AE154="","",IFERROR(IF(AO153="",SETTINGS!$B$6,AO153),SETTINGS!$B$6)+IF(AE154="",0,AE154))</f>
        <v/>
      </c>
      <c r="AP154" s="2"/>
    </row>
    <row r="155" customFormat="false" ht="15" hidden="false" customHeight="false" outlineLevel="0" collapsed="false">
      <c r="A155" s="24" t="str">
        <f aca="false">IF(B155="","",ROW()-3)</f>
        <v/>
      </c>
      <c r="B155" s="34"/>
      <c r="C155" s="12"/>
      <c r="D155" s="34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35"/>
      <c r="P155" s="24" t="str">
        <f aca="false">IF(K155="","",IFERROR(ABS(K155-L155)/IF(ISNUMBER(SEARCH("JPY",E155)),0.01,IF(ISNUMBER(SEARCH("XAU",E155)),0.01,IF(OR(ISNUMBER(SEARCH("30",E155)),ISNUMBER(SEARCH("500",E155)),ISNUMBER(SEARCH("100",E155))),1,0.0001))),0))</f>
        <v/>
      </c>
      <c r="Q155" s="27" t="str">
        <f aca="false">IF(K155="","",SETTINGS!$B$6*O155)</f>
        <v/>
      </c>
      <c r="R155" s="24" t="str">
        <f aca="false">IF(K155="","",IFERROR(Q155/(P155*IF(ISNUMBER(SEARCH("JPY",E155)),9.09,IF(ISNUMBER(SEARCH("XAU",E155)),1,IF(OR(ISNUMBER(SEARCH("30",E155)),ISNUMBER(SEARCH("500",E155)),ISNUMBER(SEARCH("100",E155))),1,10)))),0))</f>
        <v/>
      </c>
      <c r="S155" s="12"/>
      <c r="T155" s="36"/>
      <c r="U155" s="27" t="str">
        <f aca="false">IF(OR(S155="",T155=0),"",IFERROR((S155-K155)*IF(F155="Sell",-1,1)*R155*T155*IF(ISNUMBER(SEARCH("JPY",E155)),1000,IF(ISNUMBER(SEARCH("XAU",E155)),100,IF(OR(ISNUMBER(SEARCH("30",E155)),ISNUMBER(SEARCH("500",E155)),ISNUMBER(SEARCH("100",E155))),100,100000))),0))</f>
        <v/>
      </c>
      <c r="V155" s="12"/>
      <c r="W155" s="36"/>
      <c r="X155" s="27" t="str">
        <f aca="false">IF(OR(V155="",W155=0),"",IFERROR((V155-K155)*IF(F155="Sell",-1,1)*R155*W155*IF(ISNUMBER(SEARCH("JPY",E155)),1000,IF(ISNUMBER(SEARCH("XAU",E155)),100,IF(OR(ISNUMBER(SEARCH("30",E155)),ISNUMBER(SEARCH("500",E155)),ISNUMBER(SEARCH("100",E155))),100,100000))),0))</f>
        <v/>
      </c>
      <c r="Y155" s="12"/>
      <c r="Z155" s="36"/>
      <c r="AA155" s="27" t="str">
        <f aca="false">IF(OR(Y155="",Z155=0),"",IFERROR((Y155-K155)*IF(F155="Sell",-1,1)*R155*Z155*IF(ISNUMBER(SEARCH("JPY",E155)),1000,IF(ISNUMBER(SEARCH("XAU",E155)),100,IF(OR(ISNUMBER(SEARCH("30",E155)),ISNUMBER(SEARCH("500",E155)),ISNUMBER(SEARCH("100",E155))),100,100000))),0))</f>
        <v/>
      </c>
      <c r="AB155" s="12"/>
      <c r="AC155" s="29" t="str">
        <f aca="false">IF(K155="","",1-IFERROR(T155,0)-IFERROR(W155,0)-IFERROR(Z155,0))</f>
        <v/>
      </c>
      <c r="AD155" s="30" t="str">
        <f aca="false">IF(AB155="","",IFERROR((IFERROR(S155*T155,0)+IFERROR(V155*W155,0)+IFERROR(Y155*Z155,0)+AB155*AC155)/(IFERROR(T155,0)+IFERROR(W155,0)+IFERROR(Z155,0)+AC155),AB155))</f>
        <v/>
      </c>
      <c r="AE155" s="27" t="str">
        <f aca="false">IF(AB155="","",IF(U155="",0,U155)+IF(X155="",0,X155)+IF(AA155="",0,AA155)+IFERROR((AB155-K155)*IF(F155="Sell",-1,1)*R155*AC155*IF(ISNUMBER(SEARCH("JPY",E155)),1000,IF(ISNUMBER(SEARCH("XAU",E155)),100,IF(OR(ISNUMBER(SEARCH("30",E155)),ISNUMBER(SEARCH("500",E155)),ISNUMBER(SEARCH("100",E155))),100,100000))),0))</f>
        <v/>
      </c>
      <c r="AF155" s="31" t="str">
        <f aca="false">IF(OR(K155="",M155="",L155=""),"",IFERROR(ABS(M155-K155)/ABS(K155-L155),0))</f>
        <v/>
      </c>
      <c r="AG155" s="31" t="str">
        <f aca="false">IF(OR(AE155="",AE155=0,Q155=0,Q155=""),"",IFERROR(AE155/Q155,0))</f>
        <v/>
      </c>
      <c r="AH155" s="32" t="str">
        <f aca="false">IF(AB155="","Open",IF(AG155="","Open",IF(AG155&gt;0.1,"Win",IF(AG155&lt;-0.1,"Loss","Breakeven"))))</f>
        <v>Open</v>
      </c>
      <c r="AI155" s="33" t="str">
        <f aca="false">IF(OR(B155="",D155=""),"",D155-B155)</f>
        <v/>
      </c>
      <c r="AJ155" s="24" t="str">
        <f aca="false">IF(AD155="","",IFERROR((AD155-K155)*IF(F155="Sell",-1,1)/IF(ISNUMBER(SEARCH("JPY",E155)),0.01,IF(ISNUMBER(SEARCH("XAU",E155)),0.01,IF(OR(ISNUMBER(SEARCH("30",E155)),ISNUMBER(SEARCH("500",E155)),ISNUMBER(SEARCH("100",E155))),1,0.0001))),0))</f>
        <v/>
      </c>
      <c r="AK155" s="12"/>
      <c r="AL155" s="12"/>
      <c r="AM155" s="12"/>
      <c r="AN155" s="12"/>
      <c r="AO155" s="27" t="str">
        <f aca="false">IF(AE155="","",IFERROR(IF(AO154="",SETTINGS!$B$6,AO154),SETTINGS!$B$6)+IF(AE155="",0,AE155))</f>
        <v/>
      </c>
      <c r="AP155" s="2"/>
    </row>
    <row r="156" customFormat="false" ht="15" hidden="false" customHeight="false" outlineLevel="0" collapsed="false">
      <c r="A156" s="24" t="str">
        <f aca="false">IF(B156="","",ROW()-3)</f>
        <v/>
      </c>
      <c r="B156" s="25"/>
      <c r="C156" s="10"/>
      <c r="D156" s="25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6"/>
      <c r="P156" s="24" t="str">
        <f aca="false">IF(K156="","",IFERROR(ABS(K156-L156)/IF(ISNUMBER(SEARCH("JPY",E156)),0.01,IF(ISNUMBER(SEARCH("XAU",E156)),0.01,IF(OR(ISNUMBER(SEARCH("30",E156)),ISNUMBER(SEARCH("500",E156)),ISNUMBER(SEARCH("100",E156))),1,0.0001))),0))</f>
        <v/>
      </c>
      <c r="Q156" s="27" t="str">
        <f aca="false">IF(K156="","",SETTINGS!$B$6*O156)</f>
        <v/>
      </c>
      <c r="R156" s="24" t="str">
        <f aca="false">IF(K156="","",IFERROR(Q156/(P156*IF(ISNUMBER(SEARCH("JPY",E156)),9.09,IF(ISNUMBER(SEARCH("XAU",E156)),1,IF(OR(ISNUMBER(SEARCH("30",E156)),ISNUMBER(SEARCH("500",E156)),ISNUMBER(SEARCH("100",E156))),1,10)))),0))</f>
        <v/>
      </c>
      <c r="S156" s="10"/>
      <c r="T156" s="28"/>
      <c r="U156" s="27" t="str">
        <f aca="false">IF(OR(S156="",T156=0),"",IFERROR((S156-K156)*IF(F156="Sell",-1,1)*R156*T156*IF(ISNUMBER(SEARCH("JPY",E156)),1000,IF(ISNUMBER(SEARCH("XAU",E156)),100,IF(OR(ISNUMBER(SEARCH("30",E156)),ISNUMBER(SEARCH("500",E156)),ISNUMBER(SEARCH("100",E156))),100,100000))),0))</f>
        <v/>
      </c>
      <c r="V156" s="10"/>
      <c r="W156" s="28"/>
      <c r="X156" s="27" t="str">
        <f aca="false">IF(OR(V156="",W156=0),"",IFERROR((V156-K156)*IF(F156="Sell",-1,1)*R156*W156*IF(ISNUMBER(SEARCH("JPY",E156)),1000,IF(ISNUMBER(SEARCH("XAU",E156)),100,IF(OR(ISNUMBER(SEARCH("30",E156)),ISNUMBER(SEARCH("500",E156)),ISNUMBER(SEARCH("100",E156))),100,100000))),0))</f>
        <v/>
      </c>
      <c r="Y156" s="10"/>
      <c r="Z156" s="28"/>
      <c r="AA156" s="27" t="str">
        <f aca="false">IF(OR(Y156="",Z156=0),"",IFERROR((Y156-K156)*IF(F156="Sell",-1,1)*R156*Z156*IF(ISNUMBER(SEARCH("JPY",E156)),1000,IF(ISNUMBER(SEARCH("XAU",E156)),100,IF(OR(ISNUMBER(SEARCH("30",E156)),ISNUMBER(SEARCH("500",E156)),ISNUMBER(SEARCH("100",E156))),100,100000))),0))</f>
        <v/>
      </c>
      <c r="AB156" s="10"/>
      <c r="AC156" s="29" t="str">
        <f aca="false">IF(K156="","",1-IFERROR(T156,0)-IFERROR(W156,0)-IFERROR(Z156,0))</f>
        <v/>
      </c>
      <c r="AD156" s="30" t="str">
        <f aca="false">IF(AB156="","",IFERROR((IFERROR(S156*T156,0)+IFERROR(V156*W156,0)+IFERROR(Y156*Z156,0)+AB156*AC156)/(IFERROR(T156,0)+IFERROR(W156,0)+IFERROR(Z156,0)+AC156),AB156))</f>
        <v/>
      </c>
      <c r="AE156" s="27" t="str">
        <f aca="false">IF(AB156="","",IF(U156="",0,U156)+IF(X156="",0,X156)+IF(AA156="",0,AA156)+IFERROR((AB156-K156)*IF(F156="Sell",-1,1)*R156*AC156*IF(ISNUMBER(SEARCH("JPY",E156)),1000,IF(ISNUMBER(SEARCH("XAU",E156)),100,IF(OR(ISNUMBER(SEARCH("30",E156)),ISNUMBER(SEARCH("500",E156)),ISNUMBER(SEARCH("100",E156))),100,100000))),0))</f>
        <v/>
      </c>
      <c r="AF156" s="31" t="str">
        <f aca="false">IF(OR(K156="",M156="",L156=""),"",IFERROR(ABS(M156-K156)/ABS(K156-L156),0))</f>
        <v/>
      </c>
      <c r="AG156" s="31" t="str">
        <f aca="false">IF(OR(AE156="",AE156=0,Q156=0,Q156=""),"",IFERROR(AE156/Q156,0))</f>
        <v/>
      </c>
      <c r="AH156" s="32" t="str">
        <f aca="false">IF(AB156="","Open",IF(AG156="","Open",IF(AG156&gt;0.1,"Win",IF(AG156&lt;-0.1,"Loss","Breakeven"))))</f>
        <v>Open</v>
      </c>
      <c r="AI156" s="33" t="str">
        <f aca="false">IF(OR(B156="",D156=""),"",D156-B156)</f>
        <v/>
      </c>
      <c r="AJ156" s="24" t="str">
        <f aca="false">IF(AD156="","",IFERROR((AD156-K156)*IF(F156="Sell",-1,1)/IF(ISNUMBER(SEARCH("JPY",E156)),0.01,IF(ISNUMBER(SEARCH("XAU",E156)),0.01,IF(OR(ISNUMBER(SEARCH("30",E156)),ISNUMBER(SEARCH("500",E156)),ISNUMBER(SEARCH("100",E156))),1,0.0001))),0))</f>
        <v/>
      </c>
      <c r="AK156" s="10"/>
      <c r="AL156" s="10"/>
      <c r="AM156" s="10"/>
      <c r="AN156" s="10"/>
      <c r="AO156" s="27" t="str">
        <f aca="false">IF(AE156="","",IFERROR(IF(AO155="",SETTINGS!$B$6,AO155),SETTINGS!$B$6)+IF(AE156="",0,AE156))</f>
        <v/>
      </c>
      <c r="AP156" s="2"/>
    </row>
    <row r="157" customFormat="false" ht="15" hidden="false" customHeight="false" outlineLevel="0" collapsed="false">
      <c r="A157" s="24" t="str">
        <f aca="false">IF(B157="","",ROW()-3)</f>
        <v/>
      </c>
      <c r="B157" s="34"/>
      <c r="C157" s="12"/>
      <c r="D157" s="34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35"/>
      <c r="P157" s="24" t="str">
        <f aca="false">IF(K157="","",IFERROR(ABS(K157-L157)/IF(ISNUMBER(SEARCH("JPY",E157)),0.01,IF(ISNUMBER(SEARCH("XAU",E157)),0.01,IF(OR(ISNUMBER(SEARCH("30",E157)),ISNUMBER(SEARCH("500",E157)),ISNUMBER(SEARCH("100",E157))),1,0.0001))),0))</f>
        <v/>
      </c>
      <c r="Q157" s="27" t="str">
        <f aca="false">IF(K157="","",SETTINGS!$B$6*O157)</f>
        <v/>
      </c>
      <c r="R157" s="24" t="str">
        <f aca="false">IF(K157="","",IFERROR(Q157/(P157*IF(ISNUMBER(SEARCH("JPY",E157)),9.09,IF(ISNUMBER(SEARCH("XAU",E157)),1,IF(OR(ISNUMBER(SEARCH("30",E157)),ISNUMBER(SEARCH("500",E157)),ISNUMBER(SEARCH("100",E157))),1,10)))),0))</f>
        <v/>
      </c>
      <c r="S157" s="12"/>
      <c r="T157" s="36"/>
      <c r="U157" s="27" t="str">
        <f aca="false">IF(OR(S157="",T157=0),"",IFERROR((S157-K157)*IF(F157="Sell",-1,1)*R157*T157*IF(ISNUMBER(SEARCH("JPY",E157)),1000,IF(ISNUMBER(SEARCH("XAU",E157)),100,IF(OR(ISNUMBER(SEARCH("30",E157)),ISNUMBER(SEARCH("500",E157)),ISNUMBER(SEARCH("100",E157))),100,100000))),0))</f>
        <v/>
      </c>
      <c r="V157" s="12"/>
      <c r="W157" s="36"/>
      <c r="X157" s="27" t="str">
        <f aca="false">IF(OR(V157="",W157=0),"",IFERROR((V157-K157)*IF(F157="Sell",-1,1)*R157*W157*IF(ISNUMBER(SEARCH("JPY",E157)),1000,IF(ISNUMBER(SEARCH("XAU",E157)),100,IF(OR(ISNUMBER(SEARCH("30",E157)),ISNUMBER(SEARCH("500",E157)),ISNUMBER(SEARCH("100",E157))),100,100000))),0))</f>
        <v/>
      </c>
      <c r="Y157" s="12"/>
      <c r="Z157" s="36"/>
      <c r="AA157" s="27" t="str">
        <f aca="false">IF(OR(Y157="",Z157=0),"",IFERROR((Y157-K157)*IF(F157="Sell",-1,1)*R157*Z157*IF(ISNUMBER(SEARCH("JPY",E157)),1000,IF(ISNUMBER(SEARCH("XAU",E157)),100,IF(OR(ISNUMBER(SEARCH("30",E157)),ISNUMBER(SEARCH("500",E157)),ISNUMBER(SEARCH("100",E157))),100,100000))),0))</f>
        <v/>
      </c>
      <c r="AB157" s="12"/>
      <c r="AC157" s="29" t="str">
        <f aca="false">IF(K157="","",1-IFERROR(T157,0)-IFERROR(W157,0)-IFERROR(Z157,0))</f>
        <v/>
      </c>
      <c r="AD157" s="30" t="str">
        <f aca="false">IF(AB157="","",IFERROR((IFERROR(S157*T157,0)+IFERROR(V157*W157,0)+IFERROR(Y157*Z157,0)+AB157*AC157)/(IFERROR(T157,0)+IFERROR(W157,0)+IFERROR(Z157,0)+AC157),AB157))</f>
        <v/>
      </c>
      <c r="AE157" s="27" t="str">
        <f aca="false">IF(AB157="","",IF(U157="",0,U157)+IF(X157="",0,X157)+IF(AA157="",0,AA157)+IFERROR((AB157-K157)*IF(F157="Sell",-1,1)*R157*AC157*IF(ISNUMBER(SEARCH("JPY",E157)),1000,IF(ISNUMBER(SEARCH("XAU",E157)),100,IF(OR(ISNUMBER(SEARCH("30",E157)),ISNUMBER(SEARCH("500",E157)),ISNUMBER(SEARCH("100",E157))),100,100000))),0))</f>
        <v/>
      </c>
      <c r="AF157" s="31" t="str">
        <f aca="false">IF(OR(K157="",M157="",L157=""),"",IFERROR(ABS(M157-K157)/ABS(K157-L157),0))</f>
        <v/>
      </c>
      <c r="AG157" s="31" t="str">
        <f aca="false">IF(OR(AE157="",AE157=0,Q157=0,Q157=""),"",IFERROR(AE157/Q157,0))</f>
        <v/>
      </c>
      <c r="AH157" s="32" t="str">
        <f aca="false">IF(AB157="","Open",IF(AG157="","Open",IF(AG157&gt;0.1,"Win",IF(AG157&lt;-0.1,"Loss","Breakeven"))))</f>
        <v>Open</v>
      </c>
      <c r="AI157" s="33" t="str">
        <f aca="false">IF(OR(B157="",D157=""),"",D157-B157)</f>
        <v/>
      </c>
      <c r="AJ157" s="24" t="str">
        <f aca="false">IF(AD157="","",IFERROR((AD157-K157)*IF(F157="Sell",-1,1)/IF(ISNUMBER(SEARCH("JPY",E157)),0.01,IF(ISNUMBER(SEARCH("XAU",E157)),0.01,IF(OR(ISNUMBER(SEARCH("30",E157)),ISNUMBER(SEARCH("500",E157)),ISNUMBER(SEARCH("100",E157))),1,0.0001))),0))</f>
        <v/>
      </c>
      <c r="AK157" s="12"/>
      <c r="AL157" s="12"/>
      <c r="AM157" s="12"/>
      <c r="AN157" s="12"/>
      <c r="AO157" s="27" t="str">
        <f aca="false">IF(AE157="","",IFERROR(IF(AO156="",SETTINGS!$B$6,AO156),SETTINGS!$B$6)+IF(AE157="",0,AE157))</f>
        <v/>
      </c>
      <c r="AP157" s="2"/>
    </row>
    <row r="158" customFormat="false" ht="15" hidden="false" customHeight="false" outlineLevel="0" collapsed="false">
      <c r="A158" s="24" t="str">
        <f aca="false">IF(B158="","",ROW()-3)</f>
        <v/>
      </c>
      <c r="B158" s="25"/>
      <c r="C158" s="10"/>
      <c r="D158" s="25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26"/>
      <c r="P158" s="24" t="str">
        <f aca="false">IF(K158="","",IFERROR(ABS(K158-L158)/IF(ISNUMBER(SEARCH("JPY",E158)),0.01,IF(ISNUMBER(SEARCH("XAU",E158)),0.01,IF(OR(ISNUMBER(SEARCH("30",E158)),ISNUMBER(SEARCH("500",E158)),ISNUMBER(SEARCH("100",E158))),1,0.0001))),0))</f>
        <v/>
      </c>
      <c r="Q158" s="27" t="str">
        <f aca="false">IF(K158="","",SETTINGS!$B$6*O158)</f>
        <v/>
      </c>
      <c r="R158" s="24" t="str">
        <f aca="false">IF(K158="","",IFERROR(Q158/(P158*IF(ISNUMBER(SEARCH("JPY",E158)),9.09,IF(ISNUMBER(SEARCH("XAU",E158)),1,IF(OR(ISNUMBER(SEARCH("30",E158)),ISNUMBER(SEARCH("500",E158)),ISNUMBER(SEARCH("100",E158))),1,10)))),0))</f>
        <v/>
      </c>
      <c r="S158" s="10"/>
      <c r="T158" s="28"/>
      <c r="U158" s="27" t="str">
        <f aca="false">IF(OR(S158="",T158=0),"",IFERROR((S158-K158)*IF(F158="Sell",-1,1)*R158*T158*IF(ISNUMBER(SEARCH("JPY",E158)),1000,IF(ISNUMBER(SEARCH("XAU",E158)),100,IF(OR(ISNUMBER(SEARCH("30",E158)),ISNUMBER(SEARCH("500",E158)),ISNUMBER(SEARCH("100",E158))),100,100000))),0))</f>
        <v/>
      </c>
      <c r="V158" s="10"/>
      <c r="W158" s="28"/>
      <c r="X158" s="27" t="str">
        <f aca="false">IF(OR(V158="",W158=0),"",IFERROR((V158-K158)*IF(F158="Sell",-1,1)*R158*W158*IF(ISNUMBER(SEARCH("JPY",E158)),1000,IF(ISNUMBER(SEARCH("XAU",E158)),100,IF(OR(ISNUMBER(SEARCH("30",E158)),ISNUMBER(SEARCH("500",E158)),ISNUMBER(SEARCH("100",E158))),100,100000))),0))</f>
        <v/>
      </c>
      <c r="Y158" s="10"/>
      <c r="Z158" s="28"/>
      <c r="AA158" s="27" t="str">
        <f aca="false">IF(OR(Y158="",Z158=0),"",IFERROR((Y158-K158)*IF(F158="Sell",-1,1)*R158*Z158*IF(ISNUMBER(SEARCH("JPY",E158)),1000,IF(ISNUMBER(SEARCH("XAU",E158)),100,IF(OR(ISNUMBER(SEARCH("30",E158)),ISNUMBER(SEARCH("500",E158)),ISNUMBER(SEARCH("100",E158))),100,100000))),0))</f>
        <v/>
      </c>
      <c r="AB158" s="10"/>
      <c r="AC158" s="29" t="str">
        <f aca="false">IF(K158="","",1-IFERROR(T158,0)-IFERROR(W158,0)-IFERROR(Z158,0))</f>
        <v/>
      </c>
      <c r="AD158" s="30" t="str">
        <f aca="false">IF(AB158="","",IFERROR((IFERROR(S158*T158,0)+IFERROR(V158*W158,0)+IFERROR(Y158*Z158,0)+AB158*AC158)/(IFERROR(T158,0)+IFERROR(W158,0)+IFERROR(Z158,0)+AC158),AB158))</f>
        <v/>
      </c>
      <c r="AE158" s="27" t="str">
        <f aca="false">IF(AB158="","",IF(U158="",0,U158)+IF(X158="",0,X158)+IF(AA158="",0,AA158)+IFERROR((AB158-K158)*IF(F158="Sell",-1,1)*R158*AC158*IF(ISNUMBER(SEARCH("JPY",E158)),1000,IF(ISNUMBER(SEARCH("XAU",E158)),100,IF(OR(ISNUMBER(SEARCH("30",E158)),ISNUMBER(SEARCH("500",E158)),ISNUMBER(SEARCH("100",E158))),100,100000))),0))</f>
        <v/>
      </c>
      <c r="AF158" s="31" t="str">
        <f aca="false">IF(OR(K158="",M158="",L158=""),"",IFERROR(ABS(M158-K158)/ABS(K158-L158),0))</f>
        <v/>
      </c>
      <c r="AG158" s="31" t="str">
        <f aca="false">IF(OR(AE158="",AE158=0,Q158=0,Q158=""),"",IFERROR(AE158/Q158,0))</f>
        <v/>
      </c>
      <c r="AH158" s="32" t="str">
        <f aca="false">IF(AB158="","Open",IF(AG158="","Open",IF(AG158&gt;0.1,"Win",IF(AG158&lt;-0.1,"Loss","Breakeven"))))</f>
        <v>Open</v>
      </c>
      <c r="AI158" s="33" t="str">
        <f aca="false">IF(OR(B158="",D158=""),"",D158-B158)</f>
        <v/>
      </c>
      <c r="AJ158" s="24" t="str">
        <f aca="false">IF(AD158="","",IFERROR((AD158-K158)*IF(F158="Sell",-1,1)/IF(ISNUMBER(SEARCH("JPY",E158)),0.01,IF(ISNUMBER(SEARCH("XAU",E158)),0.01,IF(OR(ISNUMBER(SEARCH("30",E158)),ISNUMBER(SEARCH("500",E158)),ISNUMBER(SEARCH("100",E158))),1,0.0001))),0))</f>
        <v/>
      </c>
      <c r="AK158" s="10"/>
      <c r="AL158" s="10"/>
      <c r="AM158" s="10"/>
      <c r="AN158" s="10"/>
      <c r="AO158" s="27" t="str">
        <f aca="false">IF(AE158="","",IFERROR(IF(AO157="",SETTINGS!$B$6,AO157),SETTINGS!$B$6)+IF(AE158="",0,AE158))</f>
        <v/>
      </c>
      <c r="AP158" s="2"/>
    </row>
    <row r="159" customFormat="false" ht="15" hidden="false" customHeight="false" outlineLevel="0" collapsed="false">
      <c r="A159" s="24" t="str">
        <f aca="false">IF(B159="","",ROW()-3)</f>
        <v/>
      </c>
      <c r="B159" s="34"/>
      <c r="C159" s="12"/>
      <c r="D159" s="34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35"/>
      <c r="P159" s="24" t="str">
        <f aca="false">IF(K159="","",IFERROR(ABS(K159-L159)/IF(ISNUMBER(SEARCH("JPY",E159)),0.01,IF(ISNUMBER(SEARCH("XAU",E159)),0.01,IF(OR(ISNUMBER(SEARCH("30",E159)),ISNUMBER(SEARCH("500",E159)),ISNUMBER(SEARCH("100",E159))),1,0.0001))),0))</f>
        <v/>
      </c>
      <c r="Q159" s="27" t="str">
        <f aca="false">IF(K159="","",SETTINGS!$B$6*O159)</f>
        <v/>
      </c>
      <c r="R159" s="24" t="str">
        <f aca="false">IF(K159="","",IFERROR(Q159/(P159*IF(ISNUMBER(SEARCH("JPY",E159)),9.09,IF(ISNUMBER(SEARCH("XAU",E159)),1,IF(OR(ISNUMBER(SEARCH("30",E159)),ISNUMBER(SEARCH("500",E159)),ISNUMBER(SEARCH("100",E159))),1,10)))),0))</f>
        <v/>
      </c>
      <c r="S159" s="12"/>
      <c r="T159" s="36"/>
      <c r="U159" s="27" t="str">
        <f aca="false">IF(OR(S159="",T159=0),"",IFERROR((S159-K159)*IF(F159="Sell",-1,1)*R159*T159*IF(ISNUMBER(SEARCH("JPY",E159)),1000,IF(ISNUMBER(SEARCH("XAU",E159)),100,IF(OR(ISNUMBER(SEARCH("30",E159)),ISNUMBER(SEARCH("500",E159)),ISNUMBER(SEARCH("100",E159))),100,100000))),0))</f>
        <v/>
      </c>
      <c r="V159" s="12"/>
      <c r="W159" s="36"/>
      <c r="X159" s="27" t="str">
        <f aca="false">IF(OR(V159="",W159=0),"",IFERROR((V159-K159)*IF(F159="Sell",-1,1)*R159*W159*IF(ISNUMBER(SEARCH("JPY",E159)),1000,IF(ISNUMBER(SEARCH("XAU",E159)),100,IF(OR(ISNUMBER(SEARCH("30",E159)),ISNUMBER(SEARCH("500",E159)),ISNUMBER(SEARCH("100",E159))),100,100000))),0))</f>
        <v/>
      </c>
      <c r="Y159" s="12"/>
      <c r="Z159" s="36"/>
      <c r="AA159" s="27" t="str">
        <f aca="false">IF(OR(Y159="",Z159=0),"",IFERROR((Y159-K159)*IF(F159="Sell",-1,1)*R159*Z159*IF(ISNUMBER(SEARCH("JPY",E159)),1000,IF(ISNUMBER(SEARCH("XAU",E159)),100,IF(OR(ISNUMBER(SEARCH("30",E159)),ISNUMBER(SEARCH("500",E159)),ISNUMBER(SEARCH("100",E159))),100,100000))),0))</f>
        <v/>
      </c>
      <c r="AB159" s="12"/>
      <c r="AC159" s="29" t="str">
        <f aca="false">IF(K159="","",1-IFERROR(T159,0)-IFERROR(W159,0)-IFERROR(Z159,0))</f>
        <v/>
      </c>
      <c r="AD159" s="30" t="str">
        <f aca="false">IF(AB159="","",IFERROR((IFERROR(S159*T159,0)+IFERROR(V159*W159,0)+IFERROR(Y159*Z159,0)+AB159*AC159)/(IFERROR(T159,0)+IFERROR(W159,0)+IFERROR(Z159,0)+AC159),AB159))</f>
        <v/>
      </c>
      <c r="AE159" s="27" t="str">
        <f aca="false">IF(AB159="","",IF(U159="",0,U159)+IF(X159="",0,X159)+IF(AA159="",0,AA159)+IFERROR((AB159-K159)*IF(F159="Sell",-1,1)*R159*AC159*IF(ISNUMBER(SEARCH("JPY",E159)),1000,IF(ISNUMBER(SEARCH("XAU",E159)),100,IF(OR(ISNUMBER(SEARCH("30",E159)),ISNUMBER(SEARCH("500",E159)),ISNUMBER(SEARCH("100",E159))),100,100000))),0))</f>
        <v/>
      </c>
      <c r="AF159" s="31" t="str">
        <f aca="false">IF(OR(K159="",M159="",L159=""),"",IFERROR(ABS(M159-K159)/ABS(K159-L159),0))</f>
        <v/>
      </c>
      <c r="AG159" s="31" t="str">
        <f aca="false">IF(OR(AE159="",AE159=0,Q159=0,Q159=""),"",IFERROR(AE159/Q159,0))</f>
        <v/>
      </c>
      <c r="AH159" s="32" t="str">
        <f aca="false">IF(AB159="","Open",IF(AG159="","Open",IF(AG159&gt;0.1,"Win",IF(AG159&lt;-0.1,"Loss","Breakeven"))))</f>
        <v>Open</v>
      </c>
      <c r="AI159" s="33" t="str">
        <f aca="false">IF(OR(B159="",D159=""),"",D159-B159)</f>
        <v/>
      </c>
      <c r="AJ159" s="24" t="str">
        <f aca="false">IF(AD159="","",IFERROR((AD159-K159)*IF(F159="Sell",-1,1)/IF(ISNUMBER(SEARCH("JPY",E159)),0.01,IF(ISNUMBER(SEARCH("XAU",E159)),0.01,IF(OR(ISNUMBER(SEARCH("30",E159)),ISNUMBER(SEARCH("500",E159)),ISNUMBER(SEARCH("100",E159))),1,0.0001))),0))</f>
        <v/>
      </c>
      <c r="AK159" s="12"/>
      <c r="AL159" s="12"/>
      <c r="AM159" s="12"/>
      <c r="AN159" s="12"/>
      <c r="AO159" s="27" t="str">
        <f aca="false">IF(AE159="","",IFERROR(IF(AO158="",SETTINGS!$B$6,AO158),SETTINGS!$B$6)+IF(AE159="",0,AE159))</f>
        <v/>
      </c>
      <c r="AP159" s="2"/>
    </row>
    <row r="160" customFormat="false" ht="15" hidden="false" customHeight="false" outlineLevel="0" collapsed="false">
      <c r="A160" s="24" t="str">
        <f aca="false">IF(B160="","",ROW()-3)</f>
        <v/>
      </c>
      <c r="B160" s="25"/>
      <c r="C160" s="10"/>
      <c r="D160" s="25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6"/>
      <c r="P160" s="24" t="str">
        <f aca="false">IF(K160="","",IFERROR(ABS(K160-L160)/IF(ISNUMBER(SEARCH("JPY",E160)),0.01,IF(ISNUMBER(SEARCH("XAU",E160)),0.01,IF(OR(ISNUMBER(SEARCH("30",E160)),ISNUMBER(SEARCH("500",E160)),ISNUMBER(SEARCH("100",E160))),1,0.0001))),0))</f>
        <v/>
      </c>
      <c r="Q160" s="27" t="str">
        <f aca="false">IF(K160="","",SETTINGS!$B$6*O160)</f>
        <v/>
      </c>
      <c r="R160" s="24" t="str">
        <f aca="false">IF(K160="","",IFERROR(Q160/(P160*IF(ISNUMBER(SEARCH("JPY",E160)),9.09,IF(ISNUMBER(SEARCH("XAU",E160)),1,IF(OR(ISNUMBER(SEARCH("30",E160)),ISNUMBER(SEARCH("500",E160)),ISNUMBER(SEARCH("100",E160))),1,10)))),0))</f>
        <v/>
      </c>
      <c r="S160" s="10"/>
      <c r="T160" s="28"/>
      <c r="U160" s="27" t="str">
        <f aca="false">IF(OR(S160="",T160=0),"",IFERROR((S160-K160)*IF(F160="Sell",-1,1)*R160*T160*IF(ISNUMBER(SEARCH("JPY",E160)),1000,IF(ISNUMBER(SEARCH("XAU",E160)),100,IF(OR(ISNUMBER(SEARCH("30",E160)),ISNUMBER(SEARCH("500",E160)),ISNUMBER(SEARCH("100",E160))),100,100000))),0))</f>
        <v/>
      </c>
      <c r="V160" s="10"/>
      <c r="W160" s="28"/>
      <c r="X160" s="27" t="str">
        <f aca="false">IF(OR(V160="",W160=0),"",IFERROR((V160-K160)*IF(F160="Sell",-1,1)*R160*W160*IF(ISNUMBER(SEARCH("JPY",E160)),1000,IF(ISNUMBER(SEARCH("XAU",E160)),100,IF(OR(ISNUMBER(SEARCH("30",E160)),ISNUMBER(SEARCH("500",E160)),ISNUMBER(SEARCH("100",E160))),100,100000))),0))</f>
        <v/>
      </c>
      <c r="Y160" s="10"/>
      <c r="Z160" s="28"/>
      <c r="AA160" s="27" t="str">
        <f aca="false">IF(OR(Y160="",Z160=0),"",IFERROR((Y160-K160)*IF(F160="Sell",-1,1)*R160*Z160*IF(ISNUMBER(SEARCH("JPY",E160)),1000,IF(ISNUMBER(SEARCH("XAU",E160)),100,IF(OR(ISNUMBER(SEARCH("30",E160)),ISNUMBER(SEARCH("500",E160)),ISNUMBER(SEARCH("100",E160))),100,100000))),0))</f>
        <v/>
      </c>
      <c r="AB160" s="10"/>
      <c r="AC160" s="29" t="str">
        <f aca="false">IF(K160="","",1-IFERROR(T160,0)-IFERROR(W160,0)-IFERROR(Z160,0))</f>
        <v/>
      </c>
      <c r="AD160" s="30" t="str">
        <f aca="false">IF(AB160="","",IFERROR((IFERROR(S160*T160,0)+IFERROR(V160*W160,0)+IFERROR(Y160*Z160,0)+AB160*AC160)/(IFERROR(T160,0)+IFERROR(W160,0)+IFERROR(Z160,0)+AC160),AB160))</f>
        <v/>
      </c>
      <c r="AE160" s="27" t="str">
        <f aca="false">IF(AB160="","",IF(U160="",0,U160)+IF(X160="",0,X160)+IF(AA160="",0,AA160)+IFERROR((AB160-K160)*IF(F160="Sell",-1,1)*R160*AC160*IF(ISNUMBER(SEARCH("JPY",E160)),1000,IF(ISNUMBER(SEARCH("XAU",E160)),100,IF(OR(ISNUMBER(SEARCH("30",E160)),ISNUMBER(SEARCH("500",E160)),ISNUMBER(SEARCH("100",E160))),100,100000))),0))</f>
        <v/>
      </c>
      <c r="AF160" s="31" t="str">
        <f aca="false">IF(OR(K160="",M160="",L160=""),"",IFERROR(ABS(M160-K160)/ABS(K160-L160),0))</f>
        <v/>
      </c>
      <c r="AG160" s="31" t="str">
        <f aca="false">IF(OR(AE160="",AE160=0,Q160=0,Q160=""),"",IFERROR(AE160/Q160,0))</f>
        <v/>
      </c>
      <c r="AH160" s="32" t="str">
        <f aca="false">IF(AB160="","Open",IF(AG160="","Open",IF(AG160&gt;0.1,"Win",IF(AG160&lt;-0.1,"Loss","Breakeven"))))</f>
        <v>Open</v>
      </c>
      <c r="AI160" s="33" t="str">
        <f aca="false">IF(OR(B160="",D160=""),"",D160-B160)</f>
        <v/>
      </c>
      <c r="AJ160" s="24" t="str">
        <f aca="false">IF(AD160="","",IFERROR((AD160-K160)*IF(F160="Sell",-1,1)/IF(ISNUMBER(SEARCH("JPY",E160)),0.01,IF(ISNUMBER(SEARCH("XAU",E160)),0.01,IF(OR(ISNUMBER(SEARCH("30",E160)),ISNUMBER(SEARCH("500",E160)),ISNUMBER(SEARCH("100",E160))),1,0.0001))),0))</f>
        <v/>
      </c>
      <c r="AK160" s="10"/>
      <c r="AL160" s="10"/>
      <c r="AM160" s="10"/>
      <c r="AN160" s="10"/>
      <c r="AO160" s="27" t="str">
        <f aca="false">IF(AE160="","",IFERROR(IF(AO159="",SETTINGS!$B$6,AO159),SETTINGS!$B$6)+IF(AE160="",0,AE160))</f>
        <v/>
      </c>
      <c r="AP160" s="2"/>
    </row>
    <row r="161" customFormat="false" ht="15" hidden="false" customHeight="false" outlineLevel="0" collapsed="false">
      <c r="A161" s="24" t="str">
        <f aca="false">IF(B161="","",ROW()-3)</f>
        <v/>
      </c>
      <c r="B161" s="34"/>
      <c r="C161" s="12"/>
      <c r="D161" s="34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35"/>
      <c r="P161" s="24" t="str">
        <f aca="false">IF(K161="","",IFERROR(ABS(K161-L161)/IF(ISNUMBER(SEARCH("JPY",E161)),0.01,IF(ISNUMBER(SEARCH("XAU",E161)),0.01,IF(OR(ISNUMBER(SEARCH("30",E161)),ISNUMBER(SEARCH("500",E161)),ISNUMBER(SEARCH("100",E161))),1,0.0001))),0))</f>
        <v/>
      </c>
      <c r="Q161" s="27" t="str">
        <f aca="false">IF(K161="","",SETTINGS!$B$6*O161)</f>
        <v/>
      </c>
      <c r="R161" s="24" t="str">
        <f aca="false">IF(K161="","",IFERROR(Q161/(P161*IF(ISNUMBER(SEARCH("JPY",E161)),9.09,IF(ISNUMBER(SEARCH("XAU",E161)),1,IF(OR(ISNUMBER(SEARCH("30",E161)),ISNUMBER(SEARCH("500",E161)),ISNUMBER(SEARCH("100",E161))),1,10)))),0))</f>
        <v/>
      </c>
      <c r="S161" s="12"/>
      <c r="T161" s="36"/>
      <c r="U161" s="27" t="str">
        <f aca="false">IF(OR(S161="",T161=0),"",IFERROR((S161-K161)*IF(F161="Sell",-1,1)*R161*T161*IF(ISNUMBER(SEARCH("JPY",E161)),1000,IF(ISNUMBER(SEARCH("XAU",E161)),100,IF(OR(ISNUMBER(SEARCH("30",E161)),ISNUMBER(SEARCH("500",E161)),ISNUMBER(SEARCH("100",E161))),100,100000))),0))</f>
        <v/>
      </c>
      <c r="V161" s="12"/>
      <c r="W161" s="36"/>
      <c r="X161" s="27" t="str">
        <f aca="false">IF(OR(V161="",W161=0),"",IFERROR((V161-K161)*IF(F161="Sell",-1,1)*R161*W161*IF(ISNUMBER(SEARCH("JPY",E161)),1000,IF(ISNUMBER(SEARCH("XAU",E161)),100,IF(OR(ISNUMBER(SEARCH("30",E161)),ISNUMBER(SEARCH("500",E161)),ISNUMBER(SEARCH("100",E161))),100,100000))),0))</f>
        <v/>
      </c>
      <c r="Y161" s="12"/>
      <c r="Z161" s="36"/>
      <c r="AA161" s="27" t="str">
        <f aca="false">IF(OR(Y161="",Z161=0),"",IFERROR((Y161-K161)*IF(F161="Sell",-1,1)*R161*Z161*IF(ISNUMBER(SEARCH("JPY",E161)),1000,IF(ISNUMBER(SEARCH("XAU",E161)),100,IF(OR(ISNUMBER(SEARCH("30",E161)),ISNUMBER(SEARCH("500",E161)),ISNUMBER(SEARCH("100",E161))),100,100000))),0))</f>
        <v/>
      </c>
      <c r="AB161" s="12"/>
      <c r="AC161" s="29" t="str">
        <f aca="false">IF(K161="","",1-IFERROR(T161,0)-IFERROR(W161,0)-IFERROR(Z161,0))</f>
        <v/>
      </c>
      <c r="AD161" s="30" t="str">
        <f aca="false">IF(AB161="","",IFERROR((IFERROR(S161*T161,0)+IFERROR(V161*W161,0)+IFERROR(Y161*Z161,0)+AB161*AC161)/(IFERROR(T161,0)+IFERROR(W161,0)+IFERROR(Z161,0)+AC161),AB161))</f>
        <v/>
      </c>
      <c r="AE161" s="27" t="str">
        <f aca="false">IF(AB161="","",IF(U161="",0,U161)+IF(X161="",0,X161)+IF(AA161="",0,AA161)+IFERROR((AB161-K161)*IF(F161="Sell",-1,1)*R161*AC161*IF(ISNUMBER(SEARCH("JPY",E161)),1000,IF(ISNUMBER(SEARCH("XAU",E161)),100,IF(OR(ISNUMBER(SEARCH("30",E161)),ISNUMBER(SEARCH("500",E161)),ISNUMBER(SEARCH("100",E161))),100,100000))),0))</f>
        <v/>
      </c>
      <c r="AF161" s="31" t="str">
        <f aca="false">IF(OR(K161="",M161="",L161=""),"",IFERROR(ABS(M161-K161)/ABS(K161-L161),0))</f>
        <v/>
      </c>
      <c r="AG161" s="31" t="str">
        <f aca="false">IF(OR(AE161="",AE161=0,Q161=0,Q161=""),"",IFERROR(AE161/Q161,0))</f>
        <v/>
      </c>
      <c r="AH161" s="32" t="str">
        <f aca="false">IF(AB161="","Open",IF(AG161="","Open",IF(AG161&gt;0.1,"Win",IF(AG161&lt;-0.1,"Loss","Breakeven"))))</f>
        <v>Open</v>
      </c>
      <c r="AI161" s="33" t="str">
        <f aca="false">IF(OR(B161="",D161=""),"",D161-B161)</f>
        <v/>
      </c>
      <c r="AJ161" s="24" t="str">
        <f aca="false">IF(AD161="","",IFERROR((AD161-K161)*IF(F161="Sell",-1,1)/IF(ISNUMBER(SEARCH("JPY",E161)),0.01,IF(ISNUMBER(SEARCH("XAU",E161)),0.01,IF(OR(ISNUMBER(SEARCH("30",E161)),ISNUMBER(SEARCH("500",E161)),ISNUMBER(SEARCH("100",E161))),1,0.0001))),0))</f>
        <v/>
      </c>
      <c r="AK161" s="12"/>
      <c r="AL161" s="12"/>
      <c r="AM161" s="12"/>
      <c r="AN161" s="12"/>
      <c r="AO161" s="27" t="str">
        <f aca="false">IF(AE161="","",IFERROR(IF(AO160="",SETTINGS!$B$6,AO160),SETTINGS!$B$6)+IF(AE161="",0,AE161))</f>
        <v/>
      </c>
      <c r="AP161" s="2"/>
    </row>
    <row r="162" customFormat="false" ht="15" hidden="false" customHeight="false" outlineLevel="0" collapsed="false">
      <c r="A162" s="24" t="str">
        <f aca="false">IF(B162="","",ROW()-3)</f>
        <v/>
      </c>
      <c r="B162" s="25"/>
      <c r="C162" s="10"/>
      <c r="D162" s="25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26"/>
      <c r="P162" s="24" t="str">
        <f aca="false">IF(K162="","",IFERROR(ABS(K162-L162)/IF(ISNUMBER(SEARCH("JPY",E162)),0.01,IF(ISNUMBER(SEARCH("XAU",E162)),0.01,IF(OR(ISNUMBER(SEARCH("30",E162)),ISNUMBER(SEARCH("500",E162)),ISNUMBER(SEARCH("100",E162))),1,0.0001))),0))</f>
        <v/>
      </c>
      <c r="Q162" s="27" t="str">
        <f aca="false">IF(K162="","",SETTINGS!$B$6*O162)</f>
        <v/>
      </c>
      <c r="R162" s="24" t="str">
        <f aca="false">IF(K162="","",IFERROR(Q162/(P162*IF(ISNUMBER(SEARCH("JPY",E162)),9.09,IF(ISNUMBER(SEARCH("XAU",E162)),1,IF(OR(ISNUMBER(SEARCH("30",E162)),ISNUMBER(SEARCH("500",E162)),ISNUMBER(SEARCH("100",E162))),1,10)))),0))</f>
        <v/>
      </c>
      <c r="S162" s="10"/>
      <c r="T162" s="28"/>
      <c r="U162" s="27" t="str">
        <f aca="false">IF(OR(S162="",T162=0),"",IFERROR((S162-K162)*IF(F162="Sell",-1,1)*R162*T162*IF(ISNUMBER(SEARCH("JPY",E162)),1000,IF(ISNUMBER(SEARCH("XAU",E162)),100,IF(OR(ISNUMBER(SEARCH("30",E162)),ISNUMBER(SEARCH("500",E162)),ISNUMBER(SEARCH("100",E162))),100,100000))),0))</f>
        <v/>
      </c>
      <c r="V162" s="10"/>
      <c r="W162" s="28"/>
      <c r="X162" s="27" t="str">
        <f aca="false">IF(OR(V162="",W162=0),"",IFERROR((V162-K162)*IF(F162="Sell",-1,1)*R162*W162*IF(ISNUMBER(SEARCH("JPY",E162)),1000,IF(ISNUMBER(SEARCH("XAU",E162)),100,IF(OR(ISNUMBER(SEARCH("30",E162)),ISNUMBER(SEARCH("500",E162)),ISNUMBER(SEARCH("100",E162))),100,100000))),0))</f>
        <v/>
      </c>
      <c r="Y162" s="10"/>
      <c r="Z162" s="28"/>
      <c r="AA162" s="27" t="str">
        <f aca="false">IF(OR(Y162="",Z162=0),"",IFERROR((Y162-K162)*IF(F162="Sell",-1,1)*R162*Z162*IF(ISNUMBER(SEARCH("JPY",E162)),1000,IF(ISNUMBER(SEARCH("XAU",E162)),100,IF(OR(ISNUMBER(SEARCH("30",E162)),ISNUMBER(SEARCH("500",E162)),ISNUMBER(SEARCH("100",E162))),100,100000))),0))</f>
        <v/>
      </c>
      <c r="AB162" s="10"/>
      <c r="AC162" s="29" t="str">
        <f aca="false">IF(K162="","",1-IFERROR(T162,0)-IFERROR(W162,0)-IFERROR(Z162,0))</f>
        <v/>
      </c>
      <c r="AD162" s="30" t="str">
        <f aca="false">IF(AB162="","",IFERROR((IFERROR(S162*T162,0)+IFERROR(V162*W162,0)+IFERROR(Y162*Z162,0)+AB162*AC162)/(IFERROR(T162,0)+IFERROR(W162,0)+IFERROR(Z162,0)+AC162),AB162))</f>
        <v/>
      </c>
      <c r="AE162" s="27" t="str">
        <f aca="false">IF(AB162="","",IF(U162="",0,U162)+IF(X162="",0,X162)+IF(AA162="",0,AA162)+IFERROR((AB162-K162)*IF(F162="Sell",-1,1)*R162*AC162*IF(ISNUMBER(SEARCH("JPY",E162)),1000,IF(ISNUMBER(SEARCH("XAU",E162)),100,IF(OR(ISNUMBER(SEARCH("30",E162)),ISNUMBER(SEARCH("500",E162)),ISNUMBER(SEARCH("100",E162))),100,100000))),0))</f>
        <v/>
      </c>
      <c r="AF162" s="31" t="str">
        <f aca="false">IF(OR(K162="",M162="",L162=""),"",IFERROR(ABS(M162-K162)/ABS(K162-L162),0))</f>
        <v/>
      </c>
      <c r="AG162" s="31" t="str">
        <f aca="false">IF(OR(AE162="",AE162=0,Q162=0,Q162=""),"",IFERROR(AE162/Q162,0))</f>
        <v/>
      </c>
      <c r="AH162" s="32" t="str">
        <f aca="false">IF(AB162="","Open",IF(AG162="","Open",IF(AG162&gt;0.1,"Win",IF(AG162&lt;-0.1,"Loss","Breakeven"))))</f>
        <v>Open</v>
      </c>
      <c r="AI162" s="33" t="str">
        <f aca="false">IF(OR(B162="",D162=""),"",D162-B162)</f>
        <v/>
      </c>
      <c r="AJ162" s="24" t="str">
        <f aca="false">IF(AD162="","",IFERROR((AD162-K162)*IF(F162="Sell",-1,1)/IF(ISNUMBER(SEARCH("JPY",E162)),0.01,IF(ISNUMBER(SEARCH("XAU",E162)),0.01,IF(OR(ISNUMBER(SEARCH("30",E162)),ISNUMBER(SEARCH("500",E162)),ISNUMBER(SEARCH("100",E162))),1,0.0001))),0))</f>
        <v/>
      </c>
      <c r="AK162" s="10"/>
      <c r="AL162" s="10"/>
      <c r="AM162" s="10"/>
      <c r="AN162" s="10"/>
      <c r="AO162" s="27" t="str">
        <f aca="false">IF(AE162="","",IFERROR(IF(AO161="",SETTINGS!$B$6,AO161),SETTINGS!$B$6)+IF(AE162="",0,AE162))</f>
        <v/>
      </c>
      <c r="AP162" s="2"/>
    </row>
    <row r="163" customFormat="false" ht="15" hidden="false" customHeight="false" outlineLevel="0" collapsed="false">
      <c r="A163" s="24" t="str">
        <f aca="false">IF(B163="","",ROW()-3)</f>
        <v/>
      </c>
      <c r="B163" s="34"/>
      <c r="C163" s="12"/>
      <c r="D163" s="34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35"/>
      <c r="P163" s="24" t="str">
        <f aca="false">IF(K163="","",IFERROR(ABS(K163-L163)/IF(ISNUMBER(SEARCH("JPY",E163)),0.01,IF(ISNUMBER(SEARCH("XAU",E163)),0.01,IF(OR(ISNUMBER(SEARCH("30",E163)),ISNUMBER(SEARCH("500",E163)),ISNUMBER(SEARCH("100",E163))),1,0.0001))),0))</f>
        <v/>
      </c>
      <c r="Q163" s="27" t="str">
        <f aca="false">IF(K163="","",SETTINGS!$B$6*O163)</f>
        <v/>
      </c>
      <c r="R163" s="24" t="str">
        <f aca="false">IF(K163="","",IFERROR(Q163/(P163*IF(ISNUMBER(SEARCH("JPY",E163)),9.09,IF(ISNUMBER(SEARCH("XAU",E163)),1,IF(OR(ISNUMBER(SEARCH("30",E163)),ISNUMBER(SEARCH("500",E163)),ISNUMBER(SEARCH("100",E163))),1,10)))),0))</f>
        <v/>
      </c>
      <c r="S163" s="12"/>
      <c r="T163" s="36"/>
      <c r="U163" s="27" t="str">
        <f aca="false">IF(OR(S163="",T163=0),"",IFERROR((S163-K163)*IF(F163="Sell",-1,1)*R163*T163*IF(ISNUMBER(SEARCH("JPY",E163)),1000,IF(ISNUMBER(SEARCH("XAU",E163)),100,IF(OR(ISNUMBER(SEARCH("30",E163)),ISNUMBER(SEARCH("500",E163)),ISNUMBER(SEARCH("100",E163))),100,100000))),0))</f>
        <v/>
      </c>
      <c r="V163" s="12"/>
      <c r="W163" s="36"/>
      <c r="X163" s="27" t="str">
        <f aca="false">IF(OR(V163="",W163=0),"",IFERROR((V163-K163)*IF(F163="Sell",-1,1)*R163*W163*IF(ISNUMBER(SEARCH("JPY",E163)),1000,IF(ISNUMBER(SEARCH("XAU",E163)),100,IF(OR(ISNUMBER(SEARCH("30",E163)),ISNUMBER(SEARCH("500",E163)),ISNUMBER(SEARCH("100",E163))),100,100000))),0))</f>
        <v/>
      </c>
      <c r="Y163" s="12"/>
      <c r="Z163" s="36"/>
      <c r="AA163" s="27" t="str">
        <f aca="false">IF(OR(Y163="",Z163=0),"",IFERROR((Y163-K163)*IF(F163="Sell",-1,1)*R163*Z163*IF(ISNUMBER(SEARCH("JPY",E163)),1000,IF(ISNUMBER(SEARCH("XAU",E163)),100,IF(OR(ISNUMBER(SEARCH("30",E163)),ISNUMBER(SEARCH("500",E163)),ISNUMBER(SEARCH("100",E163))),100,100000))),0))</f>
        <v/>
      </c>
      <c r="AB163" s="12"/>
      <c r="AC163" s="29" t="str">
        <f aca="false">IF(K163="","",1-IFERROR(T163,0)-IFERROR(W163,0)-IFERROR(Z163,0))</f>
        <v/>
      </c>
      <c r="AD163" s="30" t="str">
        <f aca="false">IF(AB163="","",IFERROR((IFERROR(S163*T163,0)+IFERROR(V163*W163,0)+IFERROR(Y163*Z163,0)+AB163*AC163)/(IFERROR(T163,0)+IFERROR(W163,0)+IFERROR(Z163,0)+AC163),AB163))</f>
        <v/>
      </c>
      <c r="AE163" s="27" t="str">
        <f aca="false">IF(AB163="","",IF(U163="",0,U163)+IF(X163="",0,X163)+IF(AA163="",0,AA163)+IFERROR((AB163-K163)*IF(F163="Sell",-1,1)*R163*AC163*IF(ISNUMBER(SEARCH("JPY",E163)),1000,IF(ISNUMBER(SEARCH("XAU",E163)),100,IF(OR(ISNUMBER(SEARCH("30",E163)),ISNUMBER(SEARCH("500",E163)),ISNUMBER(SEARCH("100",E163))),100,100000))),0))</f>
        <v/>
      </c>
      <c r="AF163" s="31" t="str">
        <f aca="false">IF(OR(K163="",M163="",L163=""),"",IFERROR(ABS(M163-K163)/ABS(K163-L163),0))</f>
        <v/>
      </c>
      <c r="AG163" s="31" t="str">
        <f aca="false">IF(OR(AE163="",AE163=0,Q163=0,Q163=""),"",IFERROR(AE163/Q163,0))</f>
        <v/>
      </c>
      <c r="AH163" s="32" t="str">
        <f aca="false">IF(AB163="","Open",IF(AG163="","Open",IF(AG163&gt;0.1,"Win",IF(AG163&lt;-0.1,"Loss","Breakeven"))))</f>
        <v>Open</v>
      </c>
      <c r="AI163" s="33" t="str">
        <f aca="false">IF(OR(B163="",D163=""),"",D163-B163)</f>
        <v/>
      </c>
      <c r="AJ163" s="24" t="str">
        <f aca="false">IF(AD163="","",IFERROR((AD163-K163)*IF(F163="Sell",-1,1)/IF(ISNUMBER(SEARCH("JPY",E163)),0.01,IF(ISNUMBER(SEARCH("XAU",E163)),0.01,IF(OR(ISNUMBER(SEARCH("30",E163)),ISNUMBER(SEARCH("500",E163)),ISNUMBER(SEARCH("100",E163))),1,0.0001))),0))</f>
        <v/>
      </c>
      <c r="AK163" s="12"/>
      <c r="AL163" s="12"/>
      <c r="AM163" s="12"/>
      <c r="AN163" s="12"/>
      <c r="AO163" s="27" t="str">
        <f aca="false">IF(AE163="","",IFERROR(IF(AO162="",SETTINGS!$B$6,AO162),SETTINGS!$B$6)+IF(AE163="",0,AE163))</f>
        <v/>
      </c>
      <c r="AP163" s="2"/>
    </row>
    <row r="164" customFormat="false" ht="15" hidden="false" customHeight="false" outlineLevel="0" collapsed="false">
      <c r="A164" s="24" t="str">
        <f aca="false">IF(B164="","",ROW()-3)</f>
        <v/>
      </c>
      <c r="B164" s="25"/>
      <c r="C164" s="10"/>
      <c r="D164" s="25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26"/>
      <c r="P164" s="24" t="str">
        <f aca="false">IF(K164="","",IFERROR(ABS(K164-L164)/IF(ISNUMBER(SEARCH("JPY",E164)),0.01,IF(ISNUMBER(SEARCH("XAU",E164)),0.01,IF(OR(ISNUMBER(SEARCH("30",E164)),ISNUMBER(SEARCH("500",E164)),ISNUMBER(SEARCH("100",E164))),1,0.0001))),0))</f>
        <v/>
      </c>
      <c r="Q164" s="27" t="str">
        <f aca="false">IF(K164="","",SETTINGS!$B$6*O164)</f>
        <v/>
      </c>
      <c r="R164" s="24" t="str">
        <f aca="false">IF(K164="","",IFERROR(Q164/(P164*IF(ISNUMBER(SEARCH("JPY",E164)),9.09,IF(ISNUMBER(SEARCH("XAU",E164)),1,IF(OR(ISNUMBER(SEARCH("30",E164)),ISNUMBER(SEARCH("500",E164)),ISNUMBER(SEARCH("100",E164))),1,10)))),0))</f>
        <v/>
      </c>
      <c r="S164" s="10"/>
      <c r="T164" s="28"/>
      <c r="U164" s="27" t="str">
        <f aca="false">IF(OR(S164="",T164=0),"",IFERROR((S164-K164)*IF(F164="Sell",-1,1)*R164*T164*IF(ISNUMBER(SEARCH("JPY",E164)),1000,IF(ISNUMBER(SEARCH("XAU",E164)),100,IF(OR(ISNUMBER(SEARCH("30",E164)),ISNUMBER(SEARCH("500",E164)),ISNUMBER(SEARCH("100",E164))),100,100000))),0))</f>
        <v/>
      </c>
      <c r="V164" s="10"/>
      <c r="W164" s="28"/>
      <c r="X164" s="27" t="str">
        <f aca="false">IF(OR(V164="",W164=0),"",IFERROR((V164-K164)*IF(F164="Sell",-1,1)*R164*W164*IF(ISNUMBER(SEARCH("JPY",E164)),1000,IF(ISNUMBER(SEARCH("XAU",E164)),100,IF(OR(ISNUMBER(SEARCH("30",E164)),ISNUMBER(SEARCH("500",E164)),ISNUMBER(SEARCH("100",E164))),100,100000))),0))</f>
        <v/>
      </c>
      <c r="Y164" s="10"/>
      <c r="Z164" s="28"/>
      <c r="AA164" s="27" t="str">
        <f aca="false">IF(OR(Y164="",Z164=0),"",IFERROR((Y164-K164)*IF(F164="Sell",-1,1)*R164*Z164*IF(ISNUMBER(SEARCH("JPY",E164)),1000,IF(ISNUMBER(SEARCH("XAU",E164)),100,IF(OR(ISNUMBER(SEARCH("30",E164)),ISNUMBER(SEARCH("500",E164)),ISNUMBER(SEARCH("100",E164))),100,100000))),0))</f>
        <v/>
      </c>
      <c r="AB164" s="10"/>
      <c r="AC164" s="29" t="str">
        <f aca="false">IF(K164="","",1-IFERROR(T164,0)-IFERROR(W164,0)-IFERROR(Z164,0))</f>
        <v/>
      </c>
      <c r="AD164" s="30" t="str">
        <f aca="false">IF(AB164="","",IFERROR((IFERROR(S164*T164,0)+IFERROR(V164*W164,0)+IFERROR(Y164*Z164,0)+AB164*AC164)/(IFERROR(T164,0)+IFERROR(W164,0)+IFERROR(Z164,0)+AC164),AB164))</f>
        <v/>
      </c>
      <c r="AE164" s="27" t="str">
        <f aca="false">IF(AB164="","",IF(U164="",0,U164)+IF(X164="",0,X164)+IF(AA164="",0,AA164)+IFERROR((AB164-K164)*IF(F164="Sell",-1,1)*R164*AC164*IF(ISNUMBER(SEARCH("JPY",E164)),1000,IF(ISNUMBER(SEARCH("XAU",E164)),100,IF(OR(ISNUMBER(SEARCH("30",E164)),ISNUMBER(SEARCH("500",E164)),ISNUMBER(SEARCH("100",E164))),100,100000))),0))</f>
        <v/>
      </c>
      <c r="AF164" s="31" t="str">
        <f aca="false">IF(OR(K164="",M164="",L164=""),"",IFERROR(ABS(M164-K164)/ABS(K164-L164),0))</f>
        <v/>
      </c>
      <c r="AG164" s="31" t="str">
        <f aca="false">IF(OR(AE164="",AE164=0,Q164=0,Q164=""),"",IFERROR(AE164/Q164,0))</f>
        <v/>
      </c>
      <c r="AH164" s="32" t="str">
        <f aca="false">IF(AB164="","Open",IF(AG164="","Open",IF(AG164&gt;0.1,"Win",IF(AG164&lt;-0.1,"Loss","Breakeven"))))</f>
        <v>Open</v>
      </c>
      <c r="AI164" s="33" t="str">
        <f aca="false">IF(OR(B164="",D164=""),"",D164-B164)</f>
        <v/>
      </c>
      <c r="AJ164" s="24" t="str">
        <f aca="false">IF(AD164="","",IFERROR((AD164-K164)*IF(F164="Sell",-1,1)/IF(ISNUMBER(SEARCH("JPY",E164)),0.01,IF(ISNUMBER(SEARCH("XAU",E164)),0.01,IF(OR(ISNUMBER(SEARCH("30",E164)),ISNUMBER(SEARCH("500",E164)),ISNUMBER(SEARCH("100",E164))),1,0.0001))),0))</f>
        <v/>
      </c>
      <c r="AK164" s="10"/>
      <c r="AL164" s="10"/>
      <c r="AM164" s="10"/>
      <c r="AN164" s="10"/>
      <c r="AO164" s="27" t="str">
        <f aca="false">IF(AE164="","",IFERROR(IF(AO163="",SETTINGS!$B$6,AO163),SETTINGS!$B$6)+IF(AE164="",0,AE164))</f>
        <v/>
      </c>
      <c r="AP164" s="2"/>
    </row>
    <row r="165" customFormat="false" ht="15" hidden="false" customHeight="false" outlineLevel="0" collapsed="false">
      <c r="A165" s="24" t="str">
        <f aca="false">IF(B165="","",ROW()-3)</f>
        <v/>
      </c>
      <c r="B165" s="34"/>
      <c r="C165" s="12"/>
      <c r="D165" s="34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35"/>
      <c r="P165" s="24" t="str">
        <f aca="false">IF(K165="","",IFERROR(ABS(K165-L165)/IF(ISNUMBER(SEARCH("JPY",E165)),0.01,IF(ISNUMBER(SEARCH("XAU",E165)),0.01,IF(OR(ISNUMBER(SEARCH("30",E165)),ISNUMBER(SEARCH("500",E165)),ISNUMBER(SEARCH("100",E165))),1,0.0001))),0))</f>
        <v/>
      </c>
      <c r="Q165" s="27" t="str">
        <f aca="false">IF(K165="","",SETTINGS!$B$6*O165)</f>
        <v/>
      </c>
      <c r="R165" s="24" t="str">
        <f aca="false">IF(K165="","",IFERROR(Q165/(P165*IF(ISNUMBER(SEARCH("JPY",E165)),9.09,IF(ISNUMBER(SEARCH("XAU",E165)),1,IF(OR(ISNUMBER(SEARCH("30",E165)),ISNUMBER(SEARCH("500",E165)),ISNUMBER(SEARCH("100",E165))),1,10)))),0))</f>
        <v/>
      </c>
      <c r="S165" s="12"/>
      <c r="T165" s="36"/>
      <c r="U165" s="27" t="str">
        <f aca="false">IF(OR(S165="",T165=0),"",IFERROR((S165-K165)*IF(F165="Sell",-1,1)*R165*T165*IF(ISNUMBER(SEARCH("JPY",E165)),1000,IF(ISNUMBER(SEARCH("XAU",E165)),100,IF(OR(ISNUMBER(SEARCH("30",E165)),ISNUMBER(SEARCH("500",E165)),ISNUMBER(SEARCH("100",E165))),100,100000))),0))</f>
        <v/>
      </c>
      <c r="V165" s="12"/>
      <c r="W165" s="36"/>
      <c r="X165" s="27" t="str">
        <f aca="false">IF(OR(V165="",W165=0),"",IFERROR((V165-K165)*IF(F165="Sell",-1,1)*R165*W165*IF(ISNUMBER(SEARCH("JPY",E165)),1000,IF(ISNUMBER(SEARCH("XAU",E165)),100,IF(OR(ISNUMBER(SEARCH("30",E165)),ISNUMBER(SEARCH("500",E165)),ISNUMBER(SEARCH("100",E165))),100,100000))),0))</f>
        <v/>
      </c>
      <c r="Y165" s="12"/>
      <c r="Z165" s="36"/>
      <c r="AA165" s="27" t="str">
        <f aca="false">IF(OR(Y165="",Z165=0),"",IFERROR((Y165-K165)*IF(F165="Sell",-1,1)*R165*Z165*IF(ISNUMBER(SEARCH("JPY",E165)),1000,IF(ISNUMBER(SEARCH("XAU",E165)),100,IF(OR(ISNUMBER(SEARCH("30",E165)),ISNUMBER(SEARCH("500",E165)),ISNUMBER(SEARCH("100",E165))),100,100000))),0))</f>
        <v/>
      </c>
      <c r="AB165" s="12"/>
      <c r="AC165" s="29" t="str">
        <f aca="false">IF(K165="","",1-IFERROR(T165,0)-IFERROR(W165,0)-IFERROR(Z165,0))</f>
        <v/>
      </c>
      <c r="AD165" s="30" t="str">
        <f aca="false">IF(AB165="","",IFERROR((IFERROR(S165*T165,0)+IFERROR(V165*W165,0)+IFERROR(Y165*Z165,0)+AB165*AC165)/(IFERROR(T165,0)+IFERROR(W165,0)+IFERROR(Z165,0)+AC165),AB165))</f>
        <v/>
      </c>
      <c r="AE165" s="27" t="str">
        <f aca="false">IF(AB165="","",IF(U165="",0,U165)+IF(X165="",0,X165)+IF(AA165="",0,AA165)+IFERROR((AB165-K165)*IF(F165="Sell",-1,1)*R165*AC165*IF(ISNUMBER(SEARCH("JPY",E165)),1000,IF(ISNUMBER(SEARCH("XAU",E165)),100,IF(OR(ISNUMBER(SEARCH("30",E165)),ISNUMBER(SEARCH("500",E165)),ISNUMBER(SEARCH("100",E165))),100,100000))),0))</f>
        <v/>
      </c>
      <c r="AF165" s="31" t="str">
        <f aca="false">IF(OR(K165="",M165="",L165=""),"",IFERROR(ABS(M165-K165)/ABS(K165-L165),0))</f>
        <v/>
      </c>
      <c r="AG165" s="31" t="str">
        <f aca="false">IF(OR(AE165="",AE165=0,Q165=0,Q165=""),"",IFERROR(AE165/Q165,0))</f>
        <v/>
      </c>
      <c r="AH165" s="32" t="str">
        <f aca="false">IF(AB165="","Open",IF(AG165="","Open",IF(AG165&gt;0.1,"Win",IF(AG165&lt;-0.1,"Loss","Breakeven"))))</f>
        <v>Open</v>
      </c>
      <c r="AI165" s="33" t="str">
        <f aca="false">IF(OR(B165="",D165=""),"",D165-B165)</f>
        <v/>
      </c>
      <c r="AJ165" s="24" t="str">
        <f aca="false">IF(AD165="","",IFERROR((AD165-K165)*IF(F165="Sell",-1,1)/IF(ISNUMBER(SEARCH("JPY",E165)),0.01,IF(ISNUMBER(SEARCH("XAU",E165)),0.01,IF(OR(ISNUMBER(SEARCH("30",E165)),ISNUMBER(SEARCH("500",E165)),ISNUMBER(SEARCH("100",E165))),1,0.0001))),0))</f>
        <v/>
      </c>
      <c r="AK165" s="12"/>
      <c r="AL165" s="12"/>
      <c r="AM165" s="12"/>
      <c r="AN165" s="12"/>
      <c r="AO165" s="27" t="str">
        <f aca="false">IF(AE165="","",IFERROR(IF(AO164="",SETTINGS!$B$6,AO164),SETTINGS!$B$6)+IF(AE165="",0,AE165))</f>
        <v/>
      </c>
      <c r="AP165" s="2"/>
    </row>
    <row r="166" customFormat="false" ht="15" hidden="false" customHeight="false" outlineLevel="0" collapsed="false">
      <c r="A166" s="24" t="str">
        <f aca="false">IF(B166="","",ROW()-3)</f>
        <v/>
      </c>
      <c r="B166" s="25"/>
      <c r="C166" s="10"/>
      <c r="D166" s="25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26"/>
      <c r="P166" s="24" t="str">
        <f aca="false">IF(K166="","",IFERROR(ABS(K166-L166)/IF(ISNUMBER(SEARCH("JPY",E166)),0.01,IF(ISNUMBER(SEARCH("XAU",E166)),0.01,IF(OR(ISNUMBER(SEARCH("30",E166)),ISNUMBER(SEARCH("500",E166)),ISNUMBER(SEARCH("100",E166))),1,0.0001))),0))</f>
        <v/>
      </c>
      <c r="Q166" s="27" t="str">
        <f aca="false">IF(K166="","",SETTINGS!$B$6*O166)</f>
        <v/>
      </c>
      <c r="R166" s="24" t="str">
        <f aca="false">IF(K166="","",IFERROR(Q166/(P166*IF(ISNUMBER(SEARCH("JPY",E166)),9.09,IF(ISNUMBER(SEARCH("XAU",E166)),1,IF(OR(ISNUMBER(SEARCH("30",E166)),ISNUMBER(SEARCH("500",E166)),ISNUMBER(SEARCH("100",E166))),1,10)))),0))</f>
        <v/>
      </c>
      <c r="S166" s="10"/>
      <c r="T166" s="28"/>
      <c r="U166" s="27" t="str">
        <f aca="false">IF(OR(S166="",T166=0),"",IFERROR((S166-K166)*IF(F166="Sell",-1,1)*R166*T166*IF(ISNUMBER(SEARCH("JPY",E166)),1000,IF(ISNUMBER(SEARCH("XAU",E166)),100,IF(OR(ISNUMBER(SEARCH("30",E166)),ISNUMBER(SEARCH("500",E166)),ISNUMBER(SEARCH("100",E166))),100,100000))),0))</f>
        <v/>
      </c>
      <c r="V166" s="10"/>
      <c r="W166" s="28"/>
      <c r="X166" s="27" t="str">
        <f aca="false">IF(OR(V166="",W166=0),"",IFERROR((V166-K166)*IF(F166="Sell",-1,1)*R166*W166*IF(ISNUMBER(SEARCH("JPY",E166)),1000,IF(ISNUMBER(SEARCH("XAU",E166)),100,IF(OR(ISNUMBER(SEARCH("30",E166)),ISNUMBER(SEARCH("500",E166)),ISNUMBER(SEARCH("100",E166))),100,100000))),0))</f>
        <v/>
      </c>
      <c r="Y166" s="10"/>
      <c r="Z166" s="28"/>
      <c r="AA166" s="27" t="str">
        <f aca="false">IF(OR(Y166="",Z166=0),"",IFERROR((Y166-K166)*IF(F166="Sell",-1,1)*R166*Z166*IF(ISNUMBER(SEARCH("JPY",E166)),1000,IF(ISNUMBER(SEARCH("XAU",E166)),100,IF(OR(ISNUMBER(SEARCH("30",E166)),ISNUMBER(SEARCH("500",E166)),ISNUMBER(SEARCH("100",E166))),100,100000))),0))</f>
        <v/>
      </c>
      <c r="AB166" s="10"/>
      <c r="AC166" s="29" t="str">
        <f aca="false">IF(K166="","",1-IFERROR(T166,0)-IFERROR(W166,0)-IFERROR(Z166,0))</f>
        <v/>
      </c>
      <c r="AD166" s="30" t="str">
        <f aca="false">IF(AB166="","",IFERROR((IFERROR(S166*T166,0)+IFERROR(V166*W166,0)+IFERROR(Y166*Z166,0)+AB166*AC166)/(IFERROR(T166,0)+IFERROR(W166,0)+IFERROR(Z166,0)+AC166),AB166))</f>
        <v/>
      </c>
      <c r="AE166" s="27" t="str">
        <f aca="false">IF(AB166="","",IF(U166="",0,U166)+IF(X166="",0,X166)+IF(AA166="",0,AA166)+IFERROR((AB166-K166)*IF(F166="Sell",-1,1)*R166*AC166*IF(ISNUMBER(SEARCH("JPY",E166)),1000,IF(ISNUMBER(SEARCH("XAU",E166)),100,IF(OR(ISNUMBER(SEARCH("30",E166)),ISNUMBER(SEARCH("500",E166)),ISNUMBER(SEARCH("100",E166))),100,100000))),0))</f>
        <v/>
      </c>
      <c r="AF166" s="31" t="str">
        <f aca="false">IF(OR(K166="",M166="",L166=""),"",IFERROR(ABS(M166-K166)/ABS(K166-L166),0))</f>
        <v/>
      </c>
      <c r="AG166" s="31" t="str">
        <f aca="false">IF(OR(AE166="",AE166=0,Q166=0,Q166=""),"",IFERROR(AE166/Q166,0))</f>
        <v/>
      </c>
      <c r="AH166" s="32" t="str">
        <f aca="false">IF(AB166="","Open",IF(AG166="","Open",IF(AG166&gt;0.1,"Win",IF(AG166&lt;-0.1,"Loss","Breakeven"))))</f>
        <v>Open</v>
      </c>
      <c r="AI166" s="33" t="str">
        <f aca="false">IF(OR(B166="",D166=""),"",D166-B166)</f>
        <v/>
      </c>
      <c r="AJ166" s="24" t="str">
        <f aca="false">IF(AD166="","",IFERROR((AD166-K166)*IF(F166="Sell",-1,1)/IF(ISNUMBER(SEARCH("JPY",E166)),0.01,IF(ISNUMBER(SEARCH("XAU",E166)),0.01,IF(OR(ISNUMBER(SEARCH("30",E166)),ISNUMBER(SEARCH("500",E166)),ISNUMBER(SEARCH("100",E166))),1,0.0001))),0))</f>
        <v/>
      </c>
      <c r="AK166" s="10"/>
      <c r="AL166" s="10"/>
      <c r="AM166" s="10"/>
      <c r="AN166" s="10"/>
      <c r="AO166" s="27" t="str">
        <f aca="false">IF(AE166="","",IFERROR(IF(AO165="",SETTINGS!$B$6,AO165),SETTINGS!$B$6)+IF(AE166="",0,AE166))</f>
        <v/>
      </c>
      <c r="AP166" s="2"/>
    </row>
    <row r="167" customFormat="false" ht="15" hidden="false" customHeight="false" outlineLevel="0" collapsed="false">
      <c r="A167" s="24" t="str">
        <f aca="false">IF(B167="","",ROW()-3)</f>
        <v/>
      </c>
      <c r="B167" s="34"/>
      <c r="C167" s="12"/>
      <c r="D167" s="34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35"/>
      <c r="P167" s="24" t="str">
        <f aca="false">IF(K167="","",IFERROR(ABS(K167-L167)/IF(ISNUMBER(SEARCH("JPY",E167)),0.01,IF(ISNUMBER(SEARCH("XAU",E167)),0.01,IF(OR(ISNUMBER(SEARCH("30",E167)),ISNUMBER(SEARCH("500",E167)),ISNUMBER(SEARCH("100",E167))),1,0.0001))),0))</f>
        <v/>
      </c>
      <c r="Q167" s="27" t="str">
        <f aca="false">IF(K167="","",SETTINGS!$B$6*O167)</f>
        <v/>
      </c>
      <c r="R167" s="24" t="str">
        <f aca="false">IF(K167="","",IFERROR(Q167/(P167*IF(ISNUMBER(SEARCH("JPY",E167)),9.09,IF(ISNUMBER(SEARCH("XAU",E167)),1,IF(OR(ISNUMBER(SEARCH("30",E167)),ISNUMBER(SEARCH("500",E167)),ISNUMBER(SEARCH("100",E167))),1,10)))),0))</f>
        <v/>
      </c>
      <c r="S167" s="12"/>
      <c r="T167" s="36"/>
      <c r="U167" s="27" t="str">
        <f aca="false">IF(OR(S167="",T167=0),"",IFERROR((S167-K167)*IF(F167="Sell",-1,1)*R167*T167*IF(ISNUMBER(SEARCH("JPY",E167)),1000,IF(ISNUMBER(SEARCH("XAU",E167)),100,IF(OR(ISNUMBER(SEARCH("30",E167)),ISNUMBER(SEARCH("500",E167)),ISNUMBER(SEARCH("100",E167))),100,100000))),0))</f>
        <v/>
      </c>
      <c r="V167" s="12"/>
      <c r="W167" s="36"/>
      <c r="X167" s="27" t="str">
        <f aca="false">IF(OR(V167="",W167=0),"",IFERROR((V167-K167)*IF(F167="Sell",-1,1)*R167*W167*IF(ISNUMBER(SEARCH("JPY",E167)),1000,IF(ISNUMBER(SEARCH("XAU",E167)),100,IF(OR(ISNUMBER(SEARCH("30",E167)),ISNUMBER(SEARCH("500",E167)),ISNUMBER(SEARCH("100",E167))),100,100000))),0))</f>
        <v/>
      </c>
      <c r="Y167" s="12"/>
      <c r="Z167" s="36"/>
      <c r="AA167" s="27" t="str">
        <f aca="false">IF(OR(Y167="",Z167=0),"",IFERROR((Y167-K167)*IF(F167="Sell",-1,1)*R167*Z167*IF(ISNUMBER(SEARCH("JPY",E167)),1000,IF(ISNUMBER(SEARCH("XAU",E167)),100,IF(OR(ISNUMBER(SEARCH("30",E167)),ISNUMBER(SEARCH("500",E167)),ISNUMBER(SEARCH("100",E167))),100,100000))),0))</f>
        <v/>
      </c>
      <c r="AB167" s="12"/>
      <c r="AC167" s="29" t="str">
        <f aca="false">IF(K167="","",1-IFERROR(T167,0)-IFERROR(W167,0)-IFERROR(Z167,0))</f>
        <v/>
      </c>
      <c r="AD167" s="30" t="str">
        <f aca="false">IF(AB167="","",IFERROR((IFERROR(S167*T167,0)+IFERROR(V167*W167,0)+IFERROR(Y167*Z167,0)+AB167*AC167)/(IFERROR(T167,0)+IFERROR(W167,0)+IFERROR(Z167,0)+AC167),AB167))</f>
        <v/>
      </c>
      <c r="AE167" s="27" t="str">
        <f aca="false">IF(AB167="","",IF(U167="",0,U167)+IF(X167="",0,X167)+IF(AA167="",0,AA167)+IFERROR((AB167-K167)*IF(F167="Sell",-1,1)*R167*AC167*IF(ISNUMBER(SEARCH("JPY",E167)),1000,IF(ISNUMBER(SEARCH("XAU",E167)),100,IF(OR(ISNUMBER(SEARCH("30",E167)),ISNUMBER(SEARCH("500",E167)),ISNUMBER(SEARCH("100",E167))),100,100000))),0))</f>
        <v/>
      </c>
      <c r="AF167" s="31" t="str">
        <f aca="false">IF(OR(K167="",M167="",L167=""),"",IFERROR(ABS(M167-K167)/ABS(K167-L167),0))</f>
        <v/>
      </c>
      <c r="AG167" s="31" t="str">
        <f aca="false">IF(OR(AE167="",AE167=0,Q167=0,Q167=""),"",IFERROR(AE167/Q167,0))</f>
        <v/>
      </c>
      <c r="AH167" s="32" t="str">
        <f aca="false">IF(AB167="","Open",IF(AG167="","Open",IF(AG167&gt;0.1,"Win",IF(AG167&lt;-0.1,"Loss","Breakeven"))))</f>
        <v>Open</v>
      </c>
      <c r="AI167" s="33" t="str">
        <f aca="false">IF(OR(B167="",D167=""),"",D167-B167)</f>
        <v/>
      </c>
      <c r="AJ167" s="24" t="str">
        <f aca="false">IF(AD167="","",IFERROR((AD167-K167)*IF(F167="Sell",-1,1)/IF(ISNUMBER(SEARCH("JPY",E167)),0.01,IF(ISNUMBER(SEARCH("XAU",E167)),0.01,IF(OR(ISNUMBER(SEARCH("30",E167)),ISNUMBER(SEARCH("500",E167)),ISNUMBER(SEARCH("100",E167))),1,0.0001))),0))</f>
        <v/>
      </c>
      <c r="AK167" s="12"/>
      <c r="AL167" s="12"/>
      <c r="AM167" s="12"/>
      <c r="AN167" s="12"/>
      <c r="AO167" s="27" t="str">
        <f aca="false">IF(AE167="","",IFERROR(IF(AO166="",SETTINGS!$B$6,AO166),SETTINGS!$B$6)+IF(AE167="",0,AE167))</f>
        <v/>
      </c>
      <c r="AP167" s="2"/>
    </row>
    <row r="168" customFormat="false" ht="15" hidden="false" customHeight="false" outlineLevel="0" collapsed="false">
      <c r="A168" s="24" t="str">
        <f aca="false">IF(B168="","",ROW()-3)</f>
        <v/>
      </c>
      <c r="B168" s="25"/>
      <c r="C168" s="10"/>
      <c r="D168" s="25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26"/>
      <c r="P168" s="24" t="str">
        <f aca="false">IF(K168="","",IFERROR(ABS(K168-L168)/IF(ISNUMBER(SEARCH("JPY",E168)),0.01,IF(ISNUMBER(SEARCH("XAU",E168)),0.01,IF(OR(ISNUMBER(SEARCH("30",E168)),ISNUMBER(SEARCH("500",E168)),ISNUMBER(SEARCH("100",E168))),1,0.0001))),0))</f>
        <v/>
      </c>
      <c r="Q168" s="27" t="str">
        <f aca="false">IF(K168="","",SETTINGS!$B$6*O168)</f>
        <v/>
      </c>
      <c r="R168" s="24" t="str">
        <f aca="false">IF(K168="","",IFERROR(Q168/(P168*IF(ISNUMBER(SEARCH("JPY",E168)),9.09,IF(ISNUMBER(SEARCH("XAU",E168)),1,IF(OR(ISNUMBER(SEARCH("30",E168)),ISNUMBER(SEARCH("500",E168)),ISNUMBER(SEARCH("100",E168))),1,10)))),0))</f>
        <v/>
      </c>
      <c r="S168" s="10"/>
      <c r="T168" s="28"/>
      <c r="U168" s="27" t="str">
        <f aca="false">IF(OR(S168="",T168=0),"",IFERROR((S168-K168)*IF(F168="Sell",-1,1)*R168*T168*IF(ISNUMBER(SEARCH("JPY",E168)),1000,IF(ISNUMBER(SEARCH("XAU",E168)),100,IF(OR(ISNUMBER(SEARCH("30",E168)),ISNUMBER(SEARCH("500",E168)),ISNUMBER(SEARCH("100",E168))),100,100000))),0))</f>
        <v/>
      </c>
      <c r="V168" s="10"/>
      <c r="W168" s="28"/>
      <c r="X168" s="27" t="str">
        <f aca="false">IF(OR(V168="",W168=0),"",IFERROR((V168-K168)*IF(F168="Sell",-1,1)*R168*W168*IF(ISNUMBER(SEARCH("JPY",E168)),1000,IF(ISNUMBER(SEARCH("XAU",E168)),100,IF(OR(ISNUMBER(SEARCH("30",E168)),ISNUMBER(SEARCH("500",E168)),ISNUMBER(SEARCH("100",E168))),100,100000))),0))</f>
        <v/>
      </c>
      <c r="Y168" s="10"/>
      <c r="Z168" s="28"/>
      <c r="AA168" s="27" t="str">
        <f aca="false">IF(OR(Y168="",Z168=0),"",IFERROR((Y168-K168)*IF(F168="Sell",-1,1)*R168*Z168*IF(ISNUMBER(SEARCH("JPY",E168)),1000,IF(ISNUMBER(SEARCH("XAU",E168)),100,IF(OR(ISNUMBER(SEARCH("30",E168)),ISNUMBER(SEARCH("500",E168)),ISNUMBER(SEARCH("100",E168))),100,100000))),0))</f>
        <v/>
      </c>
      <c r="AB168" s="10"/>
      <c r="AC168" s="29" t="str">
        <f aca="false">IF(K168="","",1-IFERROR(T168,0)-IFERROR(W168,0)-IFERROR(Z168,0))</f>
        <v/>
      </c>
      <c r="AD168" s="30" t="str">
        <f aca="false">IF(AB168="","",IFERROR((IFERROR(S168*T168,0)+IFERROR(V168*W168,0)+IFERROR(Y168*Z168,0)+AB168*AC168)/(IFERROR(T168,0)+IFERROR(W168,0)+IFERROR(Z168,0)+AC168),AB168))</f>
        <v/>
      </c>
      <c r="AE168" s="27" t="str">
        <f aca="false">IF(AB168="","",IF(U168="",0,U168)+IF(X168="",0,X168)+IF(AA168="",0,AA168)+IFERROR((AB168-K168)*IF(F168="Sell",-1,1)*R168*AC168*IF(ISNUMBER(SEARCH("JPY",E168)),1000,IF(ISNUMBER(SEARCH("XAU",E168)),100,IF(OR(ISNUMBER(SEARCH("30",E168)),ISNUMBER(SEARCH("500",E168)),ISNUMBER(SEARCH("100",E168))),100,100000))),0))</f>
        <v/>
      </c>
      <c r="AF168" s="31" t="str">
        <f aca="false">IF(OR(K168="",M168="",L168=""),"",IFERROR(ABS(M168-K168)/ABS(K168-L168),0))</f>
        <v/>
      </c>
      <c r="AG168" s="31" t="str">
        <f aca="false">IF(OR(AE168="",AE168=0,Q168=0,Q168=""),"",IFERROR(AE168/Q168,0))</f>
        <v/>
      </c>
      <c r="AH168" s="32" t="str">
        <f aca="false">IF(AB168="","Open",IF(AG168="","Open",IF(AG168&gt;0.1,"Win",IF(AG168&lt;-0.1,"Loss","Breakeven"))))</f>
        <v>Open</v>
      </c>
      <c r="AI168" s="33" t="str">
        <f aca="false">IF(OR(B168="",D168=""),"",D168-B168)</f>
        <v/>
      </c>
      <c r="AJ168" s="24" t="str">
        <f aca="false">IF(AD168="","",IFERROR((AD168-K168)*IF(F168="Sell",-1,1)/IF(ISNUMBER(SEARCH("JPY",E168)),0.01,IF(ISNUMBER(SEARCH("XAU",E168)),0.01,IF(OR(ISNUMBER(SEARCH("30",E168)),ISNUMBER(SEARCH("500",E168)),ISNUMBER(SEARCH("100",E168))),1,0.0001))),0))</f>
        <v/>
      </c>
      <c r="AK168" s="10"/>
      <c r="AL168" s="10"/>
      <c r="AM168" s="10"/>
      <c r="AN168" s="10"/>
      <c r="AO168" s="27" t="str">
        <f aca="false">IF(AE168="","",IFERROR(IF(AO167="",SETTINGS!$B$6,AO167),SETTINGS!$B$6)+IF(AE168="",0,AE168))</f>
        <v/>
      </c>
      <c r="AP168" s="2"/>
    </row>
    <row r="169" customFormat="false" ht="15" hidden="false" customHeight="false" outlineLevel="0" collapsed="false">
      <c r="A169" s="24" t="str">
        <f aca="false">IF(B169="","",ROW()-3)</f>
        <v/>
      </c>
      <c r="B169" s="34"/>
      <c r="C169" s="12"/>
      <c r="D169" s="34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35"/>
      <c r="P169" s="24" t="str">
        <f aca="false">IF(K169="","",IFERROR(ABS(K169-L169)/IF(ISNUMBER(SEARCH("JPY",E169)),0.01,IF(ISNUMBER(SEARCH("XAU",E169)),0.01,IF(OR(ISNUMBER(SEARCH("30",E169)),ISNUMBER(SEARCH("500",E169)),ISNUMBER(SEARCH("100",E169))),1,0.0001))),0))</f>
        <v/>
      </c>
      <c r="Q169" s="27" t="str">
        <f aca="false">IF(K169="","",SETTINGS!$B$6*O169)</f>
        <v/>
      </c>
      <c r="R169" s="24" t="str">
        <f aca="false">IF(K169="","",IFERROR(Q169/(P169*IF(ISNUMBER(SEARCH("JPY",E169)),9.09,IF(ISNUMBER(SEARCH("XAU",E169)),1,IF(OR(ISNUMBER(SEARCH("30",E169)),ISNUMBER(SEARCH("500",E169)),ISNUMBER(SEARCH("100",E169))),1,10)))),0))</f>
        <v/>
      </c>
      <c r="S169" s="12"/>
      <c r="T169" s="36"/>
      <c r="U169" s="27" t="str">
        <f aca="false">IF(OR(S169="",T169=0),"",IFERROR((S169-K169)*IF(F169="Sell",-1,1)*R169*T169*IF(ISNUMBER(SEARCH("JPY",E169)),1000,IF(ISNUMBER(SEARCH("XAU",E169)),100,IF(OR(ISNUMBER(SEARCH("30",E169)),ISNUMBER(SEARCH("500",E169)),ISNUMBER(SEARCH("100",E169))),100,100000))),0))</f>
        <v/>
      </c>
      <c r="V169" s="12"/>
      <c r="W169" s="36"/>
      <c r="X169" s="27" t="str">
        <f aca="false">IF(OR(V169="",W169=0),"",IFERROR((V169-K169)*IF(F169="Sell",-1,1)*R169*W169*IF(ISNUMBER(SEARCH("JPY",E169)),1000,IF(ISNUMBER(SEARCH("XAU",E169)),100,IF(OR(ISNUMBER(SEARCH("30",E169)),ISNUMBER(SEARCH("500",E169)),ISNUMBER(SEARCH("100",E169))),100,100000))),0))</f>
        <v/>
      </c>
      <c r="Y169" s="12"/>
      <c r="Z169" s="36"/>
      <c r="AA169" s="27" t="str">
        <f aca="false">IF(OR(Y169="",Z169=0),"",IFERROR((Y169-K169)*IF(F169="Sell",-1,1)*R169*Z169*IF(ISNUMBER(SEARCH("JPY",E169)),1000,IF(ISNUMBER(SEARCH("XAU",E169)),100,IF(OR(ISNUMBER(SEARCH("30",E169)),ISNUMBER(SEARCH("500",E169)),ISNUMBER(SEARCH("100",E169))),100,100000))),0))</f>
        <v/>
      </c>
      <c r="AB169" s="12"/>
      <c r="AC169" s="29" t="str">
        <f aca="false">IF(K169="","",1-IFERROR(T169,0)-IFERROR(W169,0)-IFERROR(Z169,0))</f>
        <v/>
      </c>
      <c r="AD169" s="30" t="str">
        <f aca="false">IF(AB169="","",IFERROR((IFERROR(S169*T169,0)+IFERROR(V169*W169,0)+IFERROR(Y169*Z169,0)+AB169*AC169)/(IFERROR(T169,0)+IFERROR(W169,0)+IFERROR(Z169,0)+AC169),AB169))</f>
        <v/>
      </c>
      <c r="AE169" s="27" t="str">
        <f aca="false">IF(AB169="","",IF(U169="",0,U169)+IF(X169="",0,X169)+IF(AA169="",0,AA169)+IFERROR((AB169-K169)*IF(F169="Sell",-1,1)*R169*AC169*IF(ISNUMBER(SEARCH("JPY",E169)),1000,IF(ISNUMBER(SEARCH("XAU",E169)),100,IF(OR(ISNUMBER(SEARCH("30",E169)),ISNUMBER(SEARCH("500",E169)),ISNUMBER(SEARCH("100",E169))),100,100000))),0))</f>
        <v/>
      </c>
      <c r="AF169" s="31" t="str">
        <f aca="false">IF(OR(K169="",M169="",L169=""),"",IFERROR(ABS(M169-K169)/ABS(K169-L169),0))</f>
        <v/>
      </c>
      <c r="AG169" s="31" t="str">
        <f aca="false">IF(OR(AE169="",AE169=0,Q169=0,Q169=""),"",IFERROR(AE169/Q169,0))</f>
        <v/>
      </c>
      <c r="AH169" s="32" t="str">
        <f aca="false">IF(AB169="","Open",IF(AG169="","Open",IF(AG169&gt;0.1,"Win",IF(AG169&lt;-0.1,"Loss","Breakeven"))))</f>
        <v>Open</v>
      </c>
      <c r="AI169" s="33" t="str">
        <f aca="false">IF(OR(B169="",D169=""),"",D169-B169)</f>
        <v/>
      </c>
      <c r="AJ169" s="24" t="str">
        <f aca="false">IF(AD169="","",IFERROR((AD169-K169)*IF(F169="Sell",-1,1)/IF(ISNUMBER(SEARCH("JPY",E169)),0.01,IF(ISNUMBER(SEARCH("XAU",E169)),0.01,IF(OR(ISNUMBER(SEARCH("30",E169)),ISNUMBER(SEARCH("500",E169)),ISNUMBER(SEARCH("100",E169))),1,0.0001))),0))</f>
        <v/>
      </c>
      <c r="AK169" s="12"/>
      <c r="AL169" s="12"/>
      <c r="AM169" s="12"/>
      <c r="AN169" s="12"/>
      <c r="AO169" s="27" t="str">
        <f aca="false">IF(AE169="","",IFERROR(IF(AO168="",SETTINGS!$B$6,AO168),SETTINGS!$B$6)+IF(AE169="",0,AE169))</f>
        <v/>
      </c>
      <c r="AP169" s="2"/>
    </row>
    <row r="170" customFormat="false" ht="15" hidden="false" customHeight="false" outlineLevel="0" collapsed="false">
      <c r="A170" s="24" t="str">
        <f aca="false">IF(B170="","",ROW()-3)</f>
        <v/>
      </c>
      <c r="B170" s="25"/>
      <c r="C170" s="10"/>
      <c r="D170" s="25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6"/>
      <c r="P170" s="24" t="str">
        <f aca="false">IF(K170="","",IFERROR(ABS(K170-L170)/IF(ISNUMBER(SEARCH("JPY",E170)),0.01,IF(ISNUMBER(SEARCH("XAU",E170)),0.01,IF(OR(ISNUMBER(SEARCH("30",E170)),ISNUMBER(SEARCH("500",E170)),ISNUMBER(SEARCH("100",E170))),1,0.0001))),0))</f>
        <v/>
      </c>
      <c r="Q170" s="27" t="str">
        <f aca="false">IF(K170="","",SETTINGS!$B$6*O170)</f>
        <v/>
      </c>
      <c r="R170" s="24" t="str">
        <f aca="false">IF(K170="","",IFERROR(Q170/(P170*IF(ISNUMBER(SEARCH("JPY",E170)),9.09,IF(ISNUMBER(SEARCH("XAU",E170)),1,IF(OR(ISNUMBER(SEARCH("30",E170)),ISNUMBER(SEARCH("500",E170)),ISNUMBER(SEARCH("100",E170))),1,10)))),0))</f>
        <v/>
      </c>
      <c r="S170" s="10"/>
      <c r="T170" s="28"/>
      <c r="U170" s="27" t="str">
        <f aca="false">IF(OR(S170="",T170=0),"",IFERROR((S170-K170)*IF(F170="Sell",-1,1)*R170*T170*IF(ISNUMBER(SEARCH("JPY",E170)),1000,IF(ISNUMBER(SEARCH("XAU",E170)),100,IF(OR(ISNUMBER(SEARCH("30",E170)),ISNUMBER(SEARCH("500",E170)),ISNUMBER(SEARCH("100",E170))),100,100000))),0))</f>
        <v/>
      </c>
      <c r="V170" s="10"/>
      <c r="W170" s="28"/>
      <c r="X170" s="27" t="str">
        <f aca="false">IF(OR(V170="",W170=0),"",IFERROR((V170-K170)*IF(F170="Sell",-1,1)*R170*W170*IF(ISNUMBER(SEARCH("JPY",E170)),1000,IF(ISNUMBER(SEARCH("XAU",E170)),100,IF(OR(ISNUMBER(SEARCH("30",E170)),ISNUMBER(SEARCH("500",E170)),ISNUMBER(SEARCH("100",E170))),100,100000))),0))</f>
        <v/>
      </c>
      <c r="Y170" s="10"/>
      <c r="Z170" s="28"/>
      <c r="AA170" s="27" t="str">
        <f aca="false">IF(OR(Y170="",Z170=0),"",IFERROR((Y170-K170)*IF(F170="Sell",-1,1)*R170*Z170*IF(ISNUMBER(SEARCH("JPY",E170)),1000,IF(ISNUMBER(SEARCH("XAU",E170)),100,IF(OR(ISNUMBER(SEARCH("30",E170)),ISNUMBER(SEARCH("500",E170)),ISNUMBER(SEARCH("100",E170))),100,100000))),0))</f>
        <v/>
      </c>
      <c r="AB170" s="10"/>
      <c r="AC170" s="29" t="str">
        <f aca="false">IF(K170="","",1-IFERROR(T170,0)-IFERROR(W170,0)-IFERROR(Z170,0))</f>
        <v/>
      </c>
      <c r="AD170" s="30" t="str">
        <f aca="false">IF(AB170="","",IFERROR((IFERROR(S170*T170,0)+IFERROR(V170*W170,0)+IFERROR(Y170*Z170,0)+AB170*AC170)/(IFERROR(T170,0)+IFERROR(W170,0)+IFERROR(Z170,0)+AC170),AB170))</f>
        <v/>
      </c>
      <c r="AE170" s="27" t="str">
        <f aca="false">IF(AB170="","",IF(U170="",0,U170)+IF(X170="",0,X170)+IF(AA170="",0,AA170)+IFERROR((AB170-K170)*IF(F170="Sell",-1,1)*R170*AC170*IF(ISNUMBER(SEARCH("JPY",E170)),1000,IF(ISNUMBER(SEARCH("XAU",E170)),100,IF(OR(ISNUMBER(SEARCH("30",E170)),ISNUMBER(SEARCH("500",E170)),ISNUMBER(SEARCH("100",E170))),100,100000))),0))</f>
        <v/>
      </c>
      <c r="AF170" s="31" t="str">
        <f aca="false">IF(OR(K170="",M170="",L170=""),"",IFERROR(ABS(M170-K170)/ABS(K170-L170),0))</f>
        <v/>
      </c>
      <c r="AG170" s="31" t="str">
        <f aca="false">IF(OR(AE170="",AE170=0,Q170=0,Q170=""),"",IFERROR(AE170/Q170,0))</f>
        <v/>
      </c>
      <c r="AH170" s="32" t="str">
        <f aca="false">IF(AB170="","Open",IF(AG170="","Open",IF(AG170&gt;0.1,"Win",IF(AG170&lt;-0.1,"Loss","Breakeven"))))</f>
        <v>Open</v>
      </c>
      <c r="AI170" s="33" t="str">
        <f aca="false">IF(OR(B170="",D170=""),"",D170-B170)</f>
        <v/>
      </c>
      <c r="AJ170" s="24" t="str">
        <f aca="false">IF(AD170="","",IFERROR((AD170-K170)*IF(F170="Sell",-1,1)/IF(ISNUMBER(SEARCH("JPY",E170)),0.01,IF(ISNUMBER(SEARCH("XAU",E170)),0.01,IF(OR(ISNUMBER(SEARCH("30",E170)),ISNUMBER(SEARCH("500",E170)),ISNUMBER(SEARCH("100",E170))),1,0.0001))),0))</f>
        <v/>
      </c>
      <c r="AK170" s="10"/>
      <c r="AL170" s="10"/>
      <c r="AM170" s="10"/>
      <c r="AN170" s="10"/>
      <c r="AO170" s="27" t="str">
        <f aca="false">IF(AE170="","",IFERROR(IF(AO169="",SETTINGS!$B$6,AO169),SETTINGS!$B$6)+IF(AE170="",0,AE170))</f>
        <v/>
      </c>
      <c r="AP170" s="2"/>
    </row>
    <row r="171" customFormat="false" ht="15" hidden="false" customHeight="false" outlineLevel="0" collapsed="false">
      <c r="A171" s="24" t="str">
        <f aca="false">IF(B171="","",ROW()-3)</f>
        <v/>
      </c>
      <c r="B171" s="34"/>
      <c r="C171" s="12"/>
      <c r="D171" s="34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35"/>
      <c r="P171" s="24" t="str">
        <f aca="false">IF(K171="","",IFERROR(ABS(K171-L171)/IF(ISNUMBER(SEARCH("JPY",E171)),0.01,IF(ISNUMBER(SEARCH("XAU",E171)),0.01,IF(OR(ISNUMBER(SEARCH("30",E171)),ISNUMBER(SEARCH("500",E171)),ISNUMBER(SEARCH("100",E171))),1,0.0001))),0))</f>
        <v/>
      </c>
      <c r="Q171" s="27" t="str">
        <f aca="false">IF(K171="","",SETTINGS!$B$6*O171)</f>
        <v/>
      </c>
      <c r="R171" s="24" t="str">
        <f aca="false">IF(K171="","",IFERROR(Q171/(P171*IF(ISNUMBER(SEARCH("JPY",E171)),9.09,IF(ISNUMBER(SEARCH("XAU",E171)),1,IF(OR(ISNUMBER(SEARCH("30",E171)),ISNUMBER(SEARCH("500",E171)),ISNUMBER(SEARCH("100",E171))),1,10)))),0))</f>
        <v/>
      </c>
      <c r="S171" s="12"/>
      <c r="T171" s="36"/>
      <c r="U171" s="27" t="str">
        <f aca="false">IF(OR(S171="",T171=0),"",IFERROR((S171-K171)*IF(F171="Sell",-1,1)*R171*T171*IF(ISNUMBER(SEARCH("JPY",E171)),1000,IF(ISNUMBER(SEARCH("XAU",E171)),100,IF(OR(ISNUMBER(SEARCH("30",E171)),ISNUMBER(SEARCH("500",E171)),ISNUMBER(SEARCH("100",E171))),100,100000))),0))</f>
        <v/>
      </c>
      <c r="V171" s="12"/>
      <c r="W171" s="36"/>
      <c r="X171" s="27" t="str">
        <f aca="false">IF(OR(V171="",W171=0),"",IFERROR((V171-K171)*IF(F171="Sell",-1,1)*R171*W171*IF(ISNUMBER(SEARCH("JPY",E171)),1000,IF(ISNUMBER(SEARCH("XAU",E171)),100,IF(OR(ISNUMBER(SEARCH("30",E171)),ISNUMBER(SEARCH("500",E171)),ISNUMBER(SEARCH("100",E171))),100,100000))),0))</f>
        <v/>
      </c>
      <c r="Y171" s="12"/>
      <c r="Z171" s="36"/>
      <c r="AA171" s="27" t="str">
        <f aca="false">IF(OR(Y171="",Z171=0),"",IFERROR((Y171-K171)*IF(F171="Sell",-1,1)*R171*Z171*IF(ISNUMBER(SEARCH("JPY",E171)),1000,IF(ISNUMBER(SEARCH("XAU",E171)),100,IF(OR(ISNUMBER(SEARCH("30",E171)),ISNUMBER(SEARCH("500",E171)),ISNUMBER(SEARCH("100",E171))),100,100000))),0))</f>
        <v/>
      </c>
      <c r="AB171" s="12"/>
      <c r="AC171" s="29" t="str">
        <f aca="false">IF(K171="","",1-IFERROR(T171,0)-IFERROR(W171,0)-IFERROR(Z171,0))</f>
        <v/>
      </c>
      <c r="AD171" s="30" t="str">
        <f aca="false">IF(AB171="","",IFERROR((IFERROR(S171*T171,0)+IFERROR(V171*W171,0)+IFERROR(Y171*Z171,0)+AB171*AC171)/(IFERROR(T171,0)+IFERROR(W171,0)+IFERROR(Z171,0)+AC171),AB171))</f>
        <v/>
      </c>
      <c r="AE171" s="27" t="str">
        <f aca="false">IF(AB171="","",IF(U171="",0,U171)+IF(X171="",0,X171)+IF(AA171="",0,AA171)+IFERROR((AB171-K171)*IF(F171="Sell",-1,1)*R171*AC171*IF(ISNUMBER(SEARCH("JPY",E171)),1000,IF(ISNUMBER(SEARCH("XAU",E171)),100,IF(OR(ISNUMBER(SEARCH("30",E171)),ISNUMBER(SEARCH("500",E171)),ISNUMBER(SEARCH("100",E171))),100,100000))),0))</f>
        <v/>
      </c>
      <c r="AF171" s="31" t="str">
        <f aca="false">IF(OR(K171="",M171="",L171=""),"",IFERROR(ABS(M171-K171)/ABS(K171-L171),0))</f>
        <v/>
      </c>
      <c r="AG171" s="31" t="str">
        <f aca="false">IF(OR(AE171="",AE171=0,Q171=0,Q171=""),"",IFERROR(AE171/Q171,0))</f>
        <v/>
      </c>
      <c r="AH171" s="32" t="str">
        <f aca="false">IF(AB171="","Open",IF(AG171="","Open",IF(AG171&gt;0.1,"Win",IF(AG171&lt;-0.1,"Loss","Breakeven"))))</f>
        <v>Open</v>
      </c>
      <c r="AI171" s="33" t="str">
        <f aca="false">IF(OR(B171="",D171=""),"",D171-B171)</f>
        <v/>
      </c>
      <c r="AJ171" s="24" t="str">
        <f aca="false">IF(AD171="","",IFERROR((AD171-K171)*IF(F171="Sell",-1,1)/IF(ISNUMBER(SEARCH("JPY",E171)),0.01,IF(ISNUMBER(SEARCH("XAU",E171)),0.01,IF(OR(ISNUMBER(SEARCH("30",E171)),ISNUMBER(SEARCH("500",E171)),ISNUMBER(SEARCH("100",E171))),1,0.0001))),0))</f>
        <v/>
      </c>
      <c r="AK171" s="12"/>
      <c r="AL171" s="12"/>
      <c r="AM171" s="12"/>
      <c r="AN171" s="12"/>
      <c r="AO171" s="27" t="str">
        <f aca="false">IF(AE171="","",IFERROR(IF(AO170="",SETTINGS!$B$6,AO170),SETTINGS!$B$6)+IF(AE171="",0,AE171))</f>
        <v/>
      </c>
      <c r="AP171" s="2"/>
    </row>
    <row r="172" customFormat="false" ht="15" hidden="false" customHeight="false" outlineLevel="0" collapsed="false">
      <c r="A172" s="24" t="str">
        <f aca="false">IF(B172="","",ROW()-3)</f>
        <v/>
      </c>
      <c r="B172" s="25"/>
      <c r="C172" s="10"/>
      <c r="D172" s="25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26"/>
      <c r="P172" s="24" t="str">
        <f aca="false">IF(K172="","",IFERROR(ABS(K172-L172)/IF(ISNUMBER(SEARCH("JPY",E172)),0.01,IF(ISNUMBER(SEARCH("XAU",E172)),0.01,IF(OR(ISNUMBER(SEARCH("30",E172)),ISNUMBER(SEARCH("500",E172)),ISNUMBER(SEARCH("100",E172))),1,0.0001))),0))</f>
        <v/>
      </c>
      <c r="Q172" s="27" t="str">
        <f aca="false">IF(K172="","",SETTINGS!$B$6*O172)</f>
        <v/>
      </c>
      <c r="R172" s="24" t="str">
        <f aca="false">IF(K172="","",IFERROR(Q172/(P172*IF(ISNUMBER(SEARCH("JPY",E172)),9.09,IF(ISNUMBER(SEARCH("XAU",E172)),1,IF(OR(ISNUMBER(SEARCH("30",E172)),ISNUMBER(SEARCH("500",E172)),ISNUMBER(SEARCH("100",E172))),1,10)))),0))</f>
        <v/>
      </c>
      <c r="S172" s="10"/>
      <c r="T172" s="28"/>
      <c r="U172" s="27" t="str">
        <f aca="false">IF(OR(S172="",T172=0),"",IFERROR((S172-K172)*IF(F172="Sell",-1,1)*R172*T172*IF(ISNUMBER(SEARCH("JPY",E172)),1000,IF(ISNUMBER(SEARCH("XAU",E172)),100,IF(OR(ISNUMBER(SEARCH("30",E172)),ISNUMBER(SEARCH("500",E172)),ISNUMBER(SEARCH("100",E172))),100,100000))),0))</f>
        <v/>
      </c>
      <c r="V172" s="10"/>
      <c r="W172" s="28"/>
      <c r="X172" s="27" t="str">
        <f aca="false">IF(OR(V172="",W172=0),"",IFERROR((V172-K172)*IF(F172="Sell",-1,1)*R172*W172*IF(ISNUMBER(SEARCH("JPY",E172)),1000,IF(ISNUMBER(SEARCH("XAU",E172)),100,IF(OR(ISNUMBER(SEARCH("30",E172)),ISNUMBER(SEARCH("500",E172)),ISNUMBER(SEARCH("100",E172))),100,100000))),0))</f>
        <v/>
      </c>
      <c r="Y172" s="10"/>
      <c r="Z172" s="28"/>
      <c r="AA172" s="27" t="str">
        <f aca="false">IF(OR(Y172="",Z172=0),"",IFERROR((Y172-K172)*IF(F172="Sell",-1,1)*R172*Z172*IF(ISNUMBER(SEARCH("JPY",E172)),1000,IF(ISNUMBER(SEARCH("XAU",E172)),100,IF(OR(ISNUMBER(SEARCH("30",E172)),ISNUMBER(SEARCH("500",E172)),ISNUMBER(SEARCH("100",E172))),100,100000))),0))</f>
        <v/>
      </c>
      <c r="AB172" s="10"/>
      <c r="AC172" s="29" t="str">
        <f aca="false">IF(K172="","",1-IFERROR(T172,0)-IFERROR(W172,0)-IFERROR(Z172,0))</f>
        <v/>
      </c>
      <c r="AD172" s="30" t="str">
        <f aca="false">IF(AB172="","",IFERROR((IFERROR(S172*T172,0)+IFERROR(V172*W172,0)+IFERROR(Y172*Z172,0)+AB172*AC172)/(IFERROR(T172,0)+IFERROR(W172,0)+IFERROR(Z172,0)+AC172),AB172))</f>
        <v/>
      </c>
      <c r="AE172" s="27" t="str">
        <f aca="false">IF(AB172="","",IF(U172="",0,U172)+IF(X172="",0,X172)+IF(AA172="",0,AA172)+IFERROR((AB172-K172)*IF(F172="Sell",-1,1)*R172*AC172*IF(ISNUMBER(SEARCH("JPY",E172)),1000,IF(ISNUMBER(SEARCH("XAU",E172)),100,IF(OR(ISNUMBER(SEARCH("30",E172)),ISNUMBER(SEARCH("500",E172)),ISNUMBER(SEARCH("100",E172))),100,100000))),0))</f>
        <v/>
      </c>
      <c r="AF172" s="31" t="str">
        <f aca="false">IF(OR(K172="",M172="",L172=""),"",IFERROR(ABS(M172-K172)/ABS(K172-L172),0))</f>
        <v/>
      </c>
      <c r="AG172" s="31" t="str">
        <f aca="false">IF(OR(AE172="",AE172=0,Q172=0,Q172=""),"",IFERROR(AE172/Q172,0))</f>
        <v/>
      </c>
      <c r="AH172" s="32" t="str">
        <f aca="false">IF(AB172="","Open",IF(AG172="","Open",IF(AG172&gt;0.1,"Win",IF(AG172&lt;-0.1,"Loss","Breakeven"))))</f>
        <v>Open</v>
      </c>
      <c r="AI172" s="33" t="str">
        <f aca="false">IF(OR(B172="",D172=""),"",D172-B172)</f>
        <v/>
      </c>
      <c r="AJ172" s="24" t="str">
        <f aca="false">IF(AD172="","",IFERROR((AD172-K172)*IF(F172="Sell",-1,1)/IF(ISNUMBER(SEARCH("JPY",E172)),0.01,IF(ISNUMBER(SEARCH("XAU",E172)),0.01,IF(OR(ISNUMBER(SEARCH("30",E172)),ISNUMBER(SEARCH("500",E172)),ISNUMBER(SEARCH("100",E172))),1,0.0001))),0))</f>
        <v/>
      </c>
      <c r="AK172" s="10"/>
      <c r="AL172" s="10"/>
      <c r="AM172" s="10"/>
      <c r="AN172" s="10"/>
      <c r="AO172" s="27" t="str">
        <f aca="false">IF(AE172="","",IFERROR(IF(AO171="",SETTINGS!$B$6,AO171),SETTINGS!$B$6)+IF(AE172="",0,AE172))</f>
        <v/>
      </c>
      <c r="AP172" s="2"/>
    </row>
    <row r="173" customFormat="false" ht="15" hidden="false" customHeight="false" outlineLevel="0" collapsed="false">
      <c r="A173" s="24" t="str">
        <f aca="false">IF(B173="","",ROW()-3)</f>
        <v/>
      </c>
      <c r="B173" s="34"/>
      <c r="C173" s="12"/>
      <c r="D173" s="34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35"/>
      <c r="P173" s="24" t="str">
        <f aca="false">IF(K173="","",IFERROR(ABS(K173-L173)/IF(ISNUMBER(SEARCH("JPY",E173)),0.01,IF(ISNUMBER(SEARCH("XAU",E173)),0.01,IF(OR(ISNUMBER(SEARCH("30",E173)),ISNUMBER(SEARCH("500",E173)),ISNUMBER(SEARCH("100",E173))),1,0.0001))),0))</f>
        <v/>
      </c>
      <c r="Q173" s="27" t="str">
        <f aca="false">IF(K173="","",SETTINGS!$B$6*O173)</f>
        <v/>
      </c>
      <c r="R173" s="24" t="str">
        <f aca="false">IF(K173="","",IFERROR(Q173/(P173*IF(ISNUMBER(SEARCH("JPY",E173)),9.09,IF(ISNUMBER(SEARCH("XAU",E173)),1,IF(OR(ISNUMBER(SEARCH("30",E173)),ISNUMBER(SEARCH("500",E173)),ISNUMBER(SEARCH("100",E173))),1,10)))),0))</f>
        <v/>
      </c>
      <c r="S173" s="12"/>
      <c r="T173" s="36"/>
      <c r="U173" s="27" t="str">
        <f aca="false">IF(OR(S173="",T173=0),"",IFERROR((S173-K173)*IF(F173="Sell",-1,1)*R173*T173*IF(ISNUMBER(SEARCH("JPY",E173)),1000,IF(ISNUMBER(SEARCH("XAU",E173)),100,IF(OR(ISNUMBER(SEARCH("30",E173)),ISNUMBER(SEARCH("500",E173)),ISNUMBER(SEARCH("100",E173))),100,100000))),0))</f>
        <v/>
      </c>
      <c r="V173" s="12"/>
      <c r="W173" s="36"/>
      <c r="X173" s="27" t="str">
        <f aca="false">IF(OR(V173="",W173=0),"",IFERROR((V173-K173)*IF(F173="Sell",-1,1)*R173*W173*IF(ISNUMBER(SEARCH("JPY",E173)),1000,IF(ISNUMBER(SEARCH("XAU",E173)),100,IF(OR(ISNUMBER(SEARCH("30",E173)),ISNUMBER(SEARCH("500",E173)),ISNUMBER(SEARCH("100",E173))),100,100000))),0))</f>
        <v/>
      </c>
      <c r="Y173" s="12"/>
      <c r="Z173" s="36"/>
      <c r="AA173" s="27" t="str">
        <f aca="false">IF(OR(Y173="",Z173=0),"",IFERROR((Y173-K173)*IF(F173="Sell",-1,1)*R173*Z173*IF(ISNUMBER(SEARCH("JPY",E173)),1000,IF(ISNUMBER(SEARCH("XAU",E173)),100,IF(OR(ISNUMBER(SEARCH("30",E173)),ISNUMBER(SEARCH("500",E173)),ISNUMBER(SEARCH("100",E173))),100,100000))),0))</f>
        <v/>
      </c>
      <c r="AB173" s="12"/>
      <c r="AC173" s="29" t="str">
        <f aca="false">IF(K173="","",1-IFERROR(T173,0)-IFERROR(W173,0)-IFERROR(Z173,0))</f>
        <v/>
      </c>
      <c r="AD173" s="30" t="str">
        <f aca="false">IF(AB173="","",IFERROR((IFERROR(S173*T173,0)+IFERROR(V173*W173,0)+IFERROR(Y173*Z173,0)+AB173*AC173)/(IFERROR(T173,0)+IFERROR(W173,0)+IFERROR(Z173,0)+AC173),AB173))</f>
        <v/>
      </c>
      <c r="AE173" s="27" t="str">
        <f aca="false">IF(AB173="","",IF(U173="",0,U173)+IF(X173="",0,X173)+IF(AA173="",0,AA173)+IFERROR((AB173-K173)*IF(F173="Sell",-1,1)*R173*AC173*IF(ISNUMBER(SEARCH("JPY",E173)),1000,IF(ISNUMBER(SEARCH("XAU",E173)),100,IF(OR(ISNUMBER(SEARCH("30",E173)),ISNUMBER(SEARCH("500",E173)),ISNUMBER(SEARCH("100",E173))),100,100000))),0))</f>
        <v/>
      </c>
      <c r="AF173" s="31" t="str">
        <f aca="false">IF(OR(K173="",M173="",L173=""),"",IFERROR(ABS(M173-K173)/ABS(K173-L173),0))</f>
        <v/>
      </c>
      <c r="AG173" s="31" t="str">
        <f aca="false">IF(OR(AE173="",AE173=0,Q173=0,Q173=""),"",IFERROR(AE173/Q173,0))</f>
        <v/>
      </c>
      <c r="AH173" s="32" t="str">
        <f aca="false">IF(AB173="","Open",IF(AG173="","Open",IF(AG173&gt;0.1,"Win",IF(AG173&lt;-0.1,"Loss","Breakeven"))))</f>
        <v>Open</v>
      </c>
      <c r="AI173" s="33" t="str">
        <f aca="false">IF(OR(B173="",D173=""),"",D173-B173)</f>
        <v/>
      </c>
      <c r="AJ173" s="24" t="str">
        <f aca="false">IF(AD173="","",IFERROR((AD173-K173)*IF(F173="Sell",-1,1)/IF(ISNUMBER(SEARCH("JPY",E173)),0.01,IF(ISNUMBER(SEARCH("XAU",E173)),0.01,IF(OR(ISNUMBER(SEARCH("30",E173)),ISNUMBER(SEARCH("500",E173)),ISNUMBER(SEARCH("100",E173))),1,0.0001))),0))</f>
        <v/>
      </c>
      <c r="AK173" s="12"/>
      <c r="AL173" s="12"/>
      <c r="AM173" s="12"/>
      <c r="AN173" s="12"/>
      <c r="AO173" s="27" t="str">
        <f aca="false">IF(AE173="","",IFERROR(IF(AO172="",SETTINGS!$B$6,AO172),SETTINGS!$B$6)+IF(AE173="",0,AE173))</f>
        <v/>
      </c>
      <c r="AP173" s="2"/>
    </row>
    <row r="174" customFormat="false" ht="15" hidden="false" customHeight="false" outlineLevel="0" collapsed="false">
      <c r="A174" s="24" t="str">
        <f aca="false">IF(B174="","",ROW()-3)</f>
        <v/>
      </c>
      <c r="B174" s="25"/>
      <c r="C174" s="10"/>
      <c r="D174" s="25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26"/>
      <c r="P174" s="24" t="str">
        <f aca="false">IF(K174="","",IFERROR(ABS(K174-L174)/IF(ISNUMBER(SEARCH("JPY",E174)),0.01,IF(ISNUMBER(SEARCH("XAU",E174)),0.01,IF(OR(ISNUMBER(SEARCH("30",E174)),ISNUMBER(SEARCH("500",E174)),ISNUMBER(SEARCH("100",E174))),1,0.0001))),0))</f>
        <v/>
      </c>
      <c r="Q174" s="27" t="str">
        <f aca="false">IF(K174="","",SETTINGS!$B$6*O174)</f>
        <v/>
      </c>
      <c r="R174" s="24" t="str">
        <f aca="false">IF(K174="","",IFERROR(Q174/(P174*IF(ISNUMBER(SEARCH("JPY",E174)),9.09,IF(ISNUMBER(SEARCH("XAU",E174)),1,IF(OR(ISNUMBER(SEARCH("30",E174)),ISNUMBER(SEARCH("500",E174)),ISNUMBER(SEARCH("100",E174))),1,10)))),0))</f>
        <v/>
      </c>
      <c r="S174" s="10"/>
      <c r="T174" s="28"/>
      <c r="U174" s="27" t="str">
        <f aca="false">IF(OR(S174="",T174=0),"",IFERROR((S174-K174)*IF(F174="Sell",-1,1)*R174*T174*IF(ISNUMBER(SEARCH("JPY",E174)),1000,IF(ISNUMBER(SEARCH("XAU",E174)),100,IF(OR(ISNUMBER(SEARCH("30",E174)),ISNUMBER(SEARCH("500",E174)),ISNUMBER(SEARCH("100",E174))),100,100000))),0))</f>
        <v/>
      </c>
      <c r="V174" s="10"/>
      <c r="W174" s="28"/>
      <c r="X174" s="27" t="str">
        <f aca="false">IF(OR(V174="",W174=0),"",IFERROR((V174-K174)*IF(F174="Sell",-1,1)*R174*W174*IF(ISNUMBER(SEARCH("JPY",E174)),1000,IF(ISNUMBER(SEARCH("XAU",E174)),100,IF(OR(ISNUMBER(SEARCH("30",E174)),ISNUMBER(SEARCH("500",E174)),ISNUMBER(SEARCH("100",E174))),100,100000))),0))</f>
        <v/>
      </c>
      <c r="Y174" s="10"/>
      <c r="Z174" s="28"/>
      <c r="AA174" s="27" t="str">
        <f aca="false">IF(OR(Y174="",Z174=0),"",IFERROR((Y174-K174)*IF(F174="Sell",-1,1)*R174*Z174*IF(ISNUMBER(SEARCH("JPY",E174)),1000,IF(ISNUMBER(SEARCH("XAU",E174)),100,IF(OR(ISNUMBER(SEARCH("30",E174)),ISNUMBER(SEARCH("500",E174)),ISNUMBER(SEARCH("100",E174))),100,100000))),0))</f>
        <v/>
      </c>
      <c r="AB174" s="10"/>
      <c r="AC174" s="29" t="str">
        <f aca="false">IF(K174="","",1-IFERROR(T174,0)-IFERROR(W174,0)-IFERROR(Z174,0))</f>
        <v/>
      </c>
      <c r="AD174" s="30" t="str">
        <f aca="false">IF(AB174="","",IFERROR((IFERROR(S174*T174,0)+IFERROR(V174*W174,0)+IFERROR(Y174*Z174,0)+AB174*AC174)/(IFERROR(T174,0)+IFERROR(W174,0)+IFERROR(Z174,0)+AC174),AB174))</f>
        <v/>
      </c>
      <c r="AE174" s="27" t="str">
        <f aca="false">IF(AB174="","",IF(U174="",0,U174)+IF(X174="",0,X174)+IF(AA174="",0,AA174)+IFERROR((AB174-K174)*IF(F174="Sell",-1,1)*R174*AC174*IF(ISNUMBER(SEARCH("JPY",E174)),1000,IF(ISNUMBER(SEARCH("XAU",E174)),100,IF(OR(ISNUMBER(SEARCH("30",E174)),ISNUMBER(SEARCH("500",E174)),ISNUMBER(SEARCH("100",E174))),100,100000))),0))</f>
        <v/>
      </c>
      <c r="AF174" s="31" t="str">
        <f aca="false">IF(OR(K174="",M174="",L174=""),"",IFERROR(ABS(M174-K174)/ABS(K174-L174),0))</f>
        <v/>
      </c>
      <c r="AG174" s="31" t="str">
        <f aca="false">IF(OR(AE174="",AE174=0,Q174=0,Q174=""),"",IFERROR(AE174/Q174,0))</f>
        <v/>
      </c>
      <c r="AH174" s="32" t="str">
        <f aca="false">IF(AB174="","Open",IF(AG174="","Open",IF(AG174&gt;0.1,"Win",IF(AG174&lt;-0.1,"Loss","Breakeven"))))</f>
        <v>Open</v>
      </c>
      <c r="AI174" s="33" t="str">
        <f aca="false">IF(OR(B174="",D174=""),"",D174-B174)</f>
        <v/>
      </c>
      <c r="AJ174" s="24" t="str">
        <f aca="false">IF(AD174="","",IFERROR((AD174-K174)*IF(F174="Sell",-1,1)/IF(ISNUMBER(SEARCH("JPY",E174)),0.01,IF(ISNUMBER(SEARCH("XAU",E174)),0.01,IF(OR(ISNUMBER(SEARCH("30",E174)),ISNUMBER(SEARCH("500",E174)),ISNUMBER(SEARCH("100",E174))),1,0.0001))),0))</f>
        <v/>
      </c>
      <c r="AK174" s="10"/>
      <c r="AL174" s="10"/>
      <c r="AM174" s="10"/>
      <c r="AN174" s="10"/>
      <c r="AO174" s="27" t="str">
        <f aca="false">IF(AE174="","",IFERROR(IF(AO173="",SETTINGS!$B$6,AO173),SETTINGS!$B$6)+IF(AE174="",0,AE174))</f>
        <v/>
      </c>
      <c r="AP174" s="2"/>
    </row>
    <row r="175" customFormat="false" ht="15" hidden="false" customHeight="false" outlineLevel="0" collapsed="false">
      <c r="A175" s="24" t="str">
        <f aca="false">IF(B175="","",ROW()-3)</f>
        <v/>
      </c>
      <c r="B175" s="34"/>
      <c r="C175" s="12"/>
      <c r="D175" s="34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35"/>
      <c r="P175" s="24" t="str">
        <f aca="false">IF(K175="","",IFERROR(ABS(K175-L175)/IF(ISNUMBER(SEARCH("JPY",E175)),0.01,IF(ISNUMBER(SEARCH("XAU",E175)),0.01,IF(OR(ISNUMBER(SEARCH("30",E175)),ISNUMBER(SEARCH("500",E175)),ISNUMBER(SEARCH("100",E175))),1,0.0001))),0))</f>
        <v/>
      </c>
      <c r="Q175" s="27" t="str">
        <f aca="false">IF(K175="","",SETTINGS!$B$6*O175)</f>
        <v/>
      </c>
      <c r="R175" s="24" t="str">
        <f aca="false">IF(K175="","",IFERROR(Q175/(P175*IF(ISNUMBER(SEARCH("JPY",E175)),9.09,IF(ISNUMBER(SEARCH("XAU",E175)),1,IF(OR(ISNUMBER(SEARCH("30",E175)),ISNUMBER(SEARCH("500",E175)),ISNUMBER(SEARCH("100",E175))),1,10)))),0))</f>
        <v/>
      </c>
      <c r="S175" s="12"/>
      <c r="T175" s="36"/>
      <c r="U175" s="27" t="str">
        <f aca="false">IF(OR(S175="",T175=0),"",IFERROR((S175-K175)*IF(F175="Sell",-1,1)*R175*T175*IF(ISNUMBER(SEARCH("JPY",E175)),1000,IF(ISNUMBER(SEARCH("XAU",E175)),100,IF(OR(ISNUMBER(SEARCH("30",E175)),ISNUMBER(SEARCH("500",E175)),ISNUMBER(SEARCH("100",E175))),100,100000))),0))</f>
        <v/>
      </c>
      <c r="V175" s="12"/>
      <c r="W175" s="36"/>
      <c r="X175" s="27" t="str">
        <f aca="false">IF(OR(V175="",W175=0),"",IFERROR((V175-K175)*IF(F175="Sell",-1,1)*R175*W175*IF(ISNUMBER(SEARCH("JPY",E175)),1000,IF(ISNUMBER(SEARCH("XAU",E175)),100,IF(OR(ISNUMBER(SEARCH("30",E175)),ISNUMBER(SEARCH("500",E175)),ISNUMBER(SEARCH("100",E175))),100,100000))),0))</f>
        <v/>
      </c>
      <c r="Y175" s="12"/>
      <c r="Z175" s="36"/>
      <c r="AA175" s="27" t="str">
        <f aca="false">IF(OR(Y175="",Z175=0),"",IFERROR((Y175-K175)*IF(F175="Sell",-1,1)*R175*Z175*IF(ISNUMBER(SEARCH("JPY",E175)),1000,IF(ISNUMBER(SEARCH("XAU",E175)),100,IF(OR(ISNUMBER(SEARCH("30",E175)),ISNUMBER(SEARCH("500",E175)),ISNUMBER(SEARCH("100",E175))),100,100000))),0))</f>
        <v/>
      </c>
      <c r="AB175" s="12"/>
      <c r="AC175" s="29" t="str">
        <f aca="false">IF(K175="","",1-IFERROR(T175,0)-IFERROR(W175,0)-IFERROR(Z175,0))</f>
        <v/>
      </c>
      <c r="AD175" s="30" t="str">
        <f aca="false">IF(AB175="","",IFERROR((IFERROR(S175*T175,0)+IFERROR(V175*W175,0)+IFERROR(Y175*Z175,0)+AB175*AC175)/(IFERROR(T175,0)+IFERROR(W175,0)+IFERROR(Z175,0)+AC175),AB175))</f>
        <v/>
      </c>
      <c r="AE175" s="27" t="str">
        <f aca="false">IF(AB175="","",IF(U175="",0,U175)+IF(X175="",0,X175)+IF(AA175="",0,AA175)+IFERROR((AB175-K175)*IF(F175="Sell",-1,1)*R175*AC175*IF(ISNUMBER(SEARCH("JPY",E175)),1000,IF(ISNUMBER(SEARCH("XAU",E175)),100,IF(OR(ISNUMBER(SEARCH("30",E175)),ISNUMBER(SEARCH("500",E175)),ISNUMBER(SEARCH("100",E175))),100,100000))),0))</f>
        <v/>
      </c>
      <c r="AF175" s="31" t="str">
        <f aca="false">IF(OR(K175="",M175="",L175=""),"",IFERROR(ABS(M175-K175)/ABS(K175-L175),0))</f>
        <v/>
      </c>
      <c r="AG175" s="31" t="str">
        <f aca="false">IF(OR(AE175="",AE175=0,Q175=0,Q175=""),"",IFERROR(AE175/Q175,0))</f>
        <v/>
      </c>
      <c r="AH175" s="32" t="str">
        <f aca="false">IF(AB175="","Open",IF(AG175="","Open",IF(AG175&gt;0.1,"Win",IF(AG175&lt;-0.1,"Loss","Breakeven"))))</f>
        <v>Open</v>
      </c>
      <c r="AI175" s="33" t="str">
        <f aca="false">IF(OR(B175="",D175=""),"",D175-B175)</f>
        <v/>
      </c>
      <c r="AJ175" s="24" t="str">
        <f aca="false">IF(AD175="","",IFERROR((AD175-K175)*IF(F175="Sell",-1,1)/IF(ISNUMBER(SEARCH("JPY",E175)),0.01,IF(ISNUMBER(SEARCH("XAU",E175)),0.01,IF(OR(ISNUMBER(SEARCH("30",E175)),ISNUMBER(SEARCH("500",E175)),ISNUMBER(SEARCH("100",E175))),1,0.0001))),0))</f>
        <v/>
      </c>
      <c r="AK175" s="12"/>
      <c r="AL175" s="12"/>
      <c r="AM175" s="12"/>
      <c r="AN175" s="12"/>
      <c r="AO175" s="27" t="str">
        <f aca="false">IF(AE175="","",IFERROR(IF(AO174="",SETTINGS!$B$6,AO174),SETTINGS!$B$6)+IF(AE175="",0,AE175))</f>
        <v/>
      </c>
      <c r="AP175" s="2"/>
    </row>
    <row r="176" customFormat="false" ht="15" hidden="false" customHeight="false" outlineLevel="0" collapsed="false">
      <c r="A176" s="24" t="str">
        <f aca="false">IF(B176="","",ROW()-3)</f>
        <v/>
      </c>
      <c r="B176" s="25"/>
      <c r="C176" s="10"/>
      <c r="D176" s="25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26"/>
      <c r="P176" s="24" t="str">
        <f aca="false">IF(K176="","",IFERROR(ABS(K176-L176)/IF(ISNUMBER(SEARCH("JPY",E176)),0.01,IF(ISNUMBER(SEARCH("XAU",E176)),0.01,IF(OR(ISNUMBER(SEARCH("30",E176)),ISNUMBER(SEARCH("500",E176)),ISNUMBER(SEARCH("100",E176))),1,0.0001))),0))</f>
        <v/>
      </c>
      <c r="Q176" s="27" t="str">
        <f aca="false">IF(K176="","",SETTINGS!$B$6*O176)</f>
        <v/>
      </c>
      <c r="R176" s="24" t="str">
        <f aca="false">IF(K176="","",IFERROR(Q176/(P176*IF(ISNUMBER(SEARCH("JPY",E176)),9.09,IF(ISNUMBER(SEARCH("XAU",E176)),1,IF(OR(ISNUMBER(SEARCH("30",E176)),ISNUMBER(SEARCH("500",E176)),ISNUMBER(SEARCH("100",E176))),1,10)))),0))</f>
        <v/>
      </c>
      <c r="S176" s="10"/>
      <c r="T176" s="28"/>
      <c r="U176" s="27" t="str">
        <f aca="false">IF(OR(S176="",T176=0),"",IFERROR((S176-K176)*IF(F176="Sell",-1,1)*R176*T176*IF(ISNUMBER(SEARCH("JPY",E176)),1000,IF(ISNUMBER(SEARCH("XAU",E176)),100,IF(OR(ISNUMBER(SEARCH("30",E176)),ISNUMBER(SEARCH("500",E176)),ISNUMBER(SEARCH("100",E176))),100,100000))),0))</f>
        <v/>
      </c>
      <c r="V176" s="10"/>
      <c r="W176" s="28"/>
      <c r="X176" s="27" t="str">
        <f aca="false">IF(OR(V176="",W176=0),"",IFERROR((V176-K176)*IF(F176="Sell",-1,1)*R176*W176*IF(ISNUMBER(SEARCH("JPY",E176)),1000,IF(ISNUMBER(SEARCH("XAU",E176)),100,IF(OR(ISNUMBER(SEARCH("30",E176)),ISNUMBER(SEARCH("500",E176)),ISNUMBER(SEARCH("100",E176))),100,100000))),0))</f>
        <v/>
      </c>
      <c r="Y176" s="10"/>
      <c r="Z176" s="28"/>
      <c r="AA176" s="27" t="str">
        <f aca="false">IF(OR(Y176="",Z176=0),"",IFERROR((Y176-K176)*IF(F176="Sell",-1,1)*R176*Z176*IF(ISNUMBER(SEARCH("JPY",E176)),1000,IF(ISNUMBER(SEARCH("XAU",E176)),100,IF(OR(ISNUMBER(SEARCH("30",E176)),ISNUMBER(SEARCH("500",E176)),ISNUMBER(SEARCH("100",E176))),100,100000))),0))</f>
        <v/>
      </c>
      <c r="AB176" s="10"/>
      <c r="AC176" s="29" t="str">
        <f aca="false">IF(K176="","",1-IFERROR(T176,0)-IFERROR(W176,0)-IFERROR(Z176,0))</f>
        <v/>
      </c>
      <c r="AD176" s="30" t="str">
        <f aca="false">IF(AB176="","",IFERROR((IFERROR(S176*T176,0)+IFERROR(V176*W176,0)+IFERROR(Y176*Z176,0)+AB176*AC176)/(IFERROR(T176,0)+IFERROR(W176,0)+IFERROR(Z176,0)+AC176),AB176))</f>
        <v/>
      </c>
      <c r="AE176" s="27" t="str">
        <f aca="false">IF(AB176="","",IF(U176="",0,U176)+IF(X176="",0,X176)+IF(AA176="",0,AA176)+IFERROR((AB176-K176)*IF(F176="Sell",-1,1)*R176*AC176*IF(ISNUMBER(SEARCH("JPY",E176)),1000,IF(ISNUMBER(SEARCH("XAU",E176)),100,IF(OR(ISNUMBER(SEARCH("30",E176)),ISNUMBER(SEARCH("500",E176)),ISNUMBER(SEARCH("100",E176))),100,100000))),0))</f>
        <v/>
      </c>
      <c r="AF176" s="31" t="str">
        <f aca="false">IF(OR(K176="",M176="",L176=""),"",IFERROR(ABS(M176-K176)/ABS(K176-L176),0))</f>
        <v/>
      </c>
      <c r="AG176" s="31" t="str">
        <f aca="false">IF(OR(AE176="",AE176=0,Q176=0,Q176=""),"",IFERROR(AE176/Q176,0))</f>
        <v/>
      </c>
      <c r="AH176" s="32" t="str">
        <f aca="false">IF(AB176="","Open",IF(AG176="","Open",IF(AG176&gt;0.1,"Win",IF(AG176&lt;-0.1,"Loss","Breakeven"))))</f>
        <v>Open</v>
      </c>
      <c r="AI176" s="33" t="str">
        <f aca="false">IF(OR(B176="",D176=""),"",D176-B176)</f>
        <v/>
      </c>
      <c r="AJ176" s="24" t="str">
        <f aca="false">IF(AD176="","",IFERROR((AD176-K176)*IF(F176="Sell",-1,1)/IF(ISNUMBER(SEARCH("JPY",E176)),0.01,IF(ISNUMBER(SEARCH("XAU",E176)),0.01,IF(OR(ISNUMBER(SEARCH("30",E176)),ISNUMBER(SEARCH("500",E176)),ISNUMBER(SEARCH("100",E176))),1,0.0001))),0))</f>
        <v/>
      </c>
      <c r="AK176" s="10"/>
      <c r="AL176" s="10"/>
      <c r="AM176" s="10"/>
      <c r="AN176" s="10"/>
      <c r="AO176" s="27" t="str">
        <f aca="false">IF(AE176="","",IFERROR(IF(AO175="",SETTINGS!$B$6,AO175),SETTINGS!$B$6)+IF(AE176="",0,AE176))</f>
        <v/>
      </c>
      <c r="AP176" s="2"/>
    </row>
    <row r="177" customFormat="false" ht="15" hidden="false" customHeight="false" outlineLevel="0" collapsed="false">
      <c r="A177" s="24" t="str">
        <f aca="false">IF(B177="","",ROW()-3)</f>
        <v/>
      </c>
      <c r="B177" s="34"/>
      <c r="C177" s="12"/>
      <c r="D177" s="34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35"/>
      <c r="P177" s="24" t="str">
        <f aca="false">IF(K177="","",IFERROR(ABS(K177-L177)/IF(ISNUMBER(SEARCH("JPY",E177)),0.01,IF(ISNUMBER(SEARCH("XAU",E177)),0.01,IF(OR(ISNUMBER(SEARCH("30",E177)),ISNUMBER(SEARCH("500",E177)),ISNUMBER(SEARCH("100",E177))),1,0.0001))),0))</f>
        <v/>
      </c>
      <c r="Q177" s="27" t="str">
        <f aca="false">IF(K177="","",SETTINGS!$B$6*O177)</f>
        <v/>
      </c>
      <c r="R177" s="24" t="str">
        <f aca="false">IF(K177="","",IFERROR(Q177/(P177*IF(ISNUMBER(SEARCH("JPY",E177)),9.09,IF(ISNUMBER(SEARCH("XAU",E177)),1,IF(OR(ISNUMBER(SEARCH("30",E177)),ISNUMBER(SEARCH("500",E177)),ISNUMBER(SEARCH("100",E177))),1,10)))),0))</f>
        <v/>
      </c>
      <c r="S177" s="12"/>
      <c r="T177" s="36"/>
      <c r="U177" s="27" t="str">
        <f aca="false">IF(OR(S177="",T177=0),"",IFERROR((S177-K177)*IF(F177="Sell",-1,1)*R177*T177*IF(ISNUMBER(SEARCH("JPY",E177)),1000,IF(ISNUMBER(SEARCH("XAU",E177)),100,IF(OR(ISNUMBER(SEARCH("30",E177)),ISNUMBER(SEARCH("500",E177)),ISNUMBER(SEARCH("100",E177))),100,100000))),0))</f>
        <v/>
      </c>
      <c r="V177" s="12"/>
      <c r="W177" s="36"/>
      <c r="X177" s="27" t="str">
        <f aca="false">IF(OR(V177="",W177=0),"",IFERROR((V177-K177)*IF(F177="Sell",-1,1)*R177*W177*IF(ISNUMBER(SEARCH("JPY",E177)),1000,IF(ISNUMBER(SEARCH("XAU",E177)),100,IF(OR(ISNUMBER(SEARCH("30",E177)),ISNUMBER(SEARCH("500",E177)),ISNUMBER(SEARCH("100",E177))),100,100000))),0))</f>
        <v/>
      </c>
      <c r="Y177" s="12"/>
      <c r="Z177" s="36"/>
      <c r="AA177" s="27" t="str">
        <f aca="false">IF(OR(Y177="",Z177=0),"",IFERROR((Y177-K177)*IF(F177="Sell",-1,1)*R177*Z177*IF(ISNUMBER(SEARCH("JPY",E177)),1000,IF(ISNUMBER(SEARCH("XAU",E177)),100,IF(OR(ISNUMBER(SEARCH("30",E177)),ISNUMBER(SEARCH("500",E177)),ISNUMBER(SEARCH("100",E177))),100,100000))),0))</f>
        <v/>
      </c>
      <c r="AB177" s="12"/>
      <c r="AC177" s="29" t="str">
        <f aca="false">IF(K177="","",1-IFERROR(T177,0)-IFERROR(W177,0)-IFERROR(Z177,0))</f>
        <v/>
      </c>
      <c r="AD177" s="30" t="str">
        <f aca="false">IF(AB177="","",IFERROR((IFERROR(S177*T177,0)+IFERROR(V177*W177,0)+IFERROR(Y177*Z177,0)+AB177*AC177)/(IFERROR(T177,0)+IFERROR(W177,0)+IFERROR(Z177,0)+AC177),AB177))</f>
        <v/>
      </c>
      <c r="AE177" s="27" t="str">
        <f aca="false">IF(AB177="","",IF(U177="",0,U177)+IF(X177="",0,X177)+IF(AA177="",0,AA177)+IFERROR((AB177-K177)*IF(F177="Sell",-1,1)*R177*AC177*IF(ISNUMBER(SEARCH("JPY",E177)),1000,IF(ISNUMBER(SEARCH("XAU",E177)),100,IF(OR(ISNUMBER(SEARCH("30",E177)),ISNUMBER(SEARCH("500",E177)),ISNUMBER(SEARCH("100",E177))),100,100000))),0))</f>
        <v/>
      </c>
      <c r="AF177" s="31" t="str">
        <f aca="false">IF(OR(K177="",M177="",L177=""),"",IFERROR(ABS(M177-K177)/ABS(K177-L177),0))</f>
        <v/>
      </c>
      <c r="AG177" s="31" t="str">
        <f aca="false">IF(OR(AE177="",AE177=0,Q177=0,Q177=""),"",IFERROR(AE177/Q177,0))</f>
        <v/>
      </c>
      <c r="AH177" s="32" t="str">
        <f aca="false">IF(AB177="","Open",IF(AG177="","Open",IF(AG177&gt;0.1,"Win",IF(AG177&lt;-0.1,"Loss","Breakeven"))))</f>
        <v>Open</v>
      </c>
      <c r="AI177" s="33" t="str">
        <f aca="false">IF(OR(B177="",D177=""),"",D177-B177)</f>
        <v/>
      </c>
      <c r="AJ177" s="24" t="str">
        <f aca="false">IF(AD177="","",IFERROR((AD177-K177)*IF(F177="Sell",-1,1)/IF(ISNUMBER(SEARCH("JPY",E177)),0.01,IF(ISNUMBER(SEARCH("XAU",E177)),0.01,IF(OR(ISNUMBER(SEARCH("30",E177)),ISNUMBER(SEARCH("500",E177)),ISNUMBER(SEARCH("100",E177))),1,0.0001))),0))</f>
        <v/>
      </c>
      <c r="AK177" s="12"/>
      <c r="AL177" s="12"/>
      <c r="AM177" s="12"/>
      <c r="AN177" s="12"/>
      <c r="AO177" s="27" t="str">
        <f aca="false">IF(AE177="","",IFERROR(IF(AO176="",SETTINGS!$B$6,AO176),SETTINGS!$B$6)+IF(AE177="",0,AE177))</f>
        <v/>
      </c>
      <c r="AP177" s="2"/>
    </row>
    <row r="178" customFormat="false" ht="15" hidden="false" customHeight="false" outlineLevel="0" collapsed="false">
      <c r="A178" s="24" t="str">
        <f aca="false">IF(B178="","",ROW()-3)</f>
        <v/>
      </c>
      <c r="B178" s="25"/>
      <c r="C178" s="10"/>
      <c r="D178" s="25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26"/>
      <c r="P178" s="24" t="str">
        <f aca="false">IF(K178="","",IFERROR(ABS(K178-L178)/IF(ISNUMBER(SEARCH("JPY",E178)),0.01,IF(ISNUMBER(SEARCH("XAU",E178)),0.01,IF(OR(ISNUMBER(SEARCH("30",E178)),ISNUMBER(SEARCH("500",E178)),ISNUMBER(SEARCH("100",E178))),1,0.0001))),0))</f>
        <v/>
      </c>
      <c r="Q178" s="27" t="str">
        <f aca="false">IF(K178="","",SETTINGS!$B$6*O178)</f>
        <v/>
      </c>
      <c r="R178" s="24" t="str">
        <f aca="false">IF(K178="","",IFERROR(Q178/(P178*IF(ISNUMBER(SEARCH("JPY",E178)),9.09,IF(ISNUMBER(SEARCH("XAU",E178)),1,IF(OR(ISNUMBER(SEARCH("30",E178)),ISNUMBER(SEARCH("500",E178)),ISNUMBER(SEARCH("100",E178))),1,10)))),0))</f>
        <v/>
      </c>
      <c r="S178" s="10"/>
      <c r="T178" s="28"/>
      <c r="U178" s="27" t="str">
        <f aca="false">IF(OR(S178="",T178=0),"",IFERROR((S178-K178)*IF(F178="Sell",-1,1)*R178*T178*IF(ISNUMBER(SEARCH("JPY",E178)),1000,IF(ISNUMBER(SEARCH("XAU",E178)),100,IF(OR(ISNUMBER(SEARCH("30",E178)),ISNUMBER(SEARCH("500",E178)),ISNUMBER(SEARCH("100",E178))),100,100000))),0))</f>
        <v/>
      </c>
      <c r="V178" s="10"/>
      <c r="W178" s="28"/>
      <c r="X178" s="27" t="str">
        <f aca="false">IF(OR(V178="",W178=0),"",IFERROR((V178-K178)*IF(F178="Sell",-1,1)*R178*W178*IF(ISNUMBER(SEARCH("JPY",E178)),1000,IF(ISNUMBER(SEARCH("XAU",E178)),100,IF(OR(ISNUMBER(SEARCH("30",E178)),ISNUMBER(SEARCH("500",E178)),ISNUMBER(SEARCH("100",E178))),100,100000))),0))</f>
        <v/>
      </c>
      <c r="Y178" s="10"/>
      <c r="Z178" s="28"/>
      <c r="AA178" s="27" t="str">
        <f aca="false">IF(OR(Y178="",Z178=0),"",IFERROR((Y178-K178)*IF(F178="Sell",-1,1)*R178*Z178*IF(ISNUMBER(SEARCH("JPY",E178)),1000,IF(ISNUMBER(SEARCH("XAU",E178)),100,IF(OR(ISNUMBER(SEARCH("30",E178)),ISNUMBER(SEARCH("500",E178)),ISNUMBER(SEARCH("100",E178))),100,100000))),0))</f>
        <v/>
      </c>
      <c r="AB178" s="10"/>
      <c r="AC178" s="29" t="str">
        <f aca="false">IF(K178="","",1-IFERROR(T178,0)-IFERROR(W178,0)-IFERROR(Z178,0))</f>
        <v/>
      </c>
      <c r="AD178" s="30" t="str">
        <f aca="false">IF(AB178="","",IFERROR((IFERROR(S178*T178,0)+IFERROR(V178*W178,0)+IFERROR(Y178*Z178,0)+AB178*AC178)/(IFERROR(T178,0)+IFERROR(W178,0)+IFERROR(Z178,0)+AC178),AB178))</f>
        <v/>
      </c>
      <c r="AE178" s="27" t="str">
        <f aca="false">IF(AB178="","",IF(U178="",0,U178)+IF(X178="",0,X178)+IF(AA178="",0,AA178)+IFERROR((AB178-K178)*IF(F178="Sell",-1,1)*R178*AC178*IF(ISNUMBER(SEARCH("JPY",E178)),1000,IF(ISNUMBER(SEARCH("XAU",E178)),100,IF(OR(ISNUMBER(SEARCH("30",E178)),ISNUMBER(SEARCH("500",E178)),ISNUMBER(SEARCH("100",E178))),100,100000))),0))</f>
        <v/>
      </c>
      <c r="AF178" s="31" t="str">
        <f aca="false">IF(OR(K178="",M178="",L178=""),"",IFERROR(ABS(M178-K178)/ABS(K178-L178),0))</f>
        <v/>
      </c>
      <c r="AG178" s="31" t="str">
        <f aca="false">IF(OR(AE178="",AE178=0,Q178=0,Q178=""),"",IFERROR(AE178/Q178,0))</f>
        <v/>
      </c>
      <c r="AH178" s="32" t="str">
        <f aca="false">IF(AB178="","Open",IF(AG178="","Open",IF(AG178&gt;0.1,"Win",IF(AG178&lt;-0.1,"Loss","Breakeven"))))</f>
        <v>Open</v>
      </c>
      <c r="AI178" s="33" t="str">
        <f aca="false">IF(OR(B178="",D178=""),"",D178-B178)</f>
        <v/>
      </c>
      <c r="AJ178" s="24" t="str">
        <f aca="false">IF(AD178="","",IFERROR((AD178-K178)*IF(F178="Sell",-1,1)/IF(ISNUMBER(SEARCH("JPY",E178)),0.01,IF(ISNUMBER(SEARCH("XAU",E178)),0.01,IF(OR(ISNUMBER(SEARCH("30",E178)),ISNUMBER(SEARCH("500",E178)),ISNUMBER(SEARCH("100",E178))),1,0.0001))),0))</f>
        <v/>
      </c>
      <c r="AK178" s="10"/>
      <c r="AL178" s="10"/>
      <c r="AM178" s="10"/>
      <c r="AN178" s="10"/>
      <c r="AO178" s="27" t="str">
        <f aca="false">IF(AE178="","",IFERROR(IF(AO177="",SETTINGS!$B$6,AO177),SETTINGS!$B$6)+IF(AE178="",0,AE178))</f>
        <v/>
      </c>
      <c r="AP178" s="2"/>
    </row>
    <row r="179" customFormat="false" ht="15" hidden="false" customHeight="false" outlineLevel="0" collapsed="false">
      <c r="A179" s="24" t="str">
        <f aca="false">IF(B179="","",ROW()-3)</f>
        <v/>
      </c>
      <c r="B179" s="34"/>
      <c r="C179" s="12"/>
      <c r="D179" s="34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35"/>
      <c r="P179" s="24" t="str">
        <f aca="false">IF(K179="","",IFERROR(ABS(K179-L179)/IF(ISNUMBER(SEARCH("JPY",E179)),0.01,IF(ISNUMBER(SEARCH("XAU",E179)),0.01,IF(OR(ISNUMBER(SEARCH("30",E179)),ISNUMBER(SEARCH("500",E179)),ISNUMBER(SEARCH("100",E179))),1,0.0001))),0))</f>
        <v/>
      </c>
      <c r="Q179" s="27" t="str">
        <f aca="false">IF(K179="","",SETTINGS!$B$6*O179)</f>
        <v/>
      </c>
      <c r="R179" s="24" t="str">
        <f aca="false">IF(K179="","",IFERROR(Q179/(P179*IF(ISNUMBER(SEARCH("JPY",E179)),9.09,IF(ISNUMBER(SEARCH("XAU",E179)),1,IF(OR(ISNUMBER(SEARCH("30",E179)),ISNUMBER(SEARCH("500",E179)),ISNUMBER(SEARCH("100",E179))),1,10)))),0))</f>
        <v/>
      </c>
      <c r="S179" s="12"/>
      <c r="T179" s="36"/>
      <c r="U179" s="27" t="str">
        <f aca="false">IF(OR(S179="",T179=0),"",IFERROR((S179-K179)*IF(F179="Sell",-1,1)*R179*T179*IF(ISNUMBER(SEARCH("JPY",E179)),1000,IF(ISNUMBER(SEARCH("XAU",E179)),100,IF(OR(ISNUMBER(SEARCH("30",E179)),ISNUMBER(SEARCH("500",E179)),ISNUMBER(SEARCH("100",E179))),100,100000))),0))</f>
        <v/>
      </c>
      <c r="V179" s="12"/>
      <c r="W179" s="36"/>
      <c r="X179" s="27" t="str">
        <f aca="false">IF(OR(V179="",W179=0),"",IFERROR((V179-K179)*IF(F179="Sell",-1,1)*R179*W179*IF(ISNUMBER(SEARCH("JPY",E179)),1000,IF(ISNUMBER(SEARCH("XAU",E179)),100,IF(OR(ISNUMBER(SEARCH("30",E179)),ISNUMBER(SEARCH("500",E179)),ISNUMBER(SEARCH("100",E179))),100,100000))),0))</f>
        <v/>
      </c>
      <c r="Y179" s="12"/>
      <c r="Z179" s="36"/>
      <c r="AA179" s="27" t="str">
        <f aca="false">IF(OR(Y179="",Z179=0),"",IFERROR((Y179-K179)*IF(F179="Sell",-1,1)*R179*Z179*IF(ISNUMBER(SEARCH("JPY",E179)),1000,IF(ISNUMBER(SEARCH("XAU",E179)),100,IF(OR(ISNUMBER(SEARCH("30",E179)),ISNUMBER(SEARCH("500",E179)),ISNUMBER(SEARCH("100",E179))),100,100000))),0))</f>
        <v/>
      </c>
      <c r="AB179" s="12"/>
      <c r="AC179" s="29" t="str">
        <f aca="false">IF(K179="","",1-IFERROR(T179,0)-IFERROR(W179,0)-IFERROR(Z179,0))</f>
        <v/>
      </c>
      <c r="AD179" s="30" t="str">
        <f aca="false">IF(AB179="","",IFERROR((IFERROR(S179*T179,0)+IFERROR(V179*W179,0)+IFERROR(Y179*Z179,0)+AB179*AC179)/(IFERROR(T179,0)+IFERROR(W179,0)+IFERROR(Z179,0)+AC179),AB179))</f>
        <v/>
      </c>
      <c r="AE179" s="27" t="str">
        <f aca="false">IF(AB179="","",IF(U179="",0,U179)+IF(X179="",0,X179)+IF(AA179="",0,AA179)+IFERROR((AB179-K179)*IF(F179="Sell",-1,1)*R179*AC179*IF(ISNUMBER(SEARCH("JPY",E179)),1000,IF(ISNUMBER(SEARCH("XAU",E179)),100,IF(OR(ISNUMBER(SEARCH("30",E179)),ISNUMBER(SEARCH("500",E179)),ISNUMBER(SEARCH("100",E179))),100,100000))),0))</f>
        <v/>
      </c>
      <c r="AF179" s="31" t="str">
        <f aca="false">IF(OR(K179="",M179="",L179=""),"",IFERROR(ABS(M179-K179)/ABS(K179-L179),0))</f>
        <v/>
      </c>
      <c r="AG179" s="31" t="str">
        <f aca="false">IF(OR(AE179="",AE179=0,Q179=0,Q179=""),"",IFERROR(AE179/Q179,0))</f>
        <v/>
      </c>
      <c r="AH179" s="32" t="str">
        <f aca="false">IF(AB179="","Open",IF(AG179="","Open",IF(AG179&gt;0.1,"Win",IF(AG179&lt;-0.1,"Loss","Breakeven"))))</f>
        <v>Open</v>
      </c>
      <c r="AI179" s="33" t="str">
        <f aca="false">IF(OR(B179="",D179=""),"",D179-B179)</f>
        <v/>
      </c>
      <c r="AJ179" s="24" t="str">
        <f aca="false">IF(AD179="","",IFERROR((AD179-K179)*IF(F179="Sell",-1,1)/IF(ISNUMBER(SEARCH("JPY",E179)),0.01,IF(ISNUMBER(SEARCH("XAU",E179)),0.01,IF(OR(ISNUMBER(SEARCH("30",E179)),ISNUMBER(SEARCH("500",E179)),ISNUMBER(SEARCH("100",E179))),1,0.0001))),0))</f>
        <v/>
      </c>
      <c r="AK179" s="12"/>
      <c r="AL179" s="12"/>
      <c r="AM179" s="12"/>
      <c r="AN179" s="12"/>
      <c r="AO179" s="27" t="str">
        <f aca="false">IF(AE179="","",IFERROR(IF(AO178="",SETTINGS!$B$6,AO178),SETTINGS!$B$6)+IF(AE179="",0,AE179))</f>
        <v/>
      </c>
      <c r="AP179" s="2"/>
    </row>
    <row r="180" customFormat="false" ht="15" hidden="false" customHeight="false" outlineLevel="0" collapsed="false">
      <c r="A180" s="24" t="str">
        <f aca="false">IF(B180="","",ROW()-3)</f>
        <v/>
      </c>
      <c r="B180" s="25"/>
      <c r="C180" s="10"/>
      <c r="D180" s="25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6"/>
      <c r="P180" s="24" t="str">
        <f aca="false">IF(K180="","",IFERROR(ABS(K180-L180)/IF(ISNUMBER(SEARCH("JPY",E180)),0.01,IF(ISNUMBER(SEARCH("XAU",E180)),0.01,IF(OR(ISNUMBER(SEARCH("30",E180)),ISNUMBER(SEARCH("500",E180)),ISNUMBER(SEARCH("100",E180))),1,0.0001))),0))</f>
        <v/>
      </c>
      <c r="Q180" s="27" t="str">
        <f aca="false">IF(K180="","",SETTINGS!$B$6*O180)</f>
        <v/>
      </c>
      <c r="R180" s="24" t="str">
        <f aca="false">IF(K180="","",IFERROR(Q180/(P180*IF(ISNUMBER(SEARCH("JPY",E180)),9.09,IF(ISNUMBER(SEARCH("XAU",E180)),1,IF(OR(ISNUMBER(SEARCH("30",E180)),ISNUMBER(SEARCH("500",E180)),ISNUMBER(SEARCH("100",E180))),1,10)))),0))</f>
        <v/>
      </c>
      <c r="S180" s="10"/>
      <c r="T180" s="28"/>
      <c r="U180" s="27" t="str">
        <f aca="false">IF(OR(S180="",T180=0),"",IFERROR((S180-K180)*IF(F180="Sell",-1,1)*R180*T180*IF(ISNUMBER(SEARCH("JPY",E180)),1000,IF(ISNUMBER(SEARCH("XAU",E180)),100,IF(OR(ISNUMBER(SEARCH("30",E180)),ISNUMBER(SEARCH("500",E180)),ISNUMBER(SEARCH("100",E180))),100,100000))),0))</f>
        <v/>
      </c>
      <c r="V180" s="10"/>
      <c r="W180" s="28"/>
      <c r="X180" s="27" t="str">
        <f aca="false">IF(OR(V180="",W180=0),"",IFERROR((V180-K180)*IF(F180="Sell",-1,1)*R180*W180*IF(ISNUMBER(SEARCH("JPY",E180)),1000,IF(ISNUMBER(SEARCH("XAU",E180)),100,IF(OR(ISNUMBER(SEARCH("30",E180)),ISNUMBER(SEARCH("500",E180)),ISNUMBER(SEARCH("100",E180))),100,100000))),0))</f>
        <v/>
      </c>
      <c r="Y180" s="10"/>
      <c r="Z180" s="28"/>
      <c r="AA180" s="27" t="str">
        <f aca="false">IF(OR(Y180="",Z180=0),"",IFERROR((Y180-K180)*IF(F180="Sell",-1,1)*R180*Z180*IF(ISNUMBER(SEARCH("JPY",E180)),1000,IF(ISNUMBER(SEARCH("XAU",E180)),100,IF(OR(ISNUMBER(SEARCH("30",E180)),ISNUMBER(SEARCH("500",E180)),ISNUMBER(SEARCH("100",E180))),100,100000))),0))</f>
        <v/>
      </c>
      <c r="AB180" s="10"/>
      <c r="AC180" s="29" t="str">
        <f aca="false">IF(K180="","",1-IFERROR(T180,0)-IFERROR(W180,0)-IFERROR(Z180,0))</f>
        <v/>
      </c>
      <c r="AD180" s="30" t="str">
        <f aca="false">IF(AB180="","",IFERROR((IFERROR(S180*T180,0)+IFERROR(V180*W180,0)+IFERROR(Y180*Z180,0)+AB180*AC180)/(IFERROR(T180,0)+IFERROR(W180,0)+IFERROR(Z180,0)+AC180),AB180))</f>
        <v/>
      </c>
      <c r="AE180" s="27" t="str">
        <f aca="false">IF(AB180="","",IF(U180="",0,U180)+IF(X180="",0,X180)+IF(AA180="",0,AA180)+IFERROR((AB180-K180)*IF(F180="Sell",-1,1)*R180*AC180*IF(ISNUMBER(SEARCH("JPY",E180)),1000,IF(ISNUMBER(SEARCH("XAU",E180)),100,IF(OR(ISNUMBER(SEARCH("30",E180)),ISNUMBER(SEARCH("500",E180)),ISNUMBER(SEARCH("100",E180))),100,100000))),0))</f>
        <v/>
      </c>
      <c r="AF180" s="31" t="str">
        <f aca="false">IF(OR(K180="",M180="",L180=""),"",IFERROR(ABS(M180-K180)/ABS(K180-L180),0))</f>
        <v/>
      </c>
      <c r="AG180" s="31" t="str">
        <f aca="false">IF(OR(AE180="",AE180=0,Q180=0,Q180=""),"",IFERROR(AE180/Q180,0))</f>
        <v/>
      </c>
      <c r="AH180" s="32" t="str">
        <f aca="false">IF(AB180="","Open",IF(AG180="","Open",IF(AG180&gt;0.1,"Win",IF(AG180&lt;-0.1,"Loss","Breakeven"))))</f>
        <v>Open</v>
      </c>
      <c r="AI180" s="33" t="str">
        <f aca="false">IF(OR(B180="",D180=""),"",D180-B180)</f>
        <v/>
      </c>
      <c r="AJ180" s="24" t="str">
        <f aca="false">IF(AD180="","",IFERROR((AD180-K180)*IF(F180="Sell",-1,1)/IF(ISNUMBER(SEARCH("JPY",E180)),0.01,IF(ISNUMBER(SEARCH("XAU",E180)),0.01,IF(OR(ISNUMBER(SEARCH("30",E180)),ISNUMBER(SEARCH("500",E180)),ISNUMBER(SEARCH("100",E180))),1,0.0001))),0))</f>
        <v/>
      </c>
      <c r="AK180" s="10"/>
      <c r="AL180" s="10"/>
      <c r="AM180" s="10"/>
      <c r="AN180" s="10"/>
      <c r="AO180" s="27" t="str">
        <f aca="false">IF(AE180="","",IFERROR(IF(AO179="",SETTINGS!$B$6,AO179),SETTINGS!$B$6)+IF(AE180="",0,AE180))</f>
        <v/>
      </c>
      <c r="AP180" s="2"/>
    </row>
    <row r="181" customFormat="false" ht="15" hidden="false" customHeight="false" outlineLevel="0" collapsed="false">
      <c r="A181" s="24" t="str">
        <f aca="false">IF(B181="","",ROW()-3)</f>
        <v/>
      </c>
      <c r="B181" s="34"/>
      <c r="C181" s="12"/>
      <c r="D181" s="34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35"/>
      <c r="P181" s="24" t="str">
        <f aca="false">IF(K181="","",IFERROR(ABS(K181-L181)/IF(ISNUMBER(SEARCH("JPY",E181)),0.01,IF(ISNUMBER(SEARCH("XAU",E181)),0.01,IF(OR(ISNUMBER(SEARCH("30",E181)),ISNUMBER(SEARCH("500",E181)),ISNUMBER(SEARCH("100",E181))),1,0.0001))),0))</f>
        <v/>
      </c>
      <c r="Q181" s="27" t="str">
        <f aca="false">IF(K181="","",SETTINGS!$B$6*O181)</f>
        <v/>
      </c>
      <c r="R181" s="24" t="str">
        <f aca="false">IF(K181="","",IFERROR(Q181/(P181*IF(ISNUMBER(SEARCH("JPY",E181)),9.09,IF(ISNUMBER(SEARCH("XAU",E181)),1,IF(OR(ISNUMBER(SEARCH("30",E181)),ISNUMBER(SEARCH("500",E181)),ISNUMBER(SEARCH("100",E181))),1,10)))),0))</f>
        <v/>
      </c>
      <c r="S181" s="12"/>
      <c r="T181" s="36"/>
      <c r="U181" s="27" t="str">
        <f aca="false">IF(OR(S181="",T181=0),"",IFERROR((S181-K181)*IF(F181="Sell",-1,1)*R181*T181*IF(ISNUMBER(SEARCH("JPY",E181)),1000,IF(ISNUMBER(SEARCH("XAU",E181)),100,IF(OR(ISNUMBER(SEARCH("30",E181)),ISNUMBER(SEARCH("500",E181)),ISNUMBER(SEARCH("100",E181))),100,100000))),0))</f>
        <v/>
      </c>
      <c r="V181" s="12"/>
      <c r="W181" s="36"/>
      <c r="X181" s="27" t="str">
        <f aca="false">IF(OR(V181="",W181=0),"",IFERROR((V181-K181)*IF(F181="Sell",-1,1)*R181*W181*IF(ISNUMBER(SEARCH("JPY",E181)),1000,IF(ISNUMBER(SEARCH("XAU",E181)),100,IF(OR(ISNUMBER(SEARCH("30",E181)),ISNUMBER(SEARCH("500",E181)),ISNUMBER(SEARCH("100",E181))),100,100000))),0))</f>
        <v/>
      </c>
      <c r="Y181" s="12"/>
      <c r="Z181" s="36"/>
      <c r="AA181" s="27" t="str">
        <f aca="false">IF(OR(Y181="",Z181=0),"",IFERROR((Y181-K181)*IF(F181="Sell",-1,1)*R181*Z181*IF(ISNUMBER(SEARCH("JPY",E181)),1000,IF(ISNUMBER(SEARCH("XAU",E181)),100,IF(OR(ISNUMBER(SEARCH("30",E181)),ISNUMBER(SEARCH("500",E181)),ISNUMBER(SEARCH("100",E181))),100,100000))),0))</f>
        <v/>
      </c>
      <c r="AB181" s="12"/>
      <c r="AC181" s="29" t="str">
        <f aca="false">IF(K181="","",1-IFERROR(T181,0)-IFERROR(W181,0)-IFERROR(Z181,0))</f>
        <v/>
      </c>
      <c r="AD181" s="30" t="str">
        <f aca="false">IF(AB181="","",IFERROR((IFERROR(S181*T181,0)+IFERROR(V181*W181,0)+IFERROR(Y181*Z181,0)+AB181*AC181)/(IFERROR(T181,0)+IFERROR(W181,0)+IFERROR(Z181,0)+AC181),AB181))</f>
        <v/>
      </c>
      <c r="AE181" s="27" t="str">
        <f aca="false">IF(AB181="","",IF(U181="",0,U181)+IF(X181="",0,X181)+IF(AA181="",0,AA181)+IFERROR((AB181-K181)*IF(F181="Sell",-1,1)*R181*AC181*IF(ISNUMBER(SEARCH("JPY",E181)),1000,IF(ISNUMBER(SEARCH("XAU",E181)),100,IF(OR(ISNUMBER(SEARCH("30",E181)),ISNUMBER(SEARCH("500",E181)),ISNUMBER(SEARCH("100",E181))),100,100000))),0))</f>
        <v/>
      </c>
      <c r="AF181" s="31" t="str">
        <f aca="false">IF(OR(K181="",M181="",L181=""),"",IFERROR(ABS(M181-K181)/ABS(K181-L181),0))</f>
        <v/>
      </c>
      <c r="AG181" s="31" t="str">
        <f aca="false">IF(OR(AE181="",AE181=0,Q181=0,Q181=""),"",IFERROR(AE181/Q181,0))</f>
        <v/>
      </c>
      <c r="AH181" s="32" t="str">
        <f aca="false">IF(AB181="","Open",IF(AG181="","Open",IF(AG181&gt;0.1,"Win",IF(AG181&lt;-0.1,"Loss","Breakeven"))))</f>
        <v>Open</v>
      </c>
      <c r="AI181" s="33" t="str">
        <f aca="false">IF(OR(B181="",D181=""),"",D181-B181)</f>
        <v/>
      </c>
      <c r="AJ181" s="24" t="str">
        <f aca="false">IF(AD181="","",IFERROR((AD181-K181)*IF(F181="Sell",-1,1)/IF(ISNUMBER(SEARCH("JPY",E181)),0.01,IF(ISNUMBER(SEARCH("XAU",E181)),0.01,IF(OR(ISNUMBER(SEARCH("30",E181)),ISNUMBER(SEARCH("500",E181)),ISNUMBER(SEARCH("100",E181))),1,0.0001))),0))</f>
        <v/>
      </c>
      <c r="AK181" s="12"/>
      <c r="AL181" s="12"/>
      <c r="AM181" s="12"/>
      <c r="AN181" s="12"/>
      <c r="AO181" s="27" t="str">
        <f aca="false">IF(AE181="","",IFERROR(IF(AO180="",SETTINGS!$B$6,AO180),SETTINGS!$B$6)+IF(AE181="",0,AE181))</f>
        <v/>
      </c>
      <c r="AP181" s="2"/>
    </row>
    <row r="182" customFormat="false" ht="15" hidden="false" customHeight="false" outlineLevel="0" collapsed="false">
      <c r="A182" s="24" t="str">
        <f aca="false">IF(B182="","",ROW()-3)</f>
        <v/>
      </c>
      <c r="B182" s="25"/>
      <c r="C182" s="10"/>
      <c r="D182" s="25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26"/>
      <c r="P182" s="24" t="str">
        <f aca="false">IF(K182="","",IFERROR(ABS(K182-L182)/IF(ISNUMBER(SEARCH("JPY",E182)),0.01,IF(ISNUMBER(SEARCH("XAU",E182)),0.01,IF(OR(ISNUMBER(SEARCH("30",E182)),ISNUMBER(SEARCH("500",E182)),ISNUMBER(SEARCH("100",E182))),1,0.0001))),0))</f>
        <v/>
      </c>
      <c r="Q182" s="27" t="str">
        <f aca="false">IF(K182="","",SETTINGS!$B$6*O182)</f>
        <v/>
      </c>
      <c r="R182" s="24" t="str">
        <f aca="false">IF(K182="","",IFERROR(Q182/(P182*IF(ISNUMBER(SEARCH("JPY",E182)),9.09,IF(ISNUMBER(SEARCH("XAU",E182)),1,IF(OR(ISNUMBER(SEARCH("30",E182)),ISNUMBER(SEARCH("500",E182)),ISNUMBER(SEARCH("100",E182))),1,10)))),0))</f>
        <v/>
      </c>
      <c r="S182" s="10"/>
      <c r="T182" s="28"/>
      <c r="U182" s="27" t="str">
        <f aca="false">IF(OR(S182="",T182=0),"",IFERROR((S182-K182)*IF(F182="Sell",-1,1)*R182*T182*IF(ISNUMBER(SEARCH("JPY",E182)),1000,IF(ISNUMBER(SEARCH("XAU",E182)),100,IF(OR(ISNUMBER(SEARCH("30",E182)),ISNUMBER(SEARCH("500",E182)),ISNUMBER(SEARCH("100",E182))),100,100000))),0))</f>
        <v/>
      </c>
      <c r="V182" s="10"/>
      <c r="W182" s="28"/>
      <c r="X182" s="27" t="str">
        <f aca="false">IF(OR(V182="",W182=0),"",IFERROR((V182-K182)*IF(F182="Sell",-1,1)*R182*W182*IF(ISNUMBER(SEARCH("JPY",E182)),1000,IF(ISNUMBER(SEARCH("XAU",E182)),100,IF(OR(ISNUMBER(SEARCH("30",E182)),ISNUMBER(SEARCH("500",E182)),ISNUMBER(SEARCH("100",E182))),100,100000))),0))</f>
        <v/>
      </c>
      <c r="Y182" s="10"/>
      <c r="Z182" s="28"/>
      <c r="AA182" s="27" t="str">
        <f aca="false">IF(OR(Y182="",Z182=0),"",IFERROR((Y182-K182)*IF(F182="Sell",-1,1)*R182*Z182*IF(ISNUMBER(SEARCH("JPY",E182)),1000,IF(ISNUMBER(SEARCH("XAU",E182)),100,IF(OR(ISNUMBER(SEARCH("30",E182)),ISNUMBER(SEARCH("500",E182)),ISNUMBER(SEARCH("100",E182))),100,100000))),0))</f>
        <v/>
      </c>
      <c r="AB182" s="10"/>
      <c r="AC182" s="29" t="str">
        <f aca="false">IF(K182="","",1-IFERROR(T182,0)-IFERROR(W182,0)-IFERROR(Z182,0))</f>
        <v/>
      </c>
      <c r="AD182" s="30" t="str">
        <f aca="false">IF(AB182="","",IFERROR((IFERROR(S182*T182,0)+IFERROR(V182*W182,0)+IFERROR(Y182*Z182,0)+AB182*AC182)/(IFERROR(T182,0)+IFERROR(W182,0)+IFERROR(Z182,0)+AC182),AB182))</f>
        <v/>
      </c>
      <c r="AE182" s="27" t="str">
        <f aca="false">IF(AB182="","",IF(U182="",0,U182)+IF(X182="",0,X182)+IF(AA182="",0,AA182)+IFERROR((AB182-K182)*IF(F182="Sell",-1,1)*R182*AC182*IF(ISNUMBER(SEARCH("JPY",E182)),1000,IF(ISNUMBER(SEARCH("XAU",E182)),100,IF(OR(ISNUMBER(SEARCH("30",E182)),ISNUMBER(SEARCH("500",E182)),ISNUMBER(SEARCH("100",E182))),100,100000))),0))</f>
        <v/>
      </c>
      <c r="AF182" s="31" t="str">
        <f aca="false">IF(OR(K182="",M182="",L182=""),"",IFERROR(ABS(M182-K182)/ABS(K182-L182),0))</f>
        <v/>
      </c>
      <c r="AG182" s="31" t="str">
        <f aca="false">IF(OR(AE182="",AE182=0,Q182=0,Q182=""),"",IFERROR(AE182/Q182,0))</f>
        <v/>
      </c>
      <c r="AH182" s="32" t="str">
        <f aca="false">IF(AB182="","Open",IF(AG182="","Open",IF(AG182&gt;0.1,"Win",IF(AG182&lt;-0.1,"Loss","Breakeven"))))</f>
        <v>Open</v>
      </c>
      <c r="AI182" s="33" t="str">
        <f aca="false">IF(OR(B182="",D182=""),"",D182-B182)</f>
        <v/>
      </c>
      <c r="AJ182" s="24" t="str">
        <f aca="false">IF(AD182="","",IFERROR((AD182-K182)*IF(F182="Sell",-1,1)/IF(ISNUMBER(SEARCH("JPY",E182)),0.01,IF(ISNUMBER(SEARCH("XAU",E182)),0.01,IF(OR(ISNUMBER(SEARCH("30",E182)),ISNUMBER(SEARCH("500",E182)),ISNUMBER(SEARCH("100",E182))),1,0.0001))),0))</f>
        <v/>
      </c>
      <c r="AK182" s="10"/>
      <c r="AL182" s="10"/>
      <c r="AM182" s="10"/>
      <c r="AN182" s="10"/>
      <c r="AO182" s="27" t="str">
        <f aca="false">IF(AE182="","",IFERROR(IF(AO181="",SETTINGS!$B$6,AO181),SETTINGS!$B$6)+IF(AE182="",0,AE182))</f>
        <v/>
      </c>
      <c r="AP182" s="2"/>
    </row>
    <row r="183" customFormat="false" ht="15" hidden="false" customHeight="false" outlineLevel="0" collapsed="false">
      <c r="A183" s="24" t="str">
        <f aca="false">IF(B183="","",ROW()-3)</f>
        <v/>
      </c>
      <c r="B183" s="34"/>
      <c r="C183" s="12"/>
      <c r="D183" s="34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35"/>
      <c r="P183" s="24" t="str">
        <f aca="false">IF(K183="","",IFERROR(ABS(K183-L183)/IF(ISNUMBER(SEARCH("JPY",E183)),0.01,IF(ISNUMBER(SEARCH("XAU",E183)),0.01,IF(OR(ISNUMBER(SEARCH("30",E183)),ISNUMBER(SEARCH("500",E183)),ISNUMBER(SEARCH("100",E183))),1,0.0001))),0))</f>
        <v/>
      </c>
      <c r="Q183" s="27" t="str">
        <f aca="false">IF(K183="","",SETTINGS!$B$6*O183)</f>
        <v/>
      </c>
      <c r="R183" s="24" t="str">
        <f aca="false">IF(K183="","",IFERROR(Q183/(P183*IF(ISNUMBER(SEARCH("JPY",E183)),9.09,IF(ISNUMBER(SEARCH("XAU",E183)),1,IF(OR(ISNUMBER(SEARCH("30",E183)),ISNUMBER(SEARCH("500",E183)),ISNUMBER(SEARCH("100",E183))),1,10)))),0))</f>
        <v/>
      </c>
      <c r="S183" s="12"/>
      <c r="T183" s="36"/>
      <c r="U183" s="27" t="str">
        <f aca="false">IF(OR(S183="",T183=0),"",IFERROR((S183-K183)*IF(F183="Sell",-1,1)*R183*T183*IF(ISNUMBER(SEARCH("JPY",E183)),1000,IF(ISNUMBER(SEARCH("XAU",E183)),100,IF(OR(ISNUMBER(SEARCH("30",E183)),ISNUMBER(SEARCH("500",E183)),ISNUMBER(SEARCH("100",E183))),100,100000))),0))</f>
        <v/>
      </c>
      <c r="V183" s="12"/>
      <c r="W183" s="36"/>
      <c r="X183" s="27" t="str">
        <f aca="false">IF(OR(V183="",W183=0),"",IFERROR((V183-K183)*IF(F183="Sell",-1,1)*R183*W183*IF(ISNUMBER(SEARCH("JPY",E183)),1000,IF(ISNUMBER(SEARCH("XAU",E183)),100,IF(OR(ISNUMBER(SEARCH("30",E183)),ISNUMBER(SEARCH("500",E183)),ISNUMBER(SEARCH("100",E183))),100,100000))),0))</f>
        <v/>
      </c>
      <c r="Y183" s="12"/>
      <c r="Z183" s="36"/>
      <c r="AA183" s="27" t="str">
        <f aca="false">IF(OR(Y183="",Z183=0),"",IFERROR((Y183-K183)*IF(F183="Sell",-1,1)*R183*Z183*IF(ISNUMBER(SEARCH("JPY",E183)),1000,IF(ISNUMBER(SEARCH("XAU",E183)),100,IF(OR(ISNUMBER(SEARCH("30",E183)),ISNUMBER(SEARCH("500",E183)),ISNUMBER(SEARCH("100",E183))),100,100000))),0))</f>
        <v/>
      </c>
      <c r="AB183" s="12"/>
      <c r="AC183" s="29" t="str">
        <f aca="false">IF(K183="","",1-IFERROR(T183,0)-IFERROR(W183,0)-IFERROR(Z183,0))</f>
        <v/>
      </c>
      <c r="AD183" s="30" t="str">
        <f aca="false">IF(AB183="","",IFERROR((IFERROR(S183*T183,0)+IFERROR(V183*W183,0)+IFERROR(Y183*Z183,0)+AB183*AC183)/(IFERROR(T183,0)+IFERROR(W183,0)+IFERROR(Z183,0)+AC183),AB183))</f>
        <v/>
      </c>
      <c r="AE183" s="27" t="str">
        <f aca="false">IF(AB183="","",IF(U183="",0,U183)+IF(X183="",0,X183)+IF(AA183="",0,AA183)+IFERROR((AB183-K183)*IF(F183="Sell",-1,1)*R183*AC183*IF(ISNUMBER(SEARCH("JPY",E183)),1000,IF(ISNUMBER(SEARCH("XAU",E183)),100,IF(OR(ISNUMBER(SEARCH("30",E183)),ISNUMBER(SEARCH("500",E183)),ISNUMBER(SEARCH("100",E183))),100,100000))),0))</f>
        <v/>
      </c>
      <c r="AF183" s="31" t="str">
        <f aca="false">IF(OR(K183="",M183="",L183=""),"",IFERROR(ABS(M183-K183)/ABS(K183-L183),0))</f>
        <v/>
      </c>
      <c r="AG183" s="31" t="str">
        <f aca="false">IF(OR(AE183="",AE183=0,Q183=0,Q183=""),"",IFERROR(AE183/Q183,0))</f>
        <v/>
      </c>
      <c r="AH183" s="32" t="str">
        <f aca="false">IF(AB183="","Open",IF(AG183="","Open",IF(AG183&gt;0.1,"Win",IF(AG183&lt;-0.1,"Loss","Breakeven"))))</f>
        <v>Open</v>
      </c>
      <c r="AI183" s="33" t="str">
        <f aca="false">IF(OR(B183="",D183=""),"",D183-B183)</f>
        <v/>
      </c>
      <c r="AJ183" s="24" t="str">
        <f aca="false">IF(AD183="","",IFERROR((AD183-K183)*IF(F183="Sell",-1,1)/IF(ISNUMBER(SEARCH("JPY",E183)),0.01,IF(ISNUMBER(SEARCH("XAU",E183)),0.01,IF(OR(ISNUMBER(SEARCH("30",E183)),ISNUMBER(SEARCH("500",E183)),ISNUMBER(SEARCH("100",E183))),1,0.0001))),0))</f>
        <v/>
      </c>
      <c r="AK183" s="12"/>
      <c r="AL183" s="12"/>
      <c r="AM183" s="12"/>
      <c r="AN183" s="12"/>
      <c r="AO183" s="27" t="str">
        <f aca="false">IF(AE183="","",IFERROR(IF(AO182="",SETTINGS!$B$6,AO182),SETTINGS!$B$6)+IF(AE183="",0,AE183))</f>
        <v/>
      </c>
      <c r="AP183" s="2"/>
    </row>
    <row r="184" customFormat="false" ht="15" hidden="false" customHeight="false" outlineLevel="0" collapsed="false">
      <c r="A184" s="24" t="str">
        <f aca="false">IF(B184="","",ROW()-3)</f>
        <v/>
      </c>
      <c r="B184" s="25"/>
      <c r="C184" s="10"/>
      <c r="D184" s="25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26"/>
      <c r="P184" s="24" t="str">
        <f aca="false">IF(K184="","",IFERROR(ABS(K184-L184)/IF(ISNUMBER(SEARCH("JPY",E184)),0.01,IF(ISNUMBER(SEARCH("XAU",E184)),0.01,IF(OR(ISNUMBER(SEARCH("30",E184)),ISNUMBER(SEARCH("500",E184)),ISNUMBER(SEARCH("100",E184))),1,0.0001))),0))</f>
        <v/>
      </c>
      <c r="Q184" s="27" t="str">
        <f aca="false">IF(K184="","",SETTINGS!$B$6*O184)</f>
        <v/>
      </c>
      <c r="R184" s="24" t="str">
        <f aca="false">IF(K184="","",IFERROR(Q184/(P184*IF(ISNUMBER(SEARCH("JPY",E184)),9.09,IF(ISNUMBER(SEARCH("XAU",E184)),1,IF(OR(ISNUMBER(SEARCH("30",E184)),ISNUMBER(SEARCH("500",E184)),ISNUMBER(SEARCH("100",E184))),1,10)))),0))</f>
        <v/>
      </c>
      <c r="S184" s="10"/>
      <c r="T184" s="28"/>
      <c r="U184" s="27" t="str">
        <f aca="false">IF(OR(S184="",T184=0),"",IFERROR((S184-K184)*IF(F184="Sell",-1,1)*R184*T184*IF(ISNUMBER(SEARCH("JPY",E184)),1000,IF(ISNUMBER(SEARCH("XAU",E184)),100,IF(OR(ISNUMBER(SEARCH("30",E184)),ISNUMBER(SEARCH("500",E184)),ISNUMBER(SEARCH("100",E184))),100,100000))),0))</f>
        <v/>
      </c>
      <c r="V184" s="10"/>
      <c r="W184" s="28"/>
      <c r="X184" s="27" t="str">
        <f aca="false">IF(OR(V184="",W184=0),"",IFERROR((V184-K184)*IF(F184="Sell",-1,1)*R184*W184*IF(ISNUMBER(SEARCH("JPY",E184)),1000,IF(ISNUMBER(SEARCH("XAU",E184)),100,IF(OR(ISNUMBER(SEARCH("30",E184)),ISNUMBER(SEARCH("500",E184)),ISNUMBER(SEARCH("100",E184))),100,100000))),0))</f>
        <v/>
      </c>
      <c r="Y184" s="10"/>
      <c r="Z184" s="28"/>
      <c r="AA184" s="27" t="str">
        <f aca="false">IF(OR(Y184="",Z184=0),"",IFERROR((Y184-K184)*IF(F184="Sell",-1,1)*R184*Z184*IF(ISNUMBER(SEARCH("JPY",E184)),1000,IF(ISNUMBER(SEARCH("XAU",E184)),100,IF(OR(ISNUMBER(SEARCH("30",E184)),ISNUMBER(SEARCH("500",E184)),ISNUMBER(SEARCH("100",E184))),100,100000))),0))</f>
        <v/>
      </c>
      <c r="AB184" s="10"/>
      <c r="AC184" s="29" t="str">
        <f aca="false">IF(K184="","",1-IFERROR(T184,0)-IFERROR(W184,0)-IFERROR(Z184,0))</f>
        <v/>
      </c>
      <c r="AD184" s="30" t="str">
        <f aca="false">IF(AB184="","",IFERROR((IFERROR(S184*T184,0)+IFERROR(V184*W184,0)+IFERROR(Y184*Z184,0)+AB184*AC184)/(IFERROR(T184,0)+IFERROR(W184,0)+IFERROR(Z184,0)+AC184),AB184))</f>
        <v/>
      </c>
      <c r="AE184" s="27" t="str">
        <f aca="false">IF(AB184="","",IF(U184="",0,U184)+IF(X184="",0,X184)+IF(AA184="",0,AA184)+IFERROR((AB184-K184)*IF(F184="Sell",-1,1)*R184*AC184*IF(ISNUMBER(SEARCH("JPY",E184)),1000,IF(ISNUMBER(SEARCH("XAU",E184)),100,IF(OR(ISNUMBER(SEARCH("30",E184)),ISNUMBER(SEARCH("500",E184)),ISNUMBER(SEARCH("100",E184))),100,100000))),0))</f>
        <v/>
      </c>
      <c r="AF184" s="31" t="str">
        <f aca="false">IF(OR(K184="",M184="",L184=""),"",IFERROR(ABS(M184-K184)/ABS(K184-L184),0))</f>
        <v/>
      </c>
      <c r="AG184" s="31" t="str">
        <f aca="false">IF(OR(AE184="",AE184=0,Q184=0,Q184=""),"",IFERROR(AE184/Q184,0))</f>
        <v/>
      </c>
      <c r="AH184" s="32" t="str">
        <f aca="false">IF(AB184="","Open",IF(AG184="","Open",IF(AG184&gt;0.1,"Win",IF(AG184&lt;-0.1,"Loss","Breakeven"))))</f>
        <v>Open</v>
      </c>
      <c r="AI184" s="33" t="str">
        <f aca="false">IF(OR(B184="",D184=""),"",D184-B184)</f>
        <v/>
      </c>
      <c r="AJ184" s="24" t="str">
        <f aca="false">IF(AD184="","",IFERROR((AD184-K184)*IF(F184="Sell",-1,1)/IF(ISNUMBER(SEARCH("JPY",E184)),0.01,IF(ISNUMBER(SEARCH("XAU",E184)),0.01,IF(OR(ISNUMBER(SEARCH("30",E184)),ISNUMBER(SEARCH("500",E184)),ISNUMBER(SEARCH("100",E184))),1,0.0001))),0))</f>
        <v/>
      </c>
      <c r="AK184" s="10"/>
      <c r="AL184" s="10"/>
      <c r="AM184" s="10"/>
      <c r="AN184" s="10"/>
      <c r="AO184" s="27" t="str">
        <f aca="false">IF(AE184="","",IFERROR(IF(AO183="",SETTINGS!$B$6,AO183),SETTINGS!$B$6)+IF(AE184="",0,AE184))</f>
        <v/>
      </c>
      <c r="AP184" s="2"/>
    </row>
    <row r="185" customFormat="false" ht="15" hidden="false" customHeight="false" outlineLevel="0" collapsed="false">
      <c r="A185" s="24" t="str">
        <f aca="false">IF(B185="","",ROW()-3)</f>
        <v/>
      </c>
      <c r="B185" s="34"/>
      <c r="C185" s="12"/>
      <c r="D185" s="34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35"/>
      <c r="P185" s="24" t="str">
        <f aca="false">IF(K185="","",IFERROR(ABS(K185-L185)/IF(ISNUMBER(SEARCH("JPY",E185)),0.01,IF(ISNUMBER(SEARCH("XAU",E185)),0.01,IF(OR(ISNUMBER(SEARCH("30",E185)),ISNUMBER(SEARCH("500",E185)),ISNUMBER(SEARCH("100",E185))),1,0.0001))),0))</f>
        <v/>
      </c>
      <c r="Q185" s="27" t="str">
        <f aca="false">IF(K185="","",SETTINGS!$B$6*O185)</f>
        <v/>
      </c>
      <c r="R185" s="24" t="str">
        <f aca="false">IF(K185="","",IFERROR(Q185/(P185*IF(ISNUMBER(SEARCH("JPY",E185)),9.09,IF(ISNUMBER(SEARCH("XAU",E185)),1,IF(OR(ISNUMBER(SEARCH("30",E185)),ISNUMBER(SEARCH("500",E185)),ISNUMBER(SEARCH("100",E185))),1,10)))),0))</f>
        <v/>
      </c>
      <c r="S185" s="12"/>
      <c r="T185" s="36"/>
      <c r="U185" s="27" t="str">
        <f aca="false">IF(OR(S185="",T185=0),"",IFERROR((S185-K185)*IF(F185="Sell",-1,1)*R185*T185*IF(ISNUMBER(SEARCH("JPY",E185)),1000,IF(ISNUMBER(SEARCH("XAU",E185)),100,IF(OR(ISNUMBER(SEARCH("30",E185)),ISNUMBER(SEARCH("500",E185)),ISNUMBER(SEARCH("100",E185))),100,100000))),0))</f>
        <v/>
      </c>
      <c r="V185" s="12"/>
      <c r="W185" s="36"/>
      <c r="X185" s="27" t="str">
        <f aca="false">IF(OR(V185="",W185=0),"",IFERROR((V185-K185)*IF(F185="Sell",-1,1)*R185*W185*IF(ISNUMBER(SEARCH("JPY",E185)),1000,IF(ISNUMBER(SEARCH("XAU",E185)),100,IF(OR(ISNUMBER(SEARCH("30",E185)),ISNUMBER(SEARCH("500",E185)),ISNUMBER(SEARCH("100",E185))),100,100000))),0))</f>
        <v/>
      </c>
      <c r="Y185" s="12"/>
      <c r="Z185" s="36"/>
      <c r="AA185" s="27" t="str">
        <f aca="false">IF(OR(Y185="",Z185=0),"",IFERROR((Y185-K185)*IF(F185="Sell",-1,1)*R185*Z185*IF(ISNUMBER(SEARCH("JPY",E185)),1000,IF(ISNUMBER(SEARCH("XAU",E185)),100,IF(OR(ISNUMBER(SEARCH("30",E185)),ISNUMBER(SEARCH("500",E185)),ISNUMBER(SEARCH("100",E185))),100,100000))),0))</f>
        <v/>
      </c>
      <c r="AB185" s="12"/>
      <c r="AC185" s="29" t="str">
        <f aca="false">IF(K185="","",1-IFERROR(T185,0)-IFERROR(W185,0)-IFERROR(Z185,0))</f>
        <v/>
      </c>
      <c r="AD185" s="30" t="str">
        <f aca="false">IF(AB185="","",IFERROR((IFERROR(S185*T185,0)+IFERROR(V185*W185,0)+IFERROR(Y185*Z185,0)+AB185*AC185)/(IFERROR(T185,0)+IFERROR(W185,0)+IFERROR(Z185,0)+AC185),AB185))</f>
        <v/>
      </c>
      <c r="AE185" s="27" t="str">
        <f aca="false">IF(AB185="","",IF(U185="",0,U185)+IF(X185="",0,X185)+IF(AA185="",0,AA185)+IFERROR((AB185-K185)*IF(F185="Sell",-1,1)*R185*AC185*IF(ISNUMBER(SEARCH("JPY",E185)),1000,IF(ISNUMBER(SEARCH("XAU",E185)),100,IF(OR(ISNUMBER(SEARCH("30",E185)),ISNUMBER(SEARCH("500",E185)),ISNUMBER(SEARCH("100",E185))),100,100000))),0))</f>
        <v/>
      </c>
      <c r="AF185" s="31" t="str">
        <f aca="false">IF(OR(K185="",M185="",L185=""),"",IFERROR(ABS(M185-K185)/ABS(K185-L185),0))</f>
        <v/>
      </c>
      <c r="AG185" s="31" t="str">
        <f aca="false">IF(OR(AE185="",AE185=0,Q185=0,Q185=""),"",IFERROR(AE185/Q185,0))</f>
        <v/>
      </c>
      <c r="AH185" s="32" t="str">
        <f aca="false">IF(AB185="","Open",IF(AG185="","Open",IF(AG185&gt;0.1,"Win",IF(AG185&lt;-0.1,"Loss","Breakeven"))))</f>
        <v>Open</v>
      </c>
      <c r="AI185" s="33" t="str">
        <f aca="false">IF(OR(B185="",D185=""),"",D185-B185)</f>
        <v/>
      </c>
      <c r="AJ185" s="24" t="str">
        <f aca="false">IF(AD185="","",IFERROR((AD185-K185)*IF(F185="Sell",-1,1)/IF(ISNUMBER(SEARCH("JPY",E185)),0.01,IF(ISNUMBER(SEARCH("XAU",E185)),0.01,IF(OR(ISNUMBER(SEARCH("30",E185)),ISNUMBER(SEARCH("500",E185)),ISNUMBER(SEARCH("100",E185))),1,0.0001))),0))</f>
        <v/>
      </c>
      <c r="AK185" s="12"/>
      <c r="AL185" s="12"/>
      <c r="AM185" s="12"/>
      <c r="AN185" s="12"/>
      <c r="AO185" s="27" t="str">
        <f aca="false">IF(AE185="","",IFERROR(IF(AO184="",SETTINGS!$B$6,AO184),SETTINGS!$B$6)+IF(AE185="",0,AE185))</f>
        <v/>
      </c>
      <c r="AP185" s="2"/>
    </row>
    <row r="186" customFormat="false" ht="15" hidden="false" customHeight="false" outlineLevel="0" collapsed="false">
      <c r="A186" s="24" t="str">
        <f aca="false">IF(B186="","",ROW()-3)</f>
        <v/>
      </c>
      <c r="B186" s="25"/>
      <c r="C186" s="10"/>
      <c r="D186" s="25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26"/>
      <c r="P186" s="24" t="str">
        <f aca="false">IF(K186="","",IFERROR(ABS(K186-L186)/IF(ISNUMBER(SEARCH("JPY",E186)),0.01,IF(ISNUMBER(SEARCH("XAU",E186)),0.01,IF(OR(ISNUMBER(SEARCH("30",E186)),ISNUMBER(SEARCH("500",E186)),ISNUMBER(SEARCH("100",E186))),1,0.0001))),0))</f>
        <v/>
      </c>
      <c r="Q186" s="27" t="str">
        <f aca="false">IF(K186="","",SETTINGS!$B$6*O186)</f>
        <v/>
      </c>
      <c r="R186" s="24" t="str">
        <f aca="false">IF(K186="","",IFERROR(Q186/(P186*IF(ISNUMBER(SEARCH("JPY",E186)),9.09,IF(ISNUMBER(SEARCH("XAU",E186)),1,IF(OR(ISNUMBER(SEARCH("30",E186)),ISNUMBER(SEARCH("500",E186)),ISNUMBER(SEARCH("100",E186))),1,10)))),0))</f>
        <v/>
      </c>
      <c r="S186" s="10"/>
      <c r="T186" s="28"/>
      <c r="U186" s="27" t="str">
        <f aca="false">IF(OR(S186="",T186=0),"",IFERROR((S186-K186)*IF(F186="Sell",-1,1)*R186*T186*IF(ISNUMBER(SEARCH("JPY",E186)),1000,IF(ISNUMBER(SEARCH("XAU",E186)),100,IF(OR(ISNUMBER(SEARCH("30",E186)),ISNUMBER(SEARCH("500",E186)),ISNUMBER(SEARCH("100",E186))),100,100000))),0))</f>
        <v/>
      </c>
      <c r="V186" s="10"/>
      <c r="W186" s="28"/>
      <c r="X186" s="27" t="str">
        <f aca="false">IF(OR(V186="",W186=0),"",IFERROR((V186-K186)*IF(F186="Sell",-1,1)*R186*W186*IF(ISNUMBER(SEARCH("JPY",E186)),1000,IF(ISNUMBER(SEARCH("XAU",E186)),100,IF(OR(ISNUMBER(SEARCH("30",E186)),ISNUMBER(SEARCH("500",E186)),ISNUMBER(SEARCH("100",E186))),100,100000))),0))</f>
        <v/>
      </c>
      <c r="Y186" s="10"/>
      <c r="Z186" s="28"/>
      <c r="AA186" s="27" t="str">
        <f aca="false">IF(OR(Y186="",Z186=0),"",IFERROR((Y186-K186)*IF(F186="Sell",-1,1)*R186*Z186*IF(ISNUMBER(SEARCH("JPY",E186)),1000,IF(ISNUMBER(SEARCH("XAU",E186)),100,IF(OR(ISNUMBER(SEARCH("30",E186)),ISNUMBER(SEARCH("500",E186)),ISNUMBER(SEARCH("100",E186))),100,100000))),0))</f>
        <v/>
      </c>
      <c r="AB186" s="10"/>
      <c r="AC186" s="29" t="str">
        <f aca="false">IF(K186="","",1-IFERROR(T186,0)-IFERROR(W186,0)-IFERROR(Z186,0))</f>
        <v/>
      </c>
      <c r="AD186" s="30" t="str">
        <f aca="false">IF(AB186="","",IFERROR((IFERROR(S186*T186,0)+IFERROR(V186*W186,0)+IFERROR(Y186*Z186,0)+AB186*AC186)/(IFERROR(T186,0)+IFERROR(W186,0)+IFERROR(Z186,0)+AC186),AB186))</f>
        <v/>
      </c>
      <c r="AE186" s="27" t="str">
        <f aca="false">IF(AB186="","",IF(U186="",0,U186)+IF(X186="",0,X186)+IF(AA186="",0,AA186)+IFERROR((AB186-K186)*IF(F186="Sell",-1,1)*R186*AC186*IF(ISNUMBER(SEARCH("JPY",E186)),1000,IF(ISNUMBER(SEARCH("XAU",E186)),100,IF(OR(ISNUMBER(SEARCH("30",E186)),ISNUMBER(SEARCH("500",E186)),ISNUMBER(SEARCH("100",E186))),100,100000))),0))</f>
        <v/>
      </c>
      <c r="AF186" s="31" t="str">
        <f aca="false">IF(OR(K186="",M186="",L186=""),"",IFERROR(ABS(M186-K186)/ABS(K186-L186),0))</f>
        <v/>
      </c>
      <c r="AG186" s="31" t="str">
        <f aca="false">IF(OR(AE186="",AE186=0,Q186=0,Q186=""),"",IFERROR(AE186/Q186,0))</f>
        <v/>
      </c>
      <c r="AH186" s="32" t="str">
        <f aca="false">IF(AB186="","Open",IF(AG186="","Open",IF(AG186&gt;0.1,"Win",IF(AG186&lt;-0.1,"Loss","Breakeven"))))</f>
        <v>Open</v>
      </c>
      <c r="AI186" s="33" t="str">
        <f aca="false">IF(OR(B186="",D186=""),"",D186-B186)</f>
        <v/>
      </c>
      <c r="AJ186" s="24" t="str">
        <f aca="false">IF(AD186="","",IFERROR((AD186-K186)*IF(F186="Sell",-1,1)/IF(ISNUMBER(SEARCH("JPY",E186)),0.01,IF(ISNUMBER(SEARCH("XAU",E186)),0.01,IF(OR(ISNUMBER(SEARCH("30",E186)),ISNUMBER(SEARCH("500",E186)),ISNUMBER(SEARCH("100",E186))),1,0.0001))),0))</f>
        <v/>
      </c>
      <c r="AK186" s="10"/>
      <c r="AL186" s="10"/>
      <c r="AM186" s="10"/>
      <c r="AN186" s="10"/>
      <c r="AO186" s="27" t="str">
        <f aca="false">IF(AE186="","",IFERROR(IF(AO185="",SETTINGS!$B$6,AO185),SETTINGS!$B$6)+IF(AE186="",0,AE186))</f>
        <v/>
      </c>
      <c r="AP186" s="2"/>
    </row>
    <row r="187" customFormat="false" ht="15" hidden="false" customHeight="false" outlineLevel="0" collapsed="false">
      <c r="A187" s="24" t="str">
        <f aca="false">IF(B187="","",ROW()-3)</f>
        <v/>
      </c>
      <c r="B187" s="34"/>
      <c r="C187" s="12"/>
      <c r="D187" s="34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35"/>
      <c r="P187" s="24" t="str">
        <f aca="false">IF(K187="","",IFERROR(ABS(K187-L187)/IF(ISNUMBER(SEARCH("JPY",E187)),0.01,IF(ISNUMBER(SEARCH("XAU",E187)),0.01,IF(OR(ISNUMBER(SEARCH("30",E187)),ISNUMBER(SEARCH("500",E187)),ISNUMBER(SEARCH("100",E187))),1,0.0001))),0))</f>
        <v/>
      </c>
      <c r="Q187" s="27" t="str">
        <f aca="false">IF(K187="","",SETTINGS!$B$6*O187)</f>
        <v/>
      </c>
      <c r="R187" s="24" t="str">
        <f aca="false">IF(K187="","",IFERROR(Q187/(P187*IF(ISNUMBER(SEARCH("JPY",E187)),9.09,IF(ISNUMBER(SEARCH("XAU",E187)),1,IF(OR(ISNUMBER(SEARCH("30",E187)),ISNUMBER(SEARCH("500",E187)),ISNUMBER(SEARCH("100",E187))),1,10)))),0))</f>
        <v/>
      </c>
      <c r="S187" s="12"/>
      <c r="T187" s="36"/>
      <c r="U187" s="27" t="str">
        <f aca="false">IF(OR(S187="",T187=0),"",IFERROR((S187-K187)*IF(F187="Sell",-1,1)*R187*T187*IF(ISNUMBER(SEARCH("JPY",E187)),1000,IF(ISNUMBER(SEARCH("XAU",E187)),100,IF(OR(ISNUMBER(SEARCH("30",E187)),ISNUMBER(SEARCH("500",E187)),ISNUMBER(SEARCH("100",E187))),100,100000))),0))</f>
        <v/>
      </c>
      <c r="V187" s="12"/>
      <c r="W187" s="36"/>
      <c r="X187" s="27" t="str">
        <f aca="false">IF(OR(V187="",W187=0),"",IFERROR((V187-K187)*IF(F187="Sell",-1,1)*R187*W187*IF(ISNUMBER(SEARCH("JPY",E187)),1000,IF(ISNUMBER(SEARCH("XAU",E187)),100,IF(OR(ISNUMBER(SEARCH("30",E187)),ISNUMBER(SEARCH("500",E187)),ISNUMBER(SEARCH("100",E187))),100,100000))),0))</f>
        <v/>
      </c>
      <c r="Y187" s="12"/>
      <c r="Z187" s="36"/>
      <c r="AA187" s="27" t="str">
        <f aca="false">IF(OR(Y187="",Z187=0),"",IFERROR((Y187-K187)*IF(F187="Sell",-1,1)*R187*Z187*IF(ISNUMBER(SEARCH("JPY",E187)),1000,IF(ISNUMBER(SEARCH("XAU",E187)),100,IF(OR(ISNUMBER(SEARCH("30",E187)),ISNUMBER(SEARCH("500",E187)),ISNUMBER(SEARCH("100",E187))),100,100000))),0))</f>
        <v/>
      </c>
      <c r="AB187" s="12"/>
      <c r="AC187" s="29" t="str">
        <f aca="false">IF(K187="","",1-IFERROR(T187,0)-IFERROR(W187,0)-IFERROR(Z187,0))</f>
        <v/>
      </c>
      <c r="AD187" s="30" t="str">
        <f aca="false">IF(AB187="","",IFERROR((IFERROR(S187*T187,0)+IFERROR(V187*W187,0)+IFERROR(Y187*Z187,0)+AB187*AC187)/(IFERROR(T187,0)+IFERROR(W187,0)+IFERROR(Z187,0)+AC187),AB187))</f>
        <v/>
      </c>
      <c r="AE187" s="27" t="str">
        <f aca="false">IF(AB187="","",IF(U187="",0,U187)+IF(X187="",0,X187)+IF(AA187="",0,AA187)+IFERROR((AB187-K187)*IF(F187="Sell",-1,1)*R187*AC187*IF(ISNUMBER(SEARCH("JPY",E187)),1000,IF(ISNUMBER(SEARCH("XAU",E187)),100,IF(OR(ISNUMBER(SEARCH("30",E187)),ISNUMBER(SEARCH("500",E187)),ISNUMBER(SEARCH("100",E187))),100,100000))),0))</f>
        <v/>
      </c>
      <c r="AF187" s="31" t="str">
        <f aca="false">IF(OR(K187="",M187="",L187=""),"",IFERROR(ABS(M187-K187)/ABS(K187-L187),0))</f>
        <v/>
      </c>
      <c r="AG187" s="31" t="str">
        <f aca="false">IF(OR(AE187="",AE187=0,Q187=0,Q187=""),"",IFERROR(AE187/Q187,0))</f>
        <v/>
      </c>
      <c r="AH187" s="32" t="str">
        <f aca="false">IF(AB187="","Open",IF(AG187="","Open",IF(AG187&gt;0.1,"Win",IF(AG187&lt;-0.1,"Loss","Breakeven"))))</f>
        <v>Open</v>
      </c>
      <c r="AI187" s="33" t="str">
        <f aca="false">IF(OR(B187="",D187=""),"",D187-B187)</f>
        <v/>
      </c>
      <c r="AJ187" s="24" t="str">
        <f aca="false">IF(AD187="","",IFERROR((AD187-K187)*IF(F187="Sell",-1,1)/IF(ISNUMBER(SEARCH("JPY",E187)),0.01,IF(ISNUMBER(SEARCH("XAU",E187)),0.01,IF(OR(ISNUMBER(SEARCH("30",E187)),ISNUMBER(SEARCH("500",E187)),ISNUMBER(SEARCH("100",E187))),1,0.0001))),0))</f>
        <v/>
      </c>
      <c r="AK187" s="12"/>
      <c r="AL187" s="12"/>
      <c r="AM187" s="12"/>
      <c r="AN187" s="12"/>
      <c r="AO187" s="27" t="str">
        <f aca="false">IF(AE187="","",IFERROR(IF(AO186="",SETTINGS!$B$6,AO186),SETTINGS!$B$6)+IF(AE187="",0,AE187))</f>
        <v/>
      </c>
      <c r="AP187" s="2"/>
    </row>
    <row r="188" customFormat="false" ht="15" hidden="false" customHeight="false" outlineLevel="0" collapsed="false">
      <c r="A188" s="24" t="str">
        <f aca="false">IF(B188="","",ROW()-3)</f>
        <v/>
      </c>
      <c r="B188" s="25"/>
      <c r="C188" s="10"/>
      <c r="D188" s="25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26"/>
      <c r="P188" s="24" t="str">
        <f aca="false">IF(K188="","",IFERROR(ABS(K188-L188)/IF(ISNUMBER(SEARCH("JPY",E188)),0.01,IF(ISNUMBER(SEARCH("XAU",E188)),0.01,IF(OR(ISNUMBER(SEARCH("30",E188)),ISNUMBER(SEARCH("500",E188)),ISNUMBER(SEARCH("100",E188))),1,0.0001))),0))</f>
        <v/>
      </c>
      <c r="Q188" s="27" t="str">
        <f aca="false">IF(K188="","",SETTINGS!$B$6*O188)</f>
        <v/>
      </c>
      <c r="R188" s="24" t="str">
        <f aca="false">IF(K188="","",IFERROR(Q188/(P188*IF(ISNUMBER(SEARCH("JPY",E188)),9.09,IF(ISNUMBER(SEARCH("XAU",E188)),1,IF(OR(ISNUMBER(SEARCH("30",E188)),ISNUMBER(SEARCH("500",E188)),ISNUMBER(SEARCH("100",E188))),1,10)))),0))</f>
        <v/>
      </c>
      <c r="S188" s="10"/>
      <c r="T188" s="28"/>
      <c r="U188" s="27" t="str">
        <f aca="false">IF(OR(S188="",T188=0),"",IFERROR((S188-K188)*IF(F188="Sell",-1,1)*R188*T188*IF(ISNUMBER(SEARCH("JPY",E188)),1000,IF(ISNUMBER(SEARCH("XAU",E188)),100,IF(OR(ISNUMBER(SEARCH("30",E188)),ISNUMBER(SEARCH("500",E188)),ISNUMBER(SEARCH("100",E188))),100,100000))),0))</f>
        <v/>
      </c>
      <c r="V188" s="10"/>
      <c r="W188" s="28"/>
      <c r="X188" s="27" t="str">
        <f aca="false">IF(OR(V188="",W188=0),"",IFERROR((V188-K188)*IF(F188="Sell",-1,1)*R188*W188*IF(ISNUMBER(SEARCH("JPY",E188)),1000,IF(ISNUMBER(SEARCH("XAU",E188)),100,IF(OR(ISNUMBER(SEARCH("30",E188)),ISNUMBER(SEARCH("500",E188)),ISNUMBER(SEARCH("100",E188))),100,100000))),0))</f>
        <v/>
      </c>
      <c r="Y188" s="10"/>
      <c r="Z188" s="28"/>
      <c r="AA188" s="27" t="str">
        <f aca="false">IF(OR(Y188="",Z188=0),"",IFERROR((Y188-K188)*IF(F188="Sell",-1,1)*R188*Z188*IF(ISNUMBER(SEARCH("JPY",E188)),1000,IF(ISNUMBER(SEARCH("XAU",E188)),100,IF(OR(ISNUMBER(SEARCH("30",E188)),ISNUMBER(SEARCH("500",E188)),ISNUMBER(SEARCH("100",E188))),100,100000))),0))</f>
        <v/>
      </c>
      <c r="AB188" s="10"/>
      <c r="AC188" s="29" t="str">
        <f aca="false">IF(K188="","",1-IFERROR(T188,0)-IFERROR(W188,0)-IFERROR(Z188,0))</f>
        <v/>
      </c>
      <c r="AD188" s="30" t="str">
        <f aca="false">IF(AB188="","",IFERROR((IFERROR(S188*T188,0)+IFERROR(V188*W188,0)+IFERROR(Y188*Z188,0)+AB188*AC188)/(IFERROR(T188,0)+IFERROR(W188,0)+IFERROR(Z188,0)+AC188),AB188))</f>
        <v/>
      </c>
      <c r="AE188" s="27" t="str">
        <f aca="false">IF(AB188="","",IF(U188="",0,U188)+IF(X188="",0,X188)+IF(AA188="",0,AA188)+IFERROR((AB188-K188)*IF(F188="Sell",-1,1)*R188*AC188*IF(ISNUMBER(SEARCH("JPY",E188)),1000,IF(ISNUMBER(SEARCH("XAU",E188)),100,IF(OR(ISNUMBER(SEARCH("30",E188)),ISNUMBER(SEARCH("500",E188)),ISNUMBER(SEARCH("100",E188))),100,100000))),0))</f>
        <v/>
      </c>
      <c r="AF188" s="31" t="str">
        <f aca="false">IF(OR(K188="",M188="",L188=""),"",IFERROR(ABS(M188-K188)/ABS(K188-L188),0))</f>
        <v/>
      </c>
      <c r="AG188" s="31" t="str">
        <f aca="false">IF(OR(AE188="",AE188=0,Q188=0,Q188=""),"",IFERROR(AE188/Q188,0))</f>
        <v/>
      </c>
      <c r="AH188" s="32" t="str">
        <f aca="false">IF(AB188="","Open",IF(AG188="","Open",IF(AG188&gt;0.1,"Win",IF(AG188&lt;-0.1,"Loss","Breakeven"))))</f>
        <v>Open</v>
      </c>
      <c r="AI188" s="33" t="str">
        <f aca="false">IF(OR(B188="",D188=""),"",D188-B188)</f>
        <v/>
      </c>
      <c r="AJ188" s="24" t="str">
        <f aca="false">IF(AD188="","",IFERROR((AD188-K188)*IF(F188="Sell",-1,1)/IF(ISNUMBER(SEARCH("JPY",E188)),0.01,IF(ISNUMBER(SEARCH("XAU",E188)),0.01,IF(OR(ISNUMBER(SEARCH("30",E188)),ISNUMBER(SEARCH("500",E188)),ISNUMBER(SEARCH("100",E188))),1,0.0001))),0))</f>
        <v/>
      </c>
      <c r="AK188" s="10"/>
      <c r="AL188" s="10"/>
      <c r="AM188" s="10"/>
      <c r="AN188" s="10"/>
      <c r="AO188" s="27" t="str">
        <f aca="false">IF(AE188="","",IFERROR(IF(AO187="",SETTINGS!$B$6,AO187),SETTINGS!$B$6)+IF(AE188="",0,AE188))</f>
        <v/>
      </c>
      <c r="AP188" s="2"/>
    </row>
    <row r="189" customFormat="false" ht="15" hidden="false" customHeight="false" outlineLevel="0" collapsed="false">
      <c r="A189" s="24" t="str">
        <f aca="false">IF(B189="","",ROW()-3)</f>
        <v/>
      </c>
      <c r="B189" s="34"/>
      <c r="C189" s="12"/>
      <c r="D189" s="34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35"/>
      <c r="P189" s="24" t="str">
        <f aca="false">IF(K189="","",IFERROR(ABS(K189-L189)/IF(ISNUMBER(SEARCH("JPY",E189)),0.01,IF(ISNUMBER(SEARCH("XAU",E189)),0.01,IF(OR(ISNUMBER(SEARCH("30",E189)),ISNUMBER(SEARCH("500",E189)),ISNUMBER(SEARCH("100",E189))),1,0.0001))),0))</f>
        <v/>
      </c>
      <c r="Q189" s="27" t="str">
        <f aca="false">IF(K189="","",SETTINGS!$B$6*O189)</f>
        <v/>
      </c>
      <c r="R189" s="24" t="str">
        <f aca="false">IF(K189="","",IFERROR(Q189/(P189*IF(ISNUMBER(SEARCH("JPY",E189)),9.09,IF(ISNUMBER(SEARCH("XAU",E189)),1,IF(OR(ISNUMBER(SEARCH("30",E189)),ISNUMBER(SEARCH("500",E189)),ISNUMBER(SEARCH("100",E189))),1,10)))),0))</f>
        <v/>
      </c>
      <c r="S189" s="12"/>
      <c r="T189" s="36"/>
      <c r="U189" s="27" t="str">
        <f aca="false">IF(OR(S189="",T189=0),"",IFERROR((S189-K189)*IF(F189="Sell",-1,1)*R189*T189*IF(ISNUMBER(SEARCH("JPY",E189)),1000,IF(ISNUMBER(SEARCH("XAU",E189)),100,IF(OR(ISNUMBER(SEARCH("30",E189)),ISNUMBER(SEARCH("500",E189)),ISNUMBER(SEARCH("100",E189))),100,100000))),0))</f>
        <v/>
      </c>
      <c r="V189" s="12"/>
      <c r="W189" s="36"/>
      <c r="X189" s="27" t="str">
        <f aca="false">IF(OR(V189="",W189=0),"",IFERROR((V189-K189)*IF(F189="Sell",-1,1)*R189*W189*IF(ISNUMBER(SEARCH("JPY",E189)),1000,IF(ISNUMBER(SEARCH("XAU",E189)),100,IF(OR(ISNUMBER(SEARCH("30",E189)),ISNUMBER(SEARCH("500",E189)),ISNUMBER(SEARCH("100",E189))),100,100000))),0))</f>
        <v/>
      </c>
      <c r="Y189" s="12"/>
      <c r="Z189" s="36"/>
      <c r="AA189" s="27" t="str">
        <f aca="false">IF(OR(Y189="",Z189=0),"",IFERROR((Y189-K189)*IF(F189="Sell",-1,1)*R189*Z189*IF(ISNUMBER(SEARCH("JPY",E189)),1000,IF(ISNUMBER(SEARCH("XAU",E189)),100,IF(OR(ISNUMBER(SEARCH("30",E189)),ISNUMBER(SEARCH("500",E189)),ISNUMBER(SEARCH("100",E189))),100,100000))),0))</f>
        <v/>
      </c>
      <c r="AB189" s="12"/>
      <c r="AC189" s="29" t="str">
        <f aca="false">IF(K189="","",1-IFERROR(T189,0)-IFERROR(W189,0)-IFERROR(Z189,0))</f>
        <v/>
      </c>
      <c r="AD189" s="30" t="str">
        <f aca="false">IF(AB189="","",IFERROR((IFERROR(S189*T189,0)+IFERROR(V189*W189,0)+IFERROR(Y189*Z189,0)+AB189*AC189)/(IFERROR(T189,0)+IFERROR(W189,0)+IFERROR(Z189,0)+AC189),AB189))</f>
        <v/>
      </c>
      <c r="AE189" s="27" t="str">
        <f aca="false">IF(AB189="","",IF(U189="",0,U189)+IF(X189="",0,X189)+IF(AA189="",0,AA189)+IFERROR((AB189-K189)*IF(F189="Sell",-1,1)*R189*AC189*IF(ISNUMBER(SEARCH("JPY",E189)),1000,IF(ISNUMBER(SEARCH("XAU",E189)),100,IF(OR(ISNUMBER(SEARCH("30",E189)),ISNUMBER(SEARCH("500",E189)),ISNUMBER(SEARCH("100",E189))),100,100000))),0))</f>
        <v/>
      </c>
      <c r="AF189" s="31" t="str">
        <f aca="false">IF(OR(K189="",M189="",L189=""),"",IFERROR(ABS(M189-K189)/ABS(K189-L189),0))</f>
        <v/>
      </c>
      <c r="AG189" s="31" t="str">
        <f aca="false">IF(OR(AE189="",AE189=0,Q189=0,Q189=""),"",IFERROR(AE189/Q189,0))</f>
        <v/>
      </c>
      <c r="AH189" s="32" t="str">
        <f aca="false">IF(AB189="","Open",IF(AG189="","Open",IF(AG189&gt;0.1,"Win",IF(AG189&lt;-0.1,"Loss","Breakeven"))))</f>
        <v>Open</v>
      </c>
      <c r="AI189" s="33" t="str">
        <f aca="false">IF(OR(B189="",D189=""),"",D189-B189)</f>
        <v/>
      </c>
      <c r="AJ189" s="24" t="str">
        <f aca="false">IF(AD189="","",IFERROR((AD189-K189)*IF(F189="Sell",-1,1)/IF(ISNUMBER(SEARCH("JPY",E189)),0.01,IF(ISNUMBER(SEARCH("XAU",E189)),0.01,IF(OR(ISNUMBER(SEARCH("30",E189)),ISNUMBER(SEARCH("500",E189)),ISNUMBER(SEARCH("100",E189))),1,0.0001))),0))</f>
        <v/>
      </c>
      <c r="AK189" s="12"/>
      <c r="AL189" s="12"/>
      <c r="AM189" s="12"/>
      <c r="AN189" s="12"/>
      <c r="AO189" s="27" t="str">
        <f aca="false">IF(AE189="","",IFERROR(IF(AO188="",SETTINGS!$B$6,AO188),SETTINGS!$B$6)+IF(AE189="",0,AE189))</f>
        <v/>
      </c>
      <c r="AP189" s="2"/>
    </row>
    <row r="190" customFormat="false" ht="15" hidden="false" customHeight="false" outlineLevel="0" collapsed="false">
      <c r="A190" s="24" t="str">
        <f aca="false">IF(B190="","",ROW()-3)</f>
        <v/>
      </c>
      <c r="B190" s="25"/>
      <c r="C190" s="10"/>
      <c r="D190" s="25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6"/>
      <c r="P190" s="24" t="str">
        <f aca="false">IF(K190="","",IFERROR(ABS(K190-L190)/IF(ISNUMBER(SEARCH("JPY",E190)),0.01,IF(ISNUMBER(SEARCH("XAU",E190)),0.01,IF(OR(ISNUMBER(SEARCH("30",E190)),ISNUMBER(SEARCH("500",E190)),ISNUMBER(SEARCH("100",E190))),1,0.0001))),0))</f>
        <v/>
      </c>
      <c r="Q190" s="27" t="str">
        <f aca="false">IF(K190="","",SETTINGS!$B$6*O190)</f>
        <v/>
      </c>
      <c r="R190" s="24" t="str">
        <f aca="false">IF(K190="","",IFERROR(Q190/(P190*IF(ISNUMBER(SEARCH("JPY",E190)),9.09,IF(ISNUMBER(SEARCH("XAU",E190)),1,IF(OR(ISNUMBER(SEARCH("30",E190)),ISNUMBER(SEARCH("500",E190)),ISNUMBER(SEARCH("100",E190))),1,10)))),0))</f>
        <v/>
      </c>
      <c r="S190" s="10"/>
      <c r="T190" s="28"/>
      <c r="U190" s="27" t="str">
        <f aca="false">IF(OR(S190="",T190=0),"",IFERROR((S190-K190)*IF(F190="Sell",-1,1)*R190*T190*IF(ISNUMBER(SEARCH("JPY",E190)),1000,IF(ISNUMBER(SEARCH("XAU",E190)),100,IF(OR(ISNUMBER(SEARCH("30",E190)),ISNUMBER(SEARCH("500",E190)),ISNUMBER(SEARCH("100",E190))),100,100000))),0))</f>
        <v/>
      </c>
      <c r="V190" s="10"/>
      <c r="W190" s="28"/>
      <c r="X190" s="27" t="str">
        <f aca="false">IF(OR(V190="",W190=0),"",IFERROR((V190-K190)*IF(F190="Sell",-1,1)*R190*W190*IF(ISNUMBER(SEARCH("JPY",E190)),1000,IF(ISNUMBER(SEARCH("XAU",E190)),100,IF(OR(ISNUMBER(SEARCH("30",E190)),ISNUMBER(SEARCH("500",E190)),ISNUMBER(SEARCH("100",E190))),100,100000))),0))</f>
        <v/>
      </c>
      <c r="Y190" s="10"/>
      <c r="Z190" s="28"/>
      <c r="AA190" s="27" t="str">
        <f aca="false">IF(OR(Y190="",Z190=0),"",IFERROR((Y190-K190)*IF(F190="Sell",-1,1)*R190*Z190*IF(ISNUMBER(SEARCH("JPY",E190)),1000,IF(ISNUMBER(SEARCH("XAU",E190)),100,IF(OR(ISNUMBER(SEARCH("30",E190)),ISNUMBER(SEARCH("500",E190)),ISNUMBER(SEARCH("100",E190))),100,100000))),0))</f>
        <v/>
      </c>
      <c r="AB190" s="10"/>
      <c r="AC190" s="29" t="str">
        <f aca="false">IF(K190="","",1-IFERROR(T190,0)-IFERROR(W190,0)-IFERROR(Z190,0))</f>
        <v/>
      </c>
      <c r="AD190" s="30" t="str">
        <f aca="false">IF(AB190="","",IFERROR((IFERROR(S190*T190,0)+IFERROR(V190*W190,0)+IFERROR(Y190*Z190,0)+AB190*AC190)/(IFERROR(T190,0)+IFERROR(W190,0)+IFERROR(Z190,0)+AC190),AB190))</f>
        <v/>
      </c>
      <c r="AE190" s="27" t="str">
        <f aca="false">IF(AB190="","",IF(U190="",0,U190)+IF(X190="",0,X190)+IF(AA190="",0,AA190)+IFERROR((AB190-K190)*IF(F190="Sell",-1,1)*R190*AC190*IF(ISNUMBER(SEARCH("JPY",E190)),1000,IF(ISNUMBER(SEARCH("XAU",E190)),100,IF(OR(ISNUMBER(SEARCH("30",E190)),ISNUMBER(SEARCH("500",E190)),ISNUMBER(SEARCH("100",E190))),100,100000))),0))</f>
        <v/>
      </c>
      <c r="AF190" s="31" t="str">
        <f aca="false">IF(OR(K190="",M190="",L190=""),"",IFERROR(ABS(M190-K190)/ABS(K190-L190),0))</f>
        <v/>
      </c>
      <c r="AG190" s="31" t="str">
        <f aca="false">IF(OR(AE190="",AE190=0,Q190=0,Q190=""),"",IFERROR(AE190/Q190,0))</f>
        <v/>
      </c>
      <c r="AH190" s="32" t="str">
        <f aca="false">IF(AB190="","Open",IF(AG190="","Open",IF(AG190&gt;0.1,"Win",IF(AG190&lt;-0.1,"Loss","Breakeven"))))</f>
        <v>Open</v>
      </c>
      <c r="AI190" s="33" t="str">
        <f aca="false">IF(OR(B190="",D190=""),"",D190-B190)</f>
        <v/>
      </c>
      <c r="AJ190" s="24" t="str">
        <f aca="false">IF(AD190="","",IFERROR((AD190-K190)*IF(F190="Sell",-1,1)/IF(ISNUMBER(SEARCH("JPY",E190)),0.01,IF(ISNUMBER(SEARCH("XAU",E190)),0.01,IF(OR(ISNUMBER(SEARCH("30",E190)),ISNUMBER(SEARCH("500",E190)),ISNUMBER(SEARCH("100",E190))),1,0.0001))),0))</f>
        <v/>
      </c>
      <c r="AK190" s="10"/>
      <c r="AL190" s="10"/>
      <c r="AM190" s="10"/>
      <c r="AN190" s="10"/>
      <c r="AO190" s="27" t="str">
        <f aca="false">IF(AE190="","",IFERROR(IF(AO189="",SETTINGS!$B$6,AO189),SETTINGS!$B$6)+IF(AE190="",0,AE190))</f>
        <v/>
      </c>
      <c r="AP190" s="2"/>
    </row>
    <row r="191" customFormat="false" ht="15" hidden="false" customHeight="false" outlineLevel="0" collapsed="false">
      <c r="A191" s="24" t="str">
        <f aca="false">IF(B191="","",ROW()-3)</f>
        <v/>
      </c>
      <c r="B191" s="34"/>
      <c r="C191" s="12"/>
      <c r="D191" s="34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35"/>
      <c r="P191" s="24" t="str">
        <f aca="false">IF(K191="","",IFERROR(ABS(K191-L191)/IF(ISNUMBER(SEARCH("JPY",E191)),0.01,IF(ISNUMBER(SEARCH("XAU",E191)),0.01,IF(OR(ISNUMBER(SEARCH("30",E191)),ISNUMBER(SEARCH("500",E191)),ISNUMBER(SEARCH("100",E191))),1,0.0001))),0))</f>
        <v/>
      </c>
      <c r="Q191" s="27" t="str">
        <f aca="false">IF(K191="","",SETTINGS!$B$6*O191)</f>
        <v/>
      </c>
      <c r="R191" s="24" t="str">
        <f aca="false">IF(K191="","",IFERROR(Q191/(P191*IF(ISNUMBER(SEARCH("JPY",E191)),9.09,IF(ISNUMBER(SEARCH("XAU",E191)),1,IF(OR(ISNUMBER(SEARCH("30",E191)),ISNUMBER(SEARCH("500",E191)),ISNUMBER(SEARCH("100",E191))),1,10)))),0))</f>
        <v/>
      </c>
      <c r="S191" s="12"/>
      <c r="T191" s="36"/>
      <c r="U191" s="27" t="str">
        <f aca="false">IF(OR(S191="",T191=0),"",IFERROR((S191-K191)*IF(F191="Sell",-1,1)*R191*T191*IF(ISNUMBER(SEARCH("JPY",E191)),1000,IF(ISNUMBER(SEARCH("XAU",E191)),100,IF(OR(ISNUMBER(SEARCH("30",E191)),ISNUMBER(SEARCH("500",E191)),ISNUMBER(SEARCH("100",E191))),100,100000))),0))</f>
        <v/>
      </c>
      <c r="V191" s="12"/>
      <c r="W191" s="36"/>
      <c r="X191" s="27" t="str">
        <f aca="false">IF(OR(V191="",W191=0),"",IFERROR((V191-K191)*IF(F191="Sell",-1,1)*R191*W191*IF(ISNUMBER(SEARCH("JPY",E191)),1000,IF(ISNUMBER(SEARCH("XAU",E191)),100,IF(OR(ISNUMBER(SEARCH("30",E191)),ISNUMBER(SEARCH("500",E191)),ISNUMBER(SEARCH("100",E191))),100,100000))),0))</f>
        <v/>
      </c>
      <c r="Y191" s="12"/>
      <c r="Z191" s="36"/>
      <c r="AA191" s="27" t="str">
        <f aca="false">IF(OR(Y191="",Z191=0),"",IFERROR((Y191-K191)*IF(F191="Sell",-1,1)*R191*Z191*IF(ISNUMBER(SEARCH("JPY",E191)),1000,IF(ISNUMBER(SEARCH("XAU",E191)),100,IF(OR(ISNUMBER(SEARCH("30",E191)),ISNUMBER(SEARCH("500",E191)),ISNUMBER(SEARCH("100",E191))),100,100000))),0))</f>
        <v/>
      </c>
      <c r="AB191" s="12"/>
      <c r="AC191" s="29" t="str">
        <f aca="false">IF(K191="","",1-IFERROR(T191,0)-IFERROR(W191,0)-IFERROR(Z191,0))</f>
        <v/>
      </c>
      <c r="AD191" s="30" t="str">
        <f aca="false">IF(AB191="","",IFERROR((IFERROR(S191*T191,0)+IFERROR(V191*W191,0)+IFERROR(Y191*Z191,0)+AB191*AC191)/(IFERROR(T191,0)+IFERROR(W191,0)+IFERROR(Z191,0)+AC191),AB191))</f>
        <v/>
      </c>
      <c r="AE191" s="27" t="str">
        <f aca="false">IF(AB191="","",IF(U191="",0,U191)+IF(X191="",0,X191)+IF(AA191="",0,AA191)+IFERROR((AB191-K191)*IF(F191="Sell",-1,1)*R191*AC191*IF(ISNUMBER(SEARCH("JPY",E191)),1000,IF(ISNUMBER(SEARCH("XAU",E191)),100,IF(OR(ISNUMBER(SEARCH("30",E191)),ISNUMBER(SEARCH("500",E191)),ISNUMBER(SEARCH("100",E191))),100,100000))),0))</f>
        <v/>
      </c>
      <c r="AF191" s="31" t="str">
        <f aca="false">IF(OR(K191="",M191="",L191=""),"",IFERROR(ABS(M191-K191)/ABS(K191-L191),0))</f>
        <v/>
      </c>
      <c r="AG191" s="31" t="str">
        <f aca="false">IF(OR(AE191="",AE191=0,Q191=0,Q191=""),"",IFERROR(AE191/Q191,0))</f>
        <v/>
      </c>
      <c r="AH191" s="32" t="str">
        <f aca="false">IF(AB191="","Open",IF(AG191="","Open",IF(AG191&gt;0.1,"Win",IF(AG191&lt;-0.1,"Loss","Breakeven"))))</f>
        <v>Open</v>
      </c>
      <c r="AI191" s="33" t="str">
        <f aca="false">IF(OR(B191="",D191=""),"",D191-B191)</f>
        <v/>
      </c>
      <c r="AJ191" s="24" t="str">
        <f aca="false">IF(AD191="","",IFERROR((AD191-K191)*IF(F191="Sell",-1,1)/IF(ISNUMBER(SEARCH("JPY",E191)),0.01,IF(ISNUMBER(SEARCH("XAU",E191)),0.01,IF(OR(ISNUMBER(SEARCH("30",E191)),ISNUMBER(SEARCH("500",E191)),ISNUMBER(SEARCH("100",E191))),1,0.0001))),0))</f>
        <v/>
      </c>
      <c r="AK191" s="12"/>
      <c r="AL191" s="12"/>
      <c r="AM191" s="12"/>
      <c r="AN191" s="12"/>
      <c r="AO191" s="27" t="str">
        <f aca="false">IF(AE191="","",IFERROR(IF(AO190="",SETTINGS!$B$6,AO190),SETTINGS!$B$6)+IF(AE191="",0,AE191))</f>
        <v/>
      </c>
      <c r="AP191" s="2"/>
    </row>
    <row r="192" customFormat="false" ht="15" hidden="false" customHeight="false" outlineLevel="0" collapsed="false">
      <c r="A192" s="24" t="str">
        <f aca="false">IF(B192="","",ROW()-3)</f>
        <v/>
      </c>
      <c r="B192" s="25"/>
      <c r="C192" s="10"/>
      <c r="D192" s="25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26"/>
      <c r="P192" s="24" t="str">
        <f aca="false">IF(K192="","",IFERROR(ABS(K192-L192)/IF(ISNUMBER(SEARCH("JPY",E192)),0.01,IF(ISNUMBER(SEARCH("XAU",E192)),0.01,IF(OR(ISNUMBER(SEARCH("30",E192)),ISNUMBER(SEARCH("500",E192)),ISNUMBER(SEARCH("100",E192))),1,0.0001))),0))</f>
        <v/>
      </c>
      <c r="Q192" s="27" t="str">
        <f aca="false">IF(K192="","",SETTINGS!$B$6*O192)</f>
        <v/>
      </c>
      <c r="R192" s="24" t="str">
        <f aca="false">IF(K192="","",IFERROR(Q192/(P192*IF(ISNUMBER(SEARCH("JPY",E192)),9.09,IF(ISNUMBER(SEARCH("XAU",E192)),1,IF(OR(ISNUMBER(SEARCH("30",E192)),ISNUMBER(SEARCH("500",E192)),ISNUMBER(SEARCH("100",E192))),1,10)))),0))</f>
        <v/>
      </c>
      <c r="S192" s="10"/>
      <c r="T192" s="28"/>
      <c r="U192" s="27" t="str">
        <f aca="false">IF(OR(S192="",T192=0),"",IFERROR((S192-K192)*IF(F192="Sell",-1,1)*R192*T192*IF(ISNUMBER(SEARCH("JPY",E192)),1000,IF(ISNUMBER(SEARCH("XAU",E192)),100,IF(OR(ISNUMBER(SEARCH("30",E192)),ISNUMBER(SEARCH("500",E192)),ISNUMBER(SEARCH("100",E192))),100,100000))),0))</f>
        <v/>
      </c>
      <c r="V192" s="10"/>
      <c r="W192" s="28"/>
      <c r="X192" s="27" t="str">
        <f aca="false">IF(OR(V192="",W192=0),"",IFERROR((V192-K192)*IF(F192="Sell",-1,1)*R192*W192*IF(ISNUMBER(SEARCH("JPY",E192)),1000,IF(ISNUMBER(SEARCH("XAU",E192)),100,IF(OR(ISNUMBER(SEARCH("30",E192)),ISNUMBER(SEARCH("500",E192)),ISNUMBER(SEARCH("100",E192))),100,100000))),0))</f>
        <v/>
      </c>
      <c r="Y192" s="10"/>
      <c r="Z192" s="28"/>
      <c r="AA192" s="27" t="str">
        <f aca="false">IF(OR(Y192="",Z192=0),"",IFERROR((Y192-K192)*IF(F192="Sell",-1,1)*R192*Z192*IF(ISNUMBER(SEARCH("JPY",E192)),1000,IF(ISNUMBER(SEARCH("XAU",E192)),100,IF(OR(ISNUMBER(SEARCH("30",E192)),ISNUMBER(SEARCH("500",E192)),ISNUMBER(SEARCH("100",E192))),100,100000))),0))</f>
        <v/>
      </c>
      <c r="AB192" s="10"/>
      <c r="AC192" s="29" t="str">
        <f aca="false">IF(K192="","",1-IFERROR(T192,0)-IFERROR(W192,0)-IFERROR(Z192,0))</f>
        <v/>
      </c>
      <c r="AD192" s="30" t="str">
        <f aca="false">IF(AB192="","",IFERROR((IFERROR(S192*T192,0)+IFERROR(V192*W192,0)+IFERROR(Y192*Z192,0)+AB192*AC192)/(IFERROR(T192,0)+IFERROR(W192,0)+IFERROR(Z192,0)+AC192),AB192))</f>
        <v/>
      </c>
      <c r="AE192" s="27" t="str">
        <f aca="false">IF(AB192="","",IF(U192="",0,U192)+IF(X192="",0,X192)+IF(AA192="",0,AA192)+IFERROR((AB192-K192)*IF(F192="Sell",-1,1)*R192*AC192*IF(ISNUMBER(SEARCH("JPY",E192)),1000,IF(ISNUMBER(SEARCH("XAU",E192)),100,IF(OR(ISNUMBER(SEARCH("30",E192)),ISNUMBER(SEARCH("500",E192)),ISNUMBER(SEARCH("100",E192))),100,100000))),0))</f>
        <v/>
      </c>
      <c r="AF192" s="31" t="str">
        <f aca="false">IF(OR(K192="",M192="",L192=""),"",IFERROR(ABS(M192-K192)/ABS(K192-L192),0))</f>
        <v/>
      </c>
      <c r="AG192" s="31" t="str">
        <f aca="false">IF(OR(AE192="",AE192=0,Q192=0,Q192=""),"",IFERROR(AE192/Q192,0))</f>
        <v/>
      </c>
      <c r="AH192" s="32" t="str">
        <f aca="false">IF(AB192="","Open",IF(AG192="","Open",IF(AG192&gt;0.1,"Win",IF(AG192&lt;-0.1,"Loss","Breakeven"))))</f>
        <v>Open</v>
      </c>
      <c r="AI192" s="33" t="str">
        <f aca="false">IF(OR(B192="",D192=""),"",D192-B192)</f>
        <v/>
      </c>
      <c r="AJ192" s="24" t="str">
        <f aca="false">IF(AD192="","",IFERROR((AD192-K192)*IF(F192="Sell",-1,1)/IF(ISNUMBER(SEARCH("JPY",E192)),0.01,IF(ISNUMBER(SEARCH("XAU",E192)),0.01,IF(OR(ISNUMBER(SEARCH("30",E192)),ISNUMBER(SEARCH("500",E192)),ISNUMBER(SEARCH("100",E192))),1,0.0001))),0))</f>
        <v/>
      </c>
      <c r="AK192" s="10"/>
      <c r="AL192" s="10"/>
      <c r="AM192" s="10"/>
      <c r="AN192" s="10"/>
      <c r="AO192" s="27" t="str">
        <f aca="false">IF(AE192="","",IFERROR(IF(AO191="",SETTINGS!$B$6,AO191),SETTINGS!$B$6)+IF(AE192="",0,AE192))</f>
        <v/>
      </c>
      <c r="AP192" s="2"/>
    </row>
    <row r="193" customFormat="false" ht="15" hidden="false" customHeight="false" outlineLevel="0" collapsed="false">
      <c r="A193" s="24" t="str">
        <f aca="false">IF(B193="","",ROW()-3)</f>
        <v/>
      </c>
      <c r="B193" s="34"/>
      <c r="C193" s="12"/>
      <c r="D193" s="34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35"/>
      <c r="P193" s="24" t="str">
        <f aca="false">IF(K193="","",IFERROR(ABS(K193-L193)/IF(ISNUMBER(SEARCH("JPY",E193)),0.01,IF(ISNUMBER(SEARCH("XAU",E193)),0.01,IF(OR(ISNUMBER(SEARCH("30",E193)),ISNUMBER(SEARCH("500",E193)),ISNUMBER(SEARCH("100",E193))),1,0.0001))),0))</f>
        <v/>
      </c>
      <c r="Q193" s="27" t="str">
        <f aca="false">IF(K193="","",SETTINGS!$B$6*O193)</f>
        <v/>
      </c>
      <c r="R193" s="24" t="str">
        <f aca="false">IF(K193="","",IFERROR(Q193/(P193*IF(ISNUMBER(SEARCH("JPY",E193)),9.09,IF(ISNUMBER(SEARCH("XAU",E193)),1,IF(OR(ISNUMBER(SEARCH("30",E193)),ISNUMBER(SEARCH("500",E193)),ISNUMBER(SEARCH("100",E193))),1,10)))),0))</f>
        <v/>
      </c>
      <c r="S193" s="12"/>
      <c r="T193" s="36"/>
      <c r="U193" s="27" t="str">
        <f aca="false">IF(OR(S193="",T193=0),"",IFERROR((S193-K193)*IF(F193="Sell",-1,1)*R193*T193*IF(ISNUMBER(SEARCH("JPY",E193)),1000,IF(ISNUMBER(SEARCH("XAU",E193)),100,IF(OR(ISNUMBER(SEARCH("30",E193)),ISNUMBER(SEARCH("500",E193)),ISNUMBER(SEARCH("100",E193))),100,100000))),0))</f>
        <v/>
      </c>
      <c r="V193" s="12"/>
      <c r="W193" s="36"/>
      <c r="X193" s="27" t="str">
        <f aca="false">IF(OR(V193="",W193=0),"",IFERROR((V193-K193)*IF(F193="Sell",-1,1)*R193*W193*IF(ISNUMBER(SEARCH("JPY",E193)),1000,IF(ISNUMBER(SEARCH("XAU",E193)),100,IF(OR(ISNUMBER(SEARCH("30",E193)),ISNUMBER(SEARCH("500",E193)),ISNUMBER(SEARCH("100",E193))),100,100000))),0))</f>
        <v/>
      </c>
      <c r="Y193" s="12"/>
      <c r="Z193" s="36"/>
      <c r="AA193" s="27" t="str">
        <f aca="false">IF(OR(Y193="",Z193=0),"",IFERROR((Y193-K193)*IF(F193="Sell",-1,1)*R193*Z193*IF(ISNUMBER(SEARCH("JPY",E193)),1000,IF(ISNUMBER(SEARCH("XAU",E193)),100,IF(OR(ISNUMBER(SEARCH("30",E193)),ISNUMBER(SEARCH("500",E193)),ISNUMBER(SEARCH("100",E193))),100,100000))),0))</f>
        <v/>
      </c>
      <c r="AB193" s="12"/>
      <c r="AC193" s="29" t="str">
        <f aca="false">IF(K193="","",1-IFERROR(T193,0)-IFERROR(W193,0)-IFERROR(Z193,0))</f>
        <v/>
      </c>
      <c r="AD193" s="30" t="str">
        <f aca="false">IF(AB193="","",IFERROR((IFERROR(S193*T193,0)+IFERROR(V193*W193,0)+IFERROR(Y193*Z193,0)+AB193*AC193)/(IFERROR(T193,0)+IFERROR(W193,0)+IFERROR(Z193,0)+AC193),AB193))</f>
        <v/>
      </c>
      <c r="AE193" s="27" t="str">
        <f aca="false">IF(AB193="","",IF(U193="",0,U193)+IF(X193="",0,X193)+IF(AA193="",0,AA193)+IFERROR((AB193-K193)*IF(F193="Sell",-1,1)*R193*AC193*IF(ISNUMBER(SEARCH("JPY",E193)),1000,IF(ISNUMBER(SEARCH("XAU",E193)),100,IF(OR(ISNUMBER(SEARCH("30",E193)),ISNUMBER(SEARCH("500",E193)),ISNUMBER(SEARCH("100",E193))),100,100000))),0))</f>
        <v/>
      </c>
      <c r="AF193" s="31" t="str">
        <f aca="false">IF(OR(K193="",M193="",L193=""),"",IFERROR(ABS(M193-K193)/ABS(K193-L193),0))</f>
        <v/>
      </c>
      <c r="AG193" s="31" t="str">
        <f aca="false">IF(OR(AE193="",AE193=0,Q193=0,Q193=""),"",IFERROR(AE193/Q193,0))</f>
        <v/>
      </c>
      <c r="AH193" s="32" t="str">
        <f aca="false">IF(AB193="","Open",IF(AG193="","Open",IF(AG193&gt;0.1,"Win",IF(AG193&lt;-0.1,"Loss","Breakeven"))))</f>
        <v>Open</v>
      </c>
      <c r="AI193" s="33" t="str">
        <f aca="false">IF(OR(B193="",D193=""),"",D193-B193)</f>
        <v/>
      </c>
      <c r="AJ193" s="24" t="str">
        <f aca="false">IF(AD193="","",IFERROR((AD193-K193)*IF(F193="Sell",-1,1)/IF(ISNUMBER(SEARCH("JPY",E193)),0.01,IF(ISNUMBER(SEARCH("XAU",E193)),0.01,IF(OR(ISNUMBER(SEARCH("30",E193)),ISNUMBER(SEARCH("500",E193)),ISNUMBER(SEARCH("100",E193))),1,0.0001))),0))</f>
        <v/>
      </c>
      <c r="AK193" s="12"/>
      <c r="AL193" s="12"/>
      <c r="AM193" s="12"/>
      <c r="AN193" s="12"/>
      <c r="AO193" s="27" t="str">
        <f aca="false">IF(AE193="","",IFERROR(IF(AO192="",SETTINGS!$B$6,AO192),SETTINGS!$B$6)+IF(AE193="",0,AE193))</f>
        <v/>
      </c>
      <c r="AP193" s="2"/>
    </row>
    <row r="194" customFormat="false" ht="15" hidden="false" customHeight="false" outlineLevel="0" collapsed="false">
      <c r="A194" s="24" t="str">
        <f aca="false">IF(B194="","",ROW()-3)</f>
        <v/>
      </c>
      <c r="B194" s="25"/>
      <c r="C194" s="10"/>
      <c r="D194" s="25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26"/>
      <c r="P194" s="24" t="str">
        <f aca="false">IF(K194="","",IFERROR(ABS(K194-L194)/IF(ISNUMBER(SEARCH("JPY",E194)),0.01,IF(ISNUMBER(SEARCH("XAU",E194)),0.01,IF(OR(ISNUMBER(SEARCH("30",E194)),ISNUMBER(SEARCH("500",E194)),ISNUMBER(SEARCH("100",E194))),1,0.0001))),0))</f>
        <v/>
      </c>
      <c r="Q194" s="27" t="str">
        <f aca="false">IF(K194="","",SETTINGS!$B$6*O194)</f>
        <v/>
      </c>
      <c r="R194" s="24" t="str">
        <f aca="false">IF(K194="","",IFERROR(Q194/(P194*IF(ISNUMBER(SEARCH("JPY",E194)),9.09,IF(ISNUMBER(SEARCH("XAU",E194)),1,IF(OR(ISNUMBER(SEARCH("30",E194)),ISNUMBER(SEARCH("500",E194)),ISNUMBER(SEARCH("100",E194))),1,10)))),0))</f>
        <v/>
      </c>
      <c r="S194" s="10"/>
      <c r="T194" s="28"/>
      <c r="U194" s="27" t="str">
        <f aca="false">IF(OR(S194="",T194=0),"",IFERROR((S194-K194)*IF(F194="Sell",-1,1)*R194*T194*IF(ISNUMBER(SEARCH("JPY",E194)),1000,IF(ISNUMBER(SEARCH("XAU",E194)),100,IF(OR(ISNUMBER(SEARCH("30",E194)),ISNUMBER(SEARCH("500",E194)),ISNUMBER(SEARCH("100",E194))),100,100000))),0))</f>
        <v/>
      </c>
      <c r="V194" s="10"/>
      <c r="W194" s="28"/>
      <c r="X194" s="27" t="str">
        <f aca="false">IF(OR(V194="",W194=0),"",IFERROR((V194-K194)*IF(F194="Sell",-1,1)*R194*W194*IF(ISNUMBER(SEARCH("JPY",E194)),1000,IF(ISNUMBER(SEARCH("XAU",E194)),100,IF(OR(ISNUMBER(SEARCH("30",E194)),ISNUMBER(SEARCH("500",E194)),ISNUMBER(SEARCH("100",E194))),100,100000))),0))</f>
        <v/>
      </c>
      <c r="Y194" s="10"/>
      <c r="Z194" s="28"/>
      <c r="AA194" s="27" t="str">
        <f aca="false">IF(OR(Y194="",Z194=0),"",IFERROR((Y194-K194)*IF(F194="Sell",-1,1)*R194*Z194*IF(ISNUMBER(SEARCH("JPY",E194)),1000,IF(ISNUMBER(SEARCH("XAU",E194)),100,IF(OR(ISNUMBER(SEARCH("30",E194)),ISNUMBER(SEARCH("500",E194)),ISNUMBER(SEARCH("100",E194))),100,100000))),0))</f>
        <v/>
      </c>
      <c r="AB194" s="10"/>
      <c r="AC194" s="29" t="str">
        <f aca="false">IF(K194="","",1-IFERROR(T194,0)-IFERROR(W194,0)-IFERROR(Z194,0))</f>
        <v/>
      </c>
      <c r="AD194" s="30" t="str">
        <f aca="false">IF(AB194="","",IFERROR((IFERROR(S194*T194,0)+IFERROR(V194*W194,0)+IFERROR(Y194*Z194,0)+AB194*AC194)/(IFERROR(T194,0)+IFERROR(W194,0)+IFERROR(Z194,0)+AC194),AB194))</f>
        <v/>
      </c>
      <c r="AE194" s="27" t="str">
        <f aca="false">IF(AB194="","",IF(U194="",0,U194)+IF(X194="",0,X194)+IF(AA194="",0,AA194)+IFERROR((AB194-K194)*IF(F194="Sell",-1,1)*R194*AC194*IF(ISNUMBER(SEARCH("JPY",E194)),1000,IF(ISNUMBER(SEARCH("XAU",E194)),100,IF(OR(ISNUMBER(SEARCH("30",E194)),ISNUMBER(SEARCH("500",E194)),ISNUMBER(SEARCH("100",E194))),100,100000))),0))</f>
        <v/>
      </c>
      <c r="AF194" s="31" t="str">
        <f aca="false">IF(OR(K194="",M194="",L194=""),"",IFERROR(ABS(M194-K194)/ABS(K194-L194),0))</f>
        <v/>
      </c>
      <c r="AG194" s="31" t="str">
        <f aca="false">IF(OR(AE194="",AE194=0,Q194=0,Q194=""),"",IFERROR(AE194/Q194,0))</f>
        <v/>
      </c>
      <c r="AH194" s="32" t="str">
        <f aca="false">IF(AB194="","Open",IF(AG194="","Open",IF(AG194&gt;0.1,"Win",IF(AG194&lt;-0.1,"Loss","Breakeven"))))</f>
        <v>Open</v>
      </c>
      <c r="AI194" s="33" t="str">
        <f aca="false">IF(OR(B194="",D194=""),"",D194-B194)</f>
        <v/>
      </c>
      <c r="AJ194" s="24" t="str">
        <f aca="false">IF(AD194="","",IFERROR((AD194-K194)*IF(F194="Sell",-1,1)/IF(ISNUMBER(SEARCH("JPY",E194)),0.01,IF(ISNUMBER(SEARCH("XAU",E194)),0.01,IF(OR(ISNUMBER(SEARCH("30",E194)),ISNUMBER(SEARCH("500",E194)),ISNUMBER(SEARCH("100",E194))),1,0.0001))),0))</f>
        <v/>
      </c>
      <c r="AK194" s="10"/>
      <c r="AL194" s="10"/>
      <c r="AM194" s="10"/>
      <c r="AN194" s="10"/>
      <c r="AO194" s="27" t="str">
        <f aca="false">IF(AE194="","",IFERROR(IF(AO193="",SETTINGS!$B$6,AO193),SETTINGS!$B$6)+IF(AE194="",0,AE194))</f>
        <v/>
      </c>
      <c r="AP194" s="2"/>
    </row>
    <row r="195" customFormat="false" ht="15" hidden="false" customHeight="false" outlineLevel="0" collapsed="false">
      <c r="A195" s="24" t="str">
        <f aca="false">IF(B195="","",ROW()-3)</f>
        <v/>
      </c>
      <c r="B195" s="34"/>
      <c r="C195" s="12"/>
      <c r="D195" s="34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35"/>
      <c r="P195" s="24" t="str">
        <f aca="false">IF(K195="","",IFERROR(ABS(K195-L195)/IF(ISNUMBER(SEARCH("JPY",E195)),0.01,IF(ISNUMBER(SEARCH("XAU",E195)),0.01,IF(OR(ISNUMBER(SEARCH("30",E195)),ISNUMBER(SEARCH("500",E195)),ISNUMBER(SEARCH("100",E195))),1,0.0001))),0))</f>
        <v/>
      </c>
      <c r="Q195" s="27" t="str">
        <f aca="false">IF(K195="","",SETTINGS!$B$6*O195)</f>
        <v/>
      </c>
      <c r="R195" s="24" t="str">
        <f aca="false">IF(K195="","",IFERROR(Q195/(P195*IF(ISNUMBER(SEARCH("JPY",E195)),9.09,IF(ISNUMBER(SEARCH("XAU",E195)),1,IF(OR(ISNUMBER(SEARCH("30",E195)),ISNUMBER(SEARCH("500",E195)),ISNUMBER(SEARCH("100",E195))),1,10)))),0))</f>
        <v/>
      </c>
      <c r="S195" s="12"/>
      <c r="T195" s="36"/>
      <c r="U195" s="27" t="str">
        <f aca="false">IF(OR(S195="",T195=0),"",IFERROR((S195-K195)*IF(F195="Sell",-1,1)*R195*T195*IF(ISNUMBER(SEARCH("JPY",E195)),1000,IF(ISNUMBER(SEARCH("XAU",E195)),100,IF(OR(ISNUMBER(SEARCH("30",E195)),ISNUMBER(SEARCH("500",E195)),ISNUMBER(SEARCH("100",E195))),100,100000))),0))</f>
        <v/>
      </c>
      <c r="V195" s="12"/>
      <c r="W195" s="36"/>
      <c r="X195" s="27" t="str">
        <f aca="false">IF(OR(V195="",W195=0),"",IFERROR((V195-K195)*IF(F195="Sell",-1,1)*R195*W195*IF(ISNUMBER(SEARCH("JPY",E195)),1000,IF(ISNUMBER(SEARCH("XAU",E195)),100,IF(OR(ISNUMBER(SEARCH("30",E195)),ISNUMBER(SEARCH("500",E195)),ISNUMBER(SEARCH("100",E195))),100,100000))),0))</f>
        <v/>
      </c>
      <c r="Y195" s="12"/>
      <c r="Z195" s="36"/>
      <c r="AA195" s="27" t="str">
        <f aca="false">IF(OR(Y195="",Z195=0),"",IFERROR((Y195-K195)*IF(F195="Sell",-1,1)*R195*Z195*IF(ISNUMBER(SEARCH("JPY",E195)),1000,IF(ISNUMBER(SEARCH("XAU",E195)),100,IF(OR(ISNUMBER(SEARCH("30",E195)),ISNUMBER(SEARCH("500",E195)),ISNUMBER(SEARCH("100",E195))),100,100000))),0))</f>
        <v/>
      </c>
      <c r="AB195" s="12"/>
      <c r="AC195" s="29" t="str">
        <f aca="false">IF(K195="","",1-IFERROR(T195,0)-IFERROR(W195,0)-IFERROR(Z195,0))</f>
        <v/>
      </c>
      <c r="AD195" s="30" t="str">
        <f aca="false">IF(AB195="","",IFERROR((IFERROR(S195*T195,0)+IFERROR(V195*W195,0)+IFERROR(Y195*Z195,0)+AB195*AC195)/(IFERROR(T195,0)+IFERROR(W195,0)+IFERROR(Z195,0)+AC195),AB195))</f>
        <v/>
      </c>
      <c r="AE195" s="27" t="str">
        <f aca="false">IF(AB195="","",IF(U195="",0,U195)+IF(X195="",0,X195)+IF(AA195="",0,AA195)+IFERROR((AB195-K195)*IF(F195="Sell",-1,1)*R195*AC195*IF(ISNUMBER(SEARCH("JPY",E195)),1000,IF(ISNUMBER(SEARCH("XAU",E195)),100,IF(OR(ISNUMBER(SEARCH("30",E195)),ISNUMBER(SEARCH("500",E195)),ISNUMBER(SEARCH("100",E195))),100,100000))),0))</f>
        <v/>
      </c>
      <c r="AF195" s="31" t="str">
        <f aca="false">IF(OR(K195="",M195="",L195=""),"",IFERROR(ABS(M195-K195)/ABS(K195-L195),0))</f>
        <v/>
      </c>
      <c r="AG195" s="31" t="str">
        <f aca="false">IF(OR(AE195="",AE195=0,Q195=0,Q195=""),"",IFERROR(AE195/Q195,0))</f>
        <v/>
      </c>
      <c r="AH195" s="32" t="str">
        <f aca="false">IF(AB195="","Open",IF(AG195="","Open",IF(AG195&gt;0.1,"Win",IF(AG195&lt;-0.1,"Loss","Breakeven"))))</f>
        <v>Open</v>
      </c>
      <c r="AI195" s="33" t="str">
        <f aca="false">IF(OR(B195="",D195=""),"",D195-B195)</f>
        <v/>
      </c>
      <c r="AJ195" s="24" t="str">
        <f aca="false">IF(AD195="","",IFERROR((AD195-K195)*IF(F195="Sell",-1,1)/IF(ISNUMBER(SEARCH("JPY",E195)),0.01,IF(ISNUMBER(SEARCH("XAU",E195)),0.01,IF(OR(ISNUMBER(SEARCH("30",E195)),ISNUMBER(SEARCH("500",E195)),ISNUMBER(SEARCH("100",E195))),1,0.0001))),0))</f>
        <v/>
      </c>
      <c r="AK195" s="12"/>
      <c r="AL195" s="12"/>
      <c r="AM195" s="12"/>
      <c r="AN195" s="12"/>
      <c r="AO195" s="27" t="str">
        <f aca="false">IF(AE195="","",IFERROR(IF(AO194="",SETTINGS!$B$6,AO194),SETTINGS!$B$6)+IF(AE195="",0,AE195))</f>
        <v/>
      </c>
      <c r="AP195" s="2"/>
    </row>
    <row r="196" customFormat="false" ht="15" hidden="false" customHeight="false" outlineLevel="0" collapsed="false">
      <c r="A196" s="24" t="str">
        <f aca="false">IF(B196="","",ROW()-3)</f>
        <v/>
      </c>
      <c r="B196" s="25"/>
      <c r="C196" s="10"/>
      <c r="D196" s="25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26"/>
      <c r="P196" s="24" t="str">
        <f aca="false">IF(K196="","",IFERROR(ABS(K196-L196)/IF(ISNUMBER(SEARCH("JPY",E196)),0.01,IF(ISNUMBER(SEARCH("XAU",E196)),0.01,IF(OR(ISNUMBER(SEARCH("30",E196)),ISNUMBER(SEARCH("500",E196)),ISNUMBER(SEARCH("100",E196))),1,0.0001))),0))</f>
        <v/>
      </c>
      <c r="Q196" s="27" t="str">
        <f aca="false">IF(K196="","",SETTINGS!$B$6*O196)</f>
        <v/>
      </c>
      <c r="R196" s="24" t="str">
        <f aca="false">IF(K196="","",IFERROR(Q196/(P196*IF(ISNUMBER(SEARCH("JPY",E196)),9.09,IF(ISNUMBER(SEARCH("XAU",E196)),1,IF(OR(ISNUMBER(SEARCH("30",E196)),ISNUMBER(SEARCH("500",E196)),ISNUMBER(SEARCH("100",E196))),1,10)))),0))</f>
        <v/>
      </c>
      <c r="S196" s="10"/>
      <c r="T196" s="28"/>
      <c r="U196" s="27" t="str">
        <f aca="false">IF(OR(S196="",T196=0),"",IFERROR((S196-K196)*IF(F196="Sell",-1,1)*R196*T196*IF(ISNUMBER(SEARCH("JPY",E196)),1000,IF(ISNUMBER(SEARCH("XAU",E196)),100,IF(OR(ISNUMBER(SEARCH("30",E196)),ISNUMBER(SEARCH("500",E196)),ISNUMBER(SEARCH("100",E196))),100,100000))),0))</f>
        <v/>
      </c>
      <c r="V196" s="10"/>
      <c r="W196" s="28"/>
      <c r="X196" s="27" t="str">
        <f aca="false">IF(OR(V196="",W196=0),"",IFERROR((V196-K196)*IF(F196="Sell",-1,1)*R196*W196*IF(ISNUMBER(SEARCH("JPY",E196)),1000,IF(ISNUMBER(SEARCH("XAU",E196)),100,IF(OR(ISNUMBER(SEARCH("30",E196)),ISNUMBER(SEARCH("500",E196)),ISNUMBER(SEARCH("100",E196))),100,100000))),0))</f>
        <v/>
      </c>
      <c r="Y196" s="10"/>
      <c r="Z196" s="28"/>
      <c r="AA196" s="27" t="str">
        <f aca="false">IF(OR(Y196="",Z196=0),"",IFERROR((Y196-K196)*IF(F196="Sell",-1,1)*R196*Z196*IF(ISNUMBER(SEARCH("JPY",E196)),1000,IF(ISNUMBER(SEARCH("XAU",E196)),100,IF(OR(ISNUMBER(SEARCH("30",E196)),ISNUMBER(SEARCH("500",E196)),ISNUMBER(SEARCH("100",E196))),100,100000))),0))</f>
        <v/>
      </c>
      <c r="AB196" s="10"/>
      <c r="AC196" s="29" t="str">
        <f aca="false">IF(K196="","",1-IFERROR(T196,0)-IFERROR(W196,0)-IFERROR(Z196,0))</f>
        <v/>
      </c>
      <c r="AD196" s="30" t="str">
        <f aca="false">IF(AB196="","",IFERROR((IFERROR(S196*T196,0)+IFERROR(V196*W196,0)+IFERROR(Y196*Z196,0)+AB196*AC196)/(IFERROR(T196,0)+IFERROR(W196,0)+IFERROR(Z196,0)+AC196),AB196))</f>
        <v/>
      </c>
      <c r="AE196" s="27" t="str">
        <f aca="false">IF(AB196="","",IF(U196="",0,U196)+IF(X196="",0,X196)+IF(AA196="",0,AA196)+IFERROR((AB196-K196)*IF(F196="Sell",-1,1)*R196*AC196*IF(ISNUMBER(SEARCH("JPY",E196)),1000,IF(ISNUMBER(SEARCH("XAU",E196)),100,IF(OR(ISNUMBER(SEARCH("30",E196)),ISNUMBER(SEARCH("500",E196)),ISNUMBER(SEARCH("100",E196))),100,100000))),0))</f>
        <v/>
      </c>
      <c r="AF196" s="31" t="str">
        <f aca="false">IF(OR(K196="",M196="",L196=""),"",IFERROR(ABS(M196-K196)/ABS(K196-L196),0))</f>
        <v/>
      </c>
      <c r="AG196" s="31" t="str">
        <f aca="false">IF(OR(AE196="",AE196=0,Q196=0,Q196=""),"",IFERROR(AE196/Q196,0))</f>
        <v/>
      </c>
      <c r="AH196" s="32" t="str">
        <f aca="false">IF(AB196="","Open",IF(AG196="","Open",IF(AG196&gt;0.1,"Win",IF(AG196&lt;-0.1,"Loss","Breakeven"))))</f>
        <v>Open</v>
      </c>
      <c r="AI196" s="33" t="str">
        <f aca="false">IF(OR(B196="",D196=""),"",D196-B196)</f>
        <v/>
      </c>
      <c r="AJ196" s="24" t="str">
        <f aca="false">IF(AD196="","",IFERROR((AD196-K196)*IF(F196="Sell",-1,1)/IF(ISNUMBER(SEARCH("JPY",E196)),0.01,IF(ISNUMBER(SEARCH("XAU",E196)),0.01,IF(OR(ISNUMBER(SEARCH("30",E196)),ISNUMBER(SEARCH("500",E196)),ISNUMBER(SEARCH("100",E196))),1,0.0001))),0))</f>
        <v/>
      </c>
      <c r="AK196" s="10"/>
      <c r="AL196" s="10"/>
      <c r="AM196" s="10"/>
      <c r="AN196" s="10"/>
      <c r="AO196" s="27" t="str">
        <f aca="false">IF(AE196="","",IFERROR(IF(AO195="",SETTINGS!$B$6,AO195),SETTINGS!$B$6)+IF(AE196="",0,AE196))</f>
        <v/>
      </c>
      <c r="AP196" s="2"/>
    </row>
    <row r="197" customFormat="false" ht="15" hidden="false" customHeight="false" outlineLevel="0" collapsed="false">
      <c r="A197" s="24" t="str">
        <f aca="false">IF(B197="","",ROW()-3)</f>
        <v/>
      </c>
      <c r="B197" s="34"/>
      <c r="C197" s="12"/>
      <c r="D197" s="34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35"/>
      <c r="P197" s="24" t="str">
        <f aca="false">IF(K197="","",IFERROR(ABS(K197-L197)/IF(ISNUMBER(SEARCH("JPY",E197)),0.01,IF(ISNUMBER(SEARCH("XAU",E197)),0.01,IF(OR(ISNUMBER(SEARCH("30",E197)),ISNUMBER(SEARCH("500",E197)),ISNUMBER(SEARCH("100",E197))),1,0.0001))),0))</f>
        <v/>
      </c>
      <c r="Q197" s="27" t="str">
        <f aca="false">IF(K197="","",SETTINGS!$B$6*O197)</f>
        <v/>
      </c>
      <c r="R197" s="24" t="str">
        <f aca="false">IF(K197="","",IFERROR(Q197/(P197*IF(ISNUMBER(SEARCH("JPY",E197)),9.09,IF(ISNUMBER(SEARCH("XAU",E197)),1,IF(OR(ISNUMBER(SEARCH("30",E197)),ISNUMBER(SEARCH("500",E197)),ISNUMBER(SEARCH("100",E197))),1,10)))),0))</f>
        <v/>
      </c>
      <c r="S197" s="12"/>
      <c r="T197" s="36"/>
      <c r="U197" s="27" t="str">
        <f aca="false">IF(OR(S197="",T197=0),"",IFERROR((S197-K197)*IF(F197="Sell",-1,1)*R197*T197*IF(ISNUMBER(SEARCH("JPY",E197)),1000,IF(ISNUMBER(SEARCH("XAU",E197)),100,IF(OR(ISNUMBER(SEARCH("30",E197)),ISNUMBER(SEARCH("500",E197)),ISNUMBER(SEARCH("100",E197))),100,100000))),0))</f>
        <v/>
      </c>
      <c r="V197" s="12"/>
      <c r="W197" s="36"/>
      <c r="X197" s="27" t="str">
        <f aca="false">IF(OR(V197="",W197=0),"",IFERROR((V197-K197)*IF(F197="Sell",-1,1)*R197*W197*IF(ISNUMBER(SEARCH("JPY",E197)),1000,IF(ISNUMBER(SEARCH("XAU",E197)),100,IF(OR(ISNUMBER(SEARCH("30",E197)),ISNUMBER(SEARCH("500",E197)),ISNUMBER(SEARCH("100",E197))),100,100000))),0))</f>
        <v/>
      </c>
      <c r="Y197" s="12"/>
      <c r="Z197" s="36"/>
      <c r="AA197" s="27" t="str">
        <f aca="false">IF(OR(Y197="",Z197=0),"",IFERROR((Y197-K197)*IF(F197="Sell",-1,1)*R197*Z197*IF(ISNUMBER(SEARCH("JPY",E197)),1000,IF(ISNUMBER(SEARCH("XAU",E197)),100,IF(OR(ISNUMBER(SEARCH("30",E197)),ISNUMBER(SEARCH("500",E197)),ISNUMBER(SEARCH("100",E197))),100,100000))),0))</f>
        <v/>
      </c>
      <c r="AB197" s="12"/>
      <c r="AC197" s="29" t="str">
        <f aca="false">IF(K197="","",1-IFERROR(T197,0)-IFERROR(W197,0)-IFERROR(Z197,0))</f>
        <v/>
      </c>
      <c r="AD197" s="30" t="str">
        <f aca="false">IF(AB197="","",IFERROR((IFERROR(S197*T197,0)+IFERROR(V197*W197,0)+IFERROR(Y197*Z197,0)+AB197*AC197)/(IFERROR(T197,0)+IFERROR(W197,0)+IFERROR(Z197,0)+AC197),AB197))</f>
        <v/>
      </c>
      <c r="AE197" s="27" t="str">
        <f aca="false">IF(AB197="","",IF(U197="",0,U197)+IF(X197="",0,X197)+IF(AA197="",0,AA197)+IFERROR((AB197-K197)*IF(F197="Sell",-1,1)*R197*AC197*IF(ISNUMBER(SEARCH("JPY",E197)),1000,IF(ISNUMBER(SEARCH("XAU",E197)),100,IF(OR(ISNUMBER(SEARCH("30",E197)),ISNUMBER(SEARCH("500",E197)),ISNUMBER(SEARCH("100",E197))),100,100000))),0))</f>
        <v/>
      </c>
      <c r="AF197" s="31" t="str">
        <f aca="false">IF(OR(K197="",M197="",L197=""),"",IFERROR(ABS(M197-K197)/ABS(K197-L197),0))</f>
        <v/>
      </c>
      <c r="AG197" s="31" t="str">
        <f aca="false">IF(OR(AE197="",AE197=0,Q197=0,Q197=""),"",IFERROR(AE197/Q197,0))</f>
        <v/>
      </c>
      <c r="AH197" s="32" t="str">
        <f aca="false">IF(AB197="","Open",IF(AG197="","Open",IF(AG197&gt;0.1,"Win",IF(AG197&lt;-0.1,"Loss","Breakeven"))))</f>
        <v>Open</v>
      </c>
      <c r="AI197" s="33" t="str">
        <f aca="false">IF(OR(B197="",D197=""),"",D197-B197)</f>
        <v/>
      </c>
      <c r="AJ197" s="24" t="str">
        <f aca="false">IF(AD197="","",IFERROR((AD197-K197)*IF(F197="Sell",-1,1)/IF(ISNUMBER(SEARCH("JPY",E197)),0.01,IF(ISNUMBER(SEARCH("XAU",E197)),0.01,IF(OR(ISNUMBER(SEARCH("30",E197)),ISNUMBER(SEARCH("500",E197)),ISNUMBER(SEARCH("100",E197))),1,0.0001))),0))</f>
        <v/>
      </c>
      <c r="AK197" s="12"/>
      <c r="AL197" s="12"/>
      <c r="AM197" s="12"/>
      <c r="AN197" s="12"/>
      <c r="AO197" s="27" t="str">
        <f aca="false">IF(AE197="","",IFERROR(IF(AO196="",SETTINGS!$B$6,AO196),SETTINGS!$B$6)+IF(AE197="",0,AE197))</f>
        <v/>
      </c>
      <c r="AP197" s="2"/>
    </row>
    <row r="198" customFormat="false" ht="15" hidden="false" customHeight="false" outlineLevel="0" collapsed="false">
      <c r="A198" s="24" t="str">
        <f aca="false">IF(B198="","",ROW()-3)</f>
        <v/>
      </c>
      <c r="B198" s="25"/>
      <c r="C198" s="10"/>
      <c r="D198" s="25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26"/>
      <c r="P198" s="24" t="str">
        <f aca="false">IF(K198="","",IFERROR(ABS(K198-L198)/IF(ISNUMBER(SEARCH("JPY",E198)),0.01,IF(ISNUMBER(SEARCH("XAU",E198)),0.01,IF(OR(ISNUMBER(SEARCH("30",E198)),ISNUMBER(SEARCH("500",E198)),ISNUMBER(SEARCH("100",E198))),1,0.0001))),0))</f>
        <v/>
      </c>
      <c r="Q198" s="27" t="str">
        <f aca="false">IF(K198="","",SETTINGS!$B$6*O198)</f>
        <v/>
      </c>
      <c r="R198" s="24" t="str">
        <f aca="false">IF(K198="","",IFERROR(Q198/(P198*IF(ISNUMBER(SEARCH("JPY",E198)),9.09,IF(ISNUMBER(SEARCH("XAU",E198)),1,IF(OR(ISNUMBER(SEARCH("30",E198)),ISNUMBER(SEARCH("500",E198)),ISNUMBER(SEARCH("100",E198))),1,10)))),0))</f>
        <v/>
      </c>
      <c r="S198" s="10"/>
      <c r="T198" s="28"/>
      <c r="U198" s="27" t="str">
        <f aca="false">IF(OR(S198="",T198=0),"",IFERROR((S198-K198)*IF(F198="Sell",-1,1)*R198*T198*IF(ISNUMBER(SEARCH("JPY",E198)),1000,IF(ISNUMBER(SEARCH("XAU",E198)),100,IF(OR(ISNUMBER(SEARCH("30",E198)),ISNUMBER(SEARCH("500",E198)),ISNUMBER(SEARCH("100",E198))),100,100000))),0))</f>
        <v/>
      </c>
      <c r="V198" s="10"/>
      <c r="W198" s="28"/>
      <c r="X198" s="27" t="str">
        <f aca="false">IF(OR(V198="",W198=0),"",IFERROR((V198-K198)*IF(F198="Sell",-1,1)*R198*W198*IF(ISNUMBER(SEARCH("JPY",E198)),1000,IF(ISNUMBER(SEARCH("XAU",E198)),100,IF(OR(ISNUMBER(SEARCH("30",E198)),ISNUMBER(SEARCH("500",E198)),ISNUMBER(SEARCH("100",E198))),100,100000))),0))</f>
        <v/>
      </c>
      <c r="Y198" s="10"/>
      <c r="Z198" s="28"/>
      <c r="AA198" s="27" t="str">
        <f aca="false">IF(OR(Y198="",Z198=0),"",IFERROR((Y198-K198)*IF(F198="Sell",-1,1)*R198*Z198*IF(ISNUMBER(SEARCH("JPY",E198)),1000,IF(ISNUMBER(SEARCH("XAU",E198)),100,IF(OR(ISNUMBER(SEARCH("30",E198)),ISNUMBER(SEARCH("500",E198)),ISNUMBER(SEARCH("100",E198))),100,100000))),0))</f>
        <v/>
      </c>
      <c r="AB198" s="10"/>
      <c r="AC198" s="29" t="str">
        <f aca="false">IF(K198="","",1-IFERROR(T198,0)-IFERROR(W198,0)-IFERROR(Z198,0))</f>
        <v/>
      </c>
      <c r="AD198" s="30" t="str">
        <f aca="false">IF(AB198="","",IFERROR((IFERROR(S198*T198,0)+IFERROR(V198*W198,0)+IFERROR(Y198*Z198,0)+AB198*AC198)/(IFERROR(T198,0)+IFERROR(W198,0)+IFERROR(Z198,0)+AC198),AB198))</f>
        <v/>
      </c>
      <c r="AE198" s="27" t="str">
        <f aca="false">IF(AB198="","",IF(U198="",0,U198)+IF(X198="",0,X198)+IF(AA198="",0,AA198)+IFERROR((AB198-K198)*IF(F198="Sell",-1,1)*R198*AC198*IF(ISNUMBER(SEARCH("JPY",E198)),1000,IF(ISNUMBER(SEARCH("XAU",E198)),100,IF(OR(ISNUMBER(SEARCH("30",E198)),ISNUMBER(SEARCH("500",E198)),ISNUMBER(SEARCH("100",E198))),100,100000))),0))</f>
        <v/>
      </c>
      <c r="AF198" s="31" t="str">
        <f aca="false">IF(OR(K198="",M198="",L198=""),"",IFERROR(ABS(M198-K198)/ABS(K198-L198),0))</f>
        <v/>
      </c>
      <c r="AG198" s="31" t="str">
        <f aca="false">IF(OR(AE198="",AE198=0,Q198=0,Q198=""),"",IFERROR(AE198/Q198,0))</f>
        <v/>
      </c>
      <c r="AH198" s="32" t="str">
        <f aca="false">IF(AB198="","Open",IF(AG198="","Open",IF(AG198&gt;0.1,"Win",IF(AG198&lt;-0.1,"Loss","Breakeven"))))</f>
        <v>Open</v>
      </c>
      <c r="AI198" s="33" t="str">
        <f aca="false">IF(OR(B198="",D198=""),"",D198-B198)</f>
        <v/>
      </c>
      <c r="AJ198" s="24" t="str">
        <f aca="false">IF(AD198="","",IFERROR((AD198-K198)*IF(F198="Sell",-1,1)/IF(ISNUMBER(SEARCH("JPY",E198)),0.01,IF(ISNUMBER(SEARCH("XAU",E198)),0.01,IF(OR(ISNUMBER(SEARCH("30",E198)),ISNUMBER(SEARCH("500",E198)),ISNUMBER(SEARCH("100",E198))),1,0.0001))),0))</f>
        <v/>
      </c>
      <c r="AK198" s="10"/>
      <c r="AL198" s="10"/>
      <c r="AM198" s="10"/>
      <c r="AN198" s="10"/>
      <c r="AO198" s="27" t="str">
        <f aca="false">IF(AE198="","",IFERROR(IF(AO197="",SETTINGS!$B$6,AO197),SETTINGS!$B$6)+IF(AE198="",0,AE198))</f>
        <v/>
      </c>
      <c r="AP198" s="2"/>
    </row>
    <row r="199" customFormat="false" ht="15" hidden="false" customHeight="false" outlineLevel="0" collapsed="false">
      <c r="A199" s="24" t="str">
        <f aca="false">IF(B199="","",ROW()-3)</f>
        <v/>
      </c>
      <c r="B199" s="34"/>
      <c r="C199" s="12"/>
      <c r="D199" s="34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35"/>
      <c r="P199" s="24" t="str">
        <f aca="false">IF(K199="","",IFERROR(ABS(K199-L199)/IF(ISNUMBER(SEARCH("JPY",E199)),0.01,IF(ISNUMBER(SEARCH("XAU",E199)),0.01,IF(OR(ISNUMBER(SEARCH("30",E199)),ISNUMBER(SEARCH("500",E199)),ISNUMBER(SEARCH("100",E199))),1,0.0001))),0))</f>
        <v/>
      </c>
      <c r="Q199" s="27" t="str">
        <f aca="false">IF(K199="","",SETTINGS!$B$6*O199)</f>
        <v/>
      </c>
      <c r="R199" s="24" t="str">
        <f aca="false">IF(K199="","",IFERROR(Q199/(P199*IF(ISNUMBER(SEARCH("JPY",E199)),9.09,IF(ISNUMBER(SEARCH("XAU",E199)),1,IF(OR(ISNUMBER(SEARCH("30",E199)),ISNUMBER(SEARCH("500",E199)),ISNUMBER(SEARCH("100",E199))),1,10)))),0))</f>
        <v/>
      </c>
      <c r="S199" s="12"/>
      <c r="T199" s="36"/>
      <c r="U199" s="27" t="str">
        <f aca="false">IF(OR(S199="",T199=0),"",IFERROR((S199-K199)*IF(F199="Sell",-1,1)*R199*T199*IF(ISNUMBER(SEARCH("JPY",E199)),1000,IF(ISNUMBER(SEARCH("XAU",E199)),100,IF(OR(ISNUMBER(SEARCH("30",E199)),ISNUMBER(SEARCH("500",E199)),ISNUMBER(SEARCH("100",E199))),100,100000))),0))</f>
        <v/>
      </c>
      <c r="V199" s="12"/>
      <c r="W199" s="36"/>
      <c r="X199" s="27" t="str">
        <f aca="false">IF(OR(V199="",W199=0),"",IFERROR((V199-K199)*IF(F199="Sell",-1,1)*R199*W199*IF(ISNUMBER(SEARCH("JPY",E199)),1000,IF(ISNUMBER(SEARCH("XAU",E199)),100,IF(OR(ISNUMBER(SEARCH("30",E199)),ISNUMBER(SEARCH("500",E199)),ISNUMBER(SEARCH("100",E199))),100,100000))),0))</f>
        <v/>
      </c>
      <c r="Y199" s="12"/>
      <c r="Z199" s="36"/>
      <c r="AA199" s="27" t="str">
        <f aca="false">IF(OR(Y199="",Z199=0),"",IFERROR((Y199-K199)*IF(F199="Sell",-1,1)*R199*Z199*IF(ISNUMBER(SEARCH("JPY",E199)),1000,IF(ISNUMBER(SEARCH("XAU",E199)),100,IF(OR(ISNUMBER(SEARCH("30",E199)),ISNUMBER(SEARCH("500",E199)),ISNUMBER(SEARCH("100",E199))),100,100000))),0))</f>
        <v/>
      </c>
      <c r="AB199" s="12"/>
      <c r="AC199" s="29" t="str">
        <f aca="false">IF(K199="","",1-IFERROR(T199,0)-IFERROR(W199,0)-IFERROR(Z199,0))</f>
        <v/>
      </c>
      <c r="AD199" s="30" t="str">
        <f aca="false">IF(AB199="","",IFERROR((IFERROR(S199*T199,0)+IFERROR(V199*W199,0)+IFERROR(Y199*Z199,0)+AB199*AC199)/(IFERROR(T199,0)+IFERROR(W199,0)+IFERROR(Z199,0)+AC199),AB199))</f>
        <v/>
      </c>
      <c r="AE199" s="27" t="str">
        <f aca="false">IF(AB199="","",IF(U199="",0,U199)+IF(X199="",0,X199)+IF(AA199="",0,AA199)+IFERROR((AB199-K199)*IF(F199="Sell",-1,1)*R199*AC199*IF(ISNUMBER(SEARCH("JPY",E199)),1000,IF(ISNUMBER(SEARCH("XAU",E199)),100,IF(OR(ISNUMBER(SEARCH("30",E199)),ISNUMBER(SEARCH("500",E199)),ISNUMBER(SEARCH("100",E199))),100,100000))),0))</f>
        <v/>
      </c>
      <c r="AF199" s="31" t="str">
        <f aca="false">IF(OR(K199="",M199="",L199=""),"",IFERROR(ABS(M199-K199)/ABS(K199-L199),0))</f>
        <v/>
      </c>
      <c r="AG199" s="31" t="str">
        <f aca="false">IF(OR(AE199="",AE199=0,Q199=0,Q199=""),"",IFERROR(AE199/Q199,0))</f>
        <v/>
      </c>
      <c r="AH199" s="32" t="str">
        <f aca="false">IF(AB199="","Open",IF(AG199="","Open",IF(AG199&gt;0.1,"Win",IF(AG199&lt;-0.1,"Loss","Breakeven"))))</f>
        <v>Open</v>
      </c>
      <c r="AI199" s="33" t="str">
        <f aca="false">IF(OR(B199="",D199=""),"",D199-B199)</f>
        <v/>
      </c>
      <c r="AJ199" s="24" t="str">
        <f aca="false">IF(AD199="","",IFERROR((AD199-K199)*IF(F199="Sell",-1,1)/IF(ISNUMBER(SEARCH("JPY",E199)),0.01,IF(ISNUMBER(SEARCH("XAU",E199)),0.01,IF(OR(ISNUMBER(SEARCH("30",E199)),ISNUMBER(SEARCH("500",E199)),ISNUMBER(SEARCH("100",E199))),1,0.0001))),0))</f>
        <v/>
      </c>
      <c r="AK199" s="12"/>
      <c r="AL199" s="12"/>
      <c r="AM199" s="12"/>
      <c r="AN199" s="12"/>
      <c r="AO199" s="27" t="str">
        <f aca="false">IF(AE199="","",IFERROR(IF(AO198="",SETTINGS!$B$6,AO198),SETTINGS!$B$6)+IF(AE199="",0,AE199))</f>
        <v/>
      </c>
      <c r="AP199" s="2"/>
    </row>
    <row r="200" customFormat="false" ht="15" hidden="false" customHeight="false" outlineLevel="0" collapsed="false">
      <c r="A200" s="24" t="str">
        <f aca="false">IF(B200="","",ROW()-3)</f>
        <v/>
      </c>
      <c r="B200" s="25"/>
      <c r="C200" s="10"/>
      <c r="D200" s="25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6"/>
      <c r="P200" s="24" t="str">
        <f aca="false">IF(K200="","",IFERROR(ABS(K200-L200)/IF(ISNUMBER(SEARCH("JPY",E200)),0.01,IF(ISNUMBER(SEARCH("XAU",E200)),0.01,IF(OR(ISNUMBER(SEARCH("30",E200)),ISNUMBER(SEARCH("500",E200)),ISNUMBER(SEARCH("100",E200))),1,0.0001))),0))</f>
        <v/>
      </c>
      <c r="Q200" s="27" t="str">
        <f aca="false">IF(K200="","",SETTINGS!$B$6*O200)</f>
        <v/>
      </c>
      <c r="R200" s="24" t="str">
        <f aca="false">IF(K200="","",IFERROR(Q200/(P200*IF(ISNUMBER(SEARCH("JPY",E200)),9.09,IF(ISNUMBER(SEARCH("XAU",E200)),1,IF(OR(ISNUMBER(SEARCH("30",E200)),ISNUMBER(SEARCH("500",E200)),ISNUMBER(SEARCH("100",E200))),1,10)))),0))</f>
        <v/>
      </c>
      <c r="S200" s="10"/>
      <c r="T200" s="28"/>
      <c r="U200" s="27" t="str">
        <f aca="false">IF(OR(S200="",T200=0),"",IFERROR((S200-K200)*IF(F200="Sell",-1,1)*R200*T200*IF(ISNUMBER(SEARCH("JPY",E200)),1000,IF(ISNUMBER(SEARCH("XAU",E200)),100,IF(OR(ISNUMBER(SEARCH("30",E200)),ISNUMBER(SEARCH("500",E200)),ISNUMBER(SEARCH("100",E200))),100,100000))),0))</f>
        <v/>
      </c>
      <c r="V200" s="10"/>
      <c r="W200" s="28"/>
      <c r="X200" s="27" t="str">
        <f aca="false">IF(OR(V200="",W200=0),"",IFERROR((V200-K200)*IF(F200="Sell",-1,1)*R200*W200*IF(ISNUMBER(SEARCH("JPY",E200)),1000,IF(ISNUMBER(SEARCH("XAU",E200)),100,IF(OR(ISNUMBER(SEARCH("30",E200)),ISNUMBER(SEARCH("500",E200)),ISNUMBER(SEARCH("100",E200))),100,100000))),0))</f>
        <v/>
      </c>
      <c r="Y200" s="10"/>
      <c r="Z200" s="28"/>
      <c r="AA200" s="27" t="str">
        <f aca="false">IF(OR(Y200="",Z200=0),"",IFERROR((Y200-K200)*IF(F200="Sell",-1,1)*R200*Z200*IF(ISNUMBER(SEARCH("JPY",E200)),1000,IF(ISNUMBER(SEARCH("XAU",E200)),100,IF(OR(ISNUMBER(SEARCH("30",E200)),ISNUMBER(SEARCH("500",E200)),ISNUMBER(SEARCH("100",E200))),100,100000))),0))</f>
        <v/>
      </c>
      <c r="AB200" s="10"/>
      <c r="AC200" s="29" t="str">
        <f aca="false">IF(K200="","",1-IFERROR(T200,0)-IFERROR(W200,0)-IFERROR(Z200,0))</f>
        <v/>
      </c>
      <c r="AD200" s="30" t="str">
        <f aca="false">IF(AB200="","",IFERROR((IFERROR(S200*T200,0)+IFERROR(V200*W200,0)+IFERROR(Y200*Z200,0)+AB200*AC200)/(IFERROR(T200,0)+IFERROR(W200,0)+IFERROR(Z200,0)+AC200),AB200))</f>
        <v/>
      </c>
      <c r="AE200" s="27" t="str">
        <f aca="false">IF(AB200="","",IF(U200="",0,U200)+IF(X200="",0,X200)+IF(AA200="",0,AA200)+IFERROR((AB200-K200)*IF(F200="Sell",-1,1)*R200*AC200*IF(ISNUMBER(SEARCH("JPY",E200)),1000,IF(ISNUMBER(SEARCH("XAU",E200)),100,IF(OR(ISNUMBER(SEARCH("30",E200)),ISNUMBER(SEARCH("500",E200)),ISNUMBER(SEARCH("100",E200))),100,100000))),0))</f>
        <v/>
      </c>
      <c r="AF200" s="31" t="str">
        <f aca="false">IF(OR(K200="",M200="",L200=""),"",IFERROR(ABS(M200-K200)/ABS(K200-L200),0))</f>
        <v/>
      </c>
      <c r="AG200" s="31" t="str">
        <f aca="false">IF(OR(AE200="",AE200=0,Q200=0,Q200=""),"",IFERROR(AE200/Q200,0))</f>
        <v/>
      </c>
      <c r="AH200" s="32" t="str">
        <f aca="false">IF(AB200="","Open",IF(AG200="","Open",IF(AG200&gt;0.1,"Win",IF(AG200&lt;-0.1,"Loss","Breakeven"))))</f>
        <v>Open</v>
      </c>
      <c r="AI200" s="33" t="str">
        <f aca="false">IF(OR(B200="",D200=""),"",D200-B200)</f>
        <v/>
      </c>
      <c r="AJ200" s="24" t="str">
        <f aca="false">IF(AD200="","",IFERROR((AD200-K200)*IF(F200="Sell",-1,1)/IF(ISNUMBER(SEARCH("JPY",E200)),0.01,IF(ISNUMBER(SEARCH("XAU",E200)),0.01,IF(OR(ISNUMBER(SEARCH("30",E200)),ISNUMBER(SEARCH("500",E200)),ISNUMBER(SEARCH("100",E200))),1,0.0001))),0))</f>
        <v/>
      </c>
      <c r="AK200" s="10"/>
      <c r="AL200" s="10"/>
      <c r="AM200" s="10"/>
      <c r="AN200" s="10"/>
      <c r="AO200" s="27" t="str">
        <f aca="false">IF(AE200="","",IFERROR(IF(AO199="",SETTINGS!$B$6,AO199),SETTINGS!$B$6)+IF(AE200="",0,AE200))</f>
        <v/>
      </c>
      <c r="AP200" s="2"/>
    </row>
    <row r="201" customFormat="false" ht="15" hidden="false" customHeight="false" outlineLevel="0" collapsed="false">
      <c r="A201" s="24" t="str">
        <f aca="false">IF(B201="","",ROW()-3)</f>
        <v/>
      </c>
      <c r="B201" s="34"/>
      <c r="C201" s="12"/>
      <c r="D201" s="34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35"/>
      <c r="P201" s="24" t="str">
        <f aca="false">IF(K201="","",IFERROR(ABS(K201-L201)/IF(ISNUMBER(SEARCH("JPY",E201)),0.01,IF(ISNUMBER(SEARCH("XAU",E201)),0.01,IF(OR(ISNUMBER(SEARCH("30",E201)),ISNUMBER(SEARCH("500",E201)),ISNUMBER(SEARCH("100",E201))),1,0.0001))),0))</f>
        <v/>
      </c>
      <c r="Q201" s="27" t="str">
        <f aca="false">IF(K201="","",SETTINGS!$B$6*O201)</f>
        <v/>
      </c>
      <c r="R201" s="24" t="str">
        <f aca="false">IF(K201="","",IFERROR(Q201/(P201*IF(ISNUMBER(SEARCH("JPY",E201)),9.09,IF(ISNUMBER(SEARCH("XAU",E201)),1,IF(OR(ISNUMBER(SEARCH("30",E201)),ISNUMBER(SEARCH("500",E201)),ISNUMBER(SEARCH("100",E201))),1,10)))),0))</f>
        <v/>
      </c>
      <c r="S201" s="12"/>
      <c r="T201" s="36"/>
      <c r="U201" s="27" t="str">
        <f aca="false">IF(OR(S201="",T201=0),"",IFERROR((S201-K201)*IF(F201="Sell",-1,1)*R201*T201*IF(ISNUMBER(SEARCH("JPY",E201)),1000,IF(ISNUMBER(SEARCH("XAU",E201)),100,IF(OR(ISNUMBER(SEARCH("30",E201)),ISNUMBER(SEARCH("500",E201)),ISNUMBER(SEARCH("100",E201))),100,100000))),0))</f>
        <v/>
      </c>
      <c r="V201" s="12"/>
      <c r="W201" s="36"/>
      <c r="X201" s="27" t="str">
        <f aca="false">IF(OR(V201="",W201=0),"",IFERROR((V201-K201)*IF(F201="Sell",-1,1)*R201*W201*IF(ISNUMBER(SEARCH("JPY",E201)),1000,IF(ISNUMBER(SEARCH("XAU",E201)),100,IF(OR(ISNUMBER(SEARCH("30",E201)),ISNUMBER(SEARCH("500",E201)),ISNUMBER(SEARCH("100",E201))),100,100000))),0))</f>
        <v/>
      </c>
      <c r="Y201" s="12"/>
      <c r="Z201" s="36"/>
      <c r="AA201" s="27" t="str">
        <f aca="false">IF(OR(Y201="",Z201=0),"",IFERROR((Y201-K201)*IF(F201="Sell",-1,1)*R201*Z201*IF(ISNUMBER(SEARCH("JPY",E201)),1000,IF(ISNUMBER(SEARCH("XAU",E201)),100,IF(OR(ISNUMBER(SEARCH("30",E201)),ISNUMBER(SEARCH("500",E201)),ISNUMBER(SEARCH("100",E201))),100,100000))),0))</f>
        <v/>
      </c>
      <c r="AB201" s="12"/>
      <c r="AC201" s="29" t="str">
        <f aca="false">IF(K201="","",1-IFERROR(T201,0)-IFERROR(W201,0)-IFERROR(Z201,0))</f>
        <v/>
      </c>
      <c r="AD201" s="30" t="str">
        <f aca="false">IF(AB201="","",IFERROR((IFERROR(S201*T201,0)+IFERROR(V201*W201,0)+IFERROR(Y201*Z201,0)+AB201*AC201)/(IFERROR(T201,0)+IFERROR(W201,0)+IFERROR(Z201,0)+AC201),AB201))</f>
        <v/>
      </c>
      <c r="AE201" s="27" t="str">
        <f aca="false">IF(AB201="","",IF(U201="",0,U201)+IF(X201="",0,X201)+IF(AA201="",0,AA201)+IFERROR((AB201-K201)*IF(F201="Sell",-1,1)*R201*AC201*IF(ISNUMBER(SEARCH("JPY",E201)),1000,IF(ISNUMBER(SEARCH("XAU",E201)),100,IF(OR(ISNUMBER(SEARCH("30",E201)),ISNUMBER(SEARCH("500",E201)),ISNUMBER(SEARCH("100",E201))),100,100000))),0))</f>
        <v/>
      </c>
      <c r="AF201" s="31" t="str">
        <f aca="false">IF(OR(K201="",M201="",L201=""),"",IFERROR(ABS(M201-K201)/ABS(K201-L201),0))</f>
        <v/>
      </c>
      <c r="AG201" s="31" t="str">
        <f aca="false">IF(OR(AE201="",AE201=0,Q201=0,Q201=""),"",IFERROR(AE201/Q201,0))</f>
        <v/>
      </c>
      <c r="AH201" s="32" t="str">
        <f aca="false">IF(AB201="","Open",IF(AG201="","Open",IF(AG201&gt;0.1,"Win",IF(AG201&lt;-0.1,"Loss","Breakeven"))))</f>
        <v>Open</v>
      </c>
      <c r="AI201" s="33" t="str">
        <f aca="false">IF(OR(B201="",D201=""),"",D201-B201)</f>
        <v/>
      </c>
      <c r="AJ201" s="24" t="str">
        <f aca="false">IF(AD201="","",IFERROR((AD201-K201)*IF(F201="Sell",-1,1)/IF(ISNUMBER(SEARCH("JPY",E201)),0.01,IF(ISNUMBER(SEARCH("XAU",E201)),0.01,IF(OR(ISNUMBER(SEARCH("30",E201)),ISNUMBER(SEARCH("500",E201)),ISNUMBER(SEARCH("100",E201))),1,0.0001))),0))</f>
        <v/>
      </c>
      <c r="AK201" s="12"/>
      <c r="AL201" s="12"/>
      <c r="AM201" s="12"/>
      <c r="AN201" s="12"/>
      <c r="AO201" s="27" t="str">
        <f aca="false">IF(AE201="","",IFERROR(IF(AO200="",SETTINGS!$B$6,AO200),SETTINGS!$B$6)+IF(AE201="",0,AE201))</f>
        <v/>
      </c>
      <c r="AP201" s="2"/>
    </row>
    <row r="202" customFormat="false" ht="15" hidden="false" customHeight="false" outlineLevel="0" collapsed="false">
      <c r="A202" s="24" t="str">
        <f aca="false">IF(B202="","",ROW()-3)</f>
        <v/>
      </c>
      <c r="B202" s="25"/>
      <c r="C202" s="10"/>
      <c r="D202" s="25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26"/>
      <c r="P202" s="24" t="str">
        <f aca="false">IF(K202="","",IFERROR(ABS(K202-L202)/IF(ISNUMBER(SEARCH("JPY",E202)),0.01,IF(ISNUMBER(SEARCH("XAU",E202)),0.01,IF(OR(ISNUMBER(SEARCH("30",E202)),ISNUMBER(SEARCH("500",E202)),ISNUMBER(SEARCH("100",E202))),1,0.0001))),0))</f>
        <v/>
      </c>
      <c r="Q202" s="27" t="str">
        <f aca="false">IF(K202="","",SETTINGS!$B$6*O202)</f>
        <v/>
      </c>
      <c r="R202" s="24" t="str">
        <f aca="false">IF(K202="","",IFERROR(Q202/(P202*IF(ISNUMBER(SEARCH("JPY",E202)),9.09,IF(ISNUMBER(SEARCH("XAU",E202)),1,IF(OR(ISNUMBER(SEARCH("30",E202)),ISNUMBER(SEARCH("500",E202)),ISNUMBER(SEARCH("100",E202))),1,10)))),0))</f>
        <v/>
      </c>
      <c r="S202" s="10"/>
      <c r="T202" s="28"/>
      <c r="U202" s="27" t="str">
        <f aca="false">IF(OR(S202="",T202=0),"",IFERROR((S202-K202)*IF(F202="Sell",-1,1)*R202*T202*IF(ISNUMBER(SEARCH("JPY",E202)),1000,IF(ISNUMBER(SEARCH("XAU",E202)),100,IF(OR(ISNUMBER(SEARCH("30",E202)),ISNUMBER(SEARCH("500",E202)),ISNUMBER(SEARCH("100",E202))),100,100000))),0))</f>
        <v/>
      </c>
      <c r="V202" s="10"/>
      <c r="W202" s="28"/>
      <c r="X202" s="27" t="str">
        <f aca="false">IF(OR(V202="",W202=0),"",IFERROR((V202-K202)*IF(F202="Sell",-1,1)*R202*W202*IF(ISNUMBER(SEARCH("JPY",E202)),1000,IF(ISNUMBER(SEARCH("XAU",E202)),100,IF(OR(ISNUMBER(SEARCH("30",E202)),ISNUMBER(SEARCH("500",E202)),ISNUMBER(SEARCH("100",E202))),100,100000))),0))</f>
        <v/>
      </c>
      <c r="Y202" s="10"/>
      <c r="Z202" s="28"/>
      <c r="AA202" s="27" t="str">
        <f aca="false">IF(OR(Y202="",Z202=0),"",IFERROR((Y202-K202)*IF(F202="Sell",-1,1)*R202*Z202*IF(ISNUMBER(SEARCH("JPY",E202)),1000,IF(ISNUMBER(SEARCH("XAU",E202)),100,IF(OR(ISNUMBER(SEARCH("30",E202)),ISNUMBER(SEARCH("500",E202)),ISNUMBER(SEARCH("100",E202))),100,100000))),0))</f>
        <v/>
      </c>
      <c r="AB202" s="10"/>
      <c r="AC202" s="29" t="str">
        <f aca="false">IF(K202="","",1-IFERROR(T202,0)-IFERROR(W202,0)-IFERROR(Z202,0))</f>
        <v/>
      </c>
      <c r="AD202" s="30" t="str">
        <f aca="false">IF(AB202="","",IFERROR((IFERROR(S202*T202,0)+IFERROR(V202*W202,0)+IFERROR(Y202*Z202,0)+AB202*AC202)/(IFERROR(T202,0)+IFERROR(W202,0)+IFERROR(Z202,0)+AC202),AB202))</f>
        <v/>
      </c>
      <c r="AE202" s="27" t="str">
        <f aca="false">IF(AB202="","",IF(U202="",0,U202)+IF(X202="",0,X202)+IF(AA202="",0,AA202)+IFERROR((AB202-K202)*IF(F202="Sell",-1,1)*R202*AC202*IF(ISNUMBER(SEARCH("JPY",E202)),1000,IF(ISNUMBER(SEARCH("XAU",E202)),100,IF(OR(ISNUMBER(SEARCH("30",E202)),ISNUMBER(SEARCH("500",E202)),ISNUMBER(SEARCH("100",E202))),100,100000))),0))</f>
        <v/>
      </c>
      <c r="AF202" s="31" t="str">
        <f aca="false">IF(OR(K202="",M202="",L202=""),"",IFERROR(ABS(M202-K202)/ABS(K202-L202),0))</f>
        <v/>
      </c>
      <c r="AG202" s="31" t="str">
        <f aca="false">IF(OR(AE202="",AE202=0,Q202=0,Q202=""),"",IFERROR(AE202/Q202,0))</f>
        <v/>
      </c>
      <c r="AH202" s="32" t="str">
        <f aca="false">IF(AB202="","Open",IF(AG202="","Open",IF(AG202&gt;0.1,"Win",IF(AG202&lt;-0.1,"Loss","Breakeven"))))</f>
        <v>Open</v>
      </c>
      <c r="AI202" s="33" t="str">
        <f aca="false">IF(OR(B202="",D202=""),"",D202-B202)</f>
        <v/>
      </c>
      <c r="AJ202" s="24" t="str">
        <f aca="false">IF(AD202="","",IFERROR((AD202-K202)*IF(F202="Sell",-1,1)/IF(ISNUMBER(SEARCH("JPY",E202)),0.01,IF(ISNUMBER(SEARCH("XAU",E202)),0.01,IF(OR(ISNUMBER(SEARCH("30",E202)),ISNUMBER(SEARCH("500",E202)),ISNUMBER(SEARCH("100",E202))),1,0.0001))),0))</f>
        <v/>
      </c>
      <c r="AK202" s="10"/>
      <c r="AL202" s="10"/>
      <c r="AM202" s="10"/>
      <c r="AN202" s="10"/>
      <c r="AO202" s="27" t="str">
        <f aca="false">IF(AE202="","",IFERROR(IF(AO201="",SETTINGS!$B$6,AO201),SETTINGS!$B$6)+IF(AE202="",0,AE202))</f>
        <v/>
      </c>
      <c r="AP202" s="2"/>
    </row>
    <row r="203" customFormat="false" ht="15" hidden="false" customHeight="false" outlineLevel="0" collapsed="false">
      <c r="A203" s="24" t="str">
        <f aca="false">IF(B203="","",ROW()-3)</f>
        <v/>
      </c>
      <c r="B203" s="34"/>
      <c r="C203" s="12"/>
      <c r="D203" s="34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35"/>
      <c r="P203" s="24" t="str">
        <f aca="false">IF(K203="","",IFERROR(ABS(K203-L203)/IF(ISNUMBER(SEARCH("JPY",E203)),0.01,IF(ISNUMBER(SEARCH("XAU",E203)),0.01,IF(OR(ISNUMBER(SEARCH("30",E203)),ISNUMBER(SEARCH("500",E203)),ISNUMBER(SEARCH("100",E203))),1,0.0001))),0))</f>
        <v/>
      </c>
      <c r="Q203" s="27" t="str">
        <f aca="false">IF(K203="","",SETTINGS!$B$6*O203)</f>
        <v/>
      </c>
      <c r="R203" s="24" t="str">
        <f aca="false">IF(K203="","",IFERROR(Q203/(P203*IF(ISNUMBER(SEARCH("JPY",E203)),9.09,IF(ISNUMBER(SEARCH("XAU",E203)),1,IF(OR(ISNUMBER(SEARCH("30",E203)),ISNUMBER(SEARCH("500",E203)),ISNUMBER(SEARCH("100",E203))),1,10)))),0))</f>
        <v/>
      </c>
      <c r="S203" s="12"/>
      <c r="T203" s="36"/>
      <c r="U203" s="27" t="str">
        <f aca="false">IF(OR(S203="",T203=0),"",IFERROR((S203-K203)*IF(F203="Sell",-1,1)*R203*T203*IF(ISNUMBER(SEARCH("JPY",E203)),1000,IF(ISNUMBER(SEARCH("XAU",E203)),100,IF(OR(ISNUMBER(SEARCH("30",E203)),ISNUMBER(SEARCH("500",E203)),ISNUMBER(SEARCH("100",E203))),100,100000))),0))</f>
        <v/>
      </c>
      <c r="V203" s="12"/>
      <c r="W203" s="36"/>
      <c r="X203" s="27" t="str">
        <f aca="false">IF(OR(V203="",W203=0),"",IFERROR((V203-K203)*IF(F203="Sell",-1,1)*R203*W203*IF(ISNUMBER(SEARCH("JPY",E203)),1000,IF(ISNUMBER(SEARCH("XAU",E203)),100,IF(OR(ISNUMBER(SEARCH("30",E203)),ISNUMBER(SEARCH("500",E203)),ISNUMBER(SEARCH("100",E203))),100,100000))),0))</f>
        <v/>
      </c>
      <c r="Y203" s="12"/>
      <c r="Z203" s="36"/>
      <c r="AA203" s="27" t="str">
        <f aca="false">IF(OR(Y203="",Z203=0),"",IFERROR((Y203-K203)*IF(F203="Sell",-1,1)*R203*Z203*IF(ISNUMBER(SEARCH("JPY",E203)),1000,IF(ISNUMBER(SEARCH("XAU",E203)),100,IF(OR(ISNUMBER(SEARCH("30",E203)),ISNUMBER(SEARCH("500",E203)),ISNUMBER(SEARCH("100",E203))),100,100000))),0))</f>
        <v/>
      </c>
      <c r="AB203" s="12"/>
      <c r="AC203" s="29" t="str">
        <f aca="false">IF(K203="","",1-IFERROR(T203,0)-IFERROR(W203,0)-IFERROR(Z203,0))</f>
        <v/>
      </c>
      <c r="AD203" s="30" t="str">
        <f aca="false">IF(AB203="","",IFERROR((IFERROR(S203*T203,0)+IFERROR(V203*W203,0)+IFERROR(Y203*Z203,0)+AB203*AC203)/(IFERROR(T203,0)+IFERROR(W203,0)+IFERROR(Z203,0)+AC203),AB203))</f>
        <v/>
      </c>
      <c r="AE203" s="27" t="str">
        <f aca="false">IF(AB203="","",IF(U203="",0,U203)+IF(X203="",0,X203)+IF(AA203="",0,AA203)+IFERROR((AB203-K203)*IF(F203="Sell",-1,1)*R203*AC203*IF(ISNUMBER(SEARCH("JPY",E203)),1000,IF(ISNUMBER(SEARCH("XAU",E203)),100,IF(OR(ISNUMBER(SEARCH("30",E203)),ISNUMBER(SEARCH("500",E203)),ISNUMBER(SEARCH("100",E203))),100,100000))),0))</f>
        <v/>
      </c>
      <c r="AF203" s="31" t="str">
        <f aca="false">IF(OR(K203="",M203="",L203=""),"",IFERROR(ABS(M203-K203)/ABS(K203-L203),0))</f>
        <v/>
      </c>
      <c r="AG203" s="31" t="str">
        <f aca="false">IF(OR(AE203="",AE203=0,Q203=0,Q203=""),"",IFERROR(AE203/Q203,0))</f>
        <v/>
      </c>
      <c r="AH203" s="32" t="str">
        <f aca="false">IF(AB203="","Open",IF(AG203="","Open",IF(AG203&gt;0.1,"Win",IF(AG203&lt;-0.1,"Loss","Breakeven"))))</f>
        <v>Open</v>
      </c>
      <c r="AI203" s="33" t="str">
        <f aca="false">IF(OR(B203="",D203=""),"",D203-B203)</f>
        <v/>
      </c>
      <c r="AJ203" s="24" t="str">
        <f aca="false">IF(AD203="","",IFERROR((AD203-K203)*IF(F203="Sell",-1,1)/IF(ISNUMBER(SEARCH("JPY",E203)),0.01,IF(ISNUMBER(SEARCH("XAU",E203)),0.01,IF(OR(ISNUMBER(SEARCH("30",E203)),ISNUMBER(SEARCH("500",E203)),ISNUMBER(SEARCH("100",E203))),1,0.0001))),0))</f>
        <v/>
      </c>
      <c r="AK203" s="12"/>
      <c r="AL203" s="12"/>
      <c r="AM203" s="12"/>
      <c r="AN203" s="12"/>
      <c r="AO203" s="27" t="str">
        <f aca="false">IF(AE203="","",IFERROR(IF(AO202="",SETTINGS!$B$6,AO202),SETTINGS!$B$6)+IF(AE203="",0,AE203))</f>
        <v/>
      </c>
      <c r="AP203" s="2"/>
    </row>
    <row r="204" customFormat="false" ht="15" hidden="false" customHeight="false" outlineLevel="0" collapsed="false">
      <c r="A204" s="24" t="str">
        <f aca="false">IF(B204="","",ROW()-3)</f>
        <v/>
      </c>
      <c r="B204" s="25"/>
      <c r="C204" s="10"/>
      <c r="D204" s="25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26"/>
      <c r="P204" s="24" t="str">
        <f aca="false">IF(K204="","",IFERROR(ABS(K204-L204)/IF(ISNUMBER(SEARCH("JPY",E204)),0.01,IF(ISNUMBER(SEARCH("XAU",E204)),0.01,IF(OR(ISNUMBER(SEARCH("30",E204)),ISNUMBER(SEARCH("500",E204)),ISNUMBER(SEARCH("100",E204))),1,0.0001))),0))</f>
        <v/>
      </c>
      <c r="Q204" s="27" t="str">
        <f aca="false">IF(K204="","",SETTINGS!$B$6*O204)</f>
        <v/>
      </c>
      <c r="R204" s="24" t="str">
        <f aca="false">IF(K204="","",IFERROR(Q204/(P204*IF(ISNUMBER(SEARCH("JPY",E204)),9.09,IF(ISNUMBER(SEARCH("XAU",E204)),1,IF(OR(ISNUMBER(SEARCH("30",E204)),ISNUMBER(SEARCH("500",E204)),ISNUMBER(SEARCH("100",E204))),1,10)))),0))</f>
        <v/>
      </c>
      <c r="S204" s="10"/>
      <c r="T204" s="28"/>
      <c r="U204" s="27" t="str">
        <f aca="false">IF(OR(S204="",T204=0),"",IFERROR((S204-K204)*IF(F204="Sell",-1,1)*R204*T204*IF(ISNUMBER(SEARCH("JPY",E204)),1000,IF(ISNUMBER(SEARCH("XAU",E204)),100,IF(OR(ISNUMBER(SEARCH("30",E204)),ISNUMBER(SEARCH("500",E204)),ISNUMBER(SEARCH("100",E204))),100,100000))),0))</f>
        <v/>
      </c>
      <c r="V204" s="10"/>
      <c r="W204" s="28"/>
      <c r="X204" s="27" t="str">
        <f aca="false">IF(OR(V204="",W204=0),"",IFERROR((V204-K204)*IF(F204="Sell",-1,1)*R204*W204*IF(ISNUMBER(SEARCH("JPY",E204)),1000,IF(ISNUMBER(SEARCH("XAU",E204)),100,IF(OR(ISNUMBER(SEARCH("30",E204)),ISNUMBER(SEARCH("500",E204)),ISNUMBER(SEARCH("100",E204))),100,100000))),0))</f>
        <v/>
      </c>
      <c r="Y204" s="10"/>
      <c r="Z204" s="28"/>
      <c r="AA204" s="27" t="str">
        <f aca="false">IF(OR(Y204="",Z204=0),"",IFERROR((Y204-K204)*IF(F204="Sell",-1,1)*R204*Z204*IF(ISNUMBER(SEARCH("JPY",E204)),1000,IF(ISNUMBER(SEARCH("XAU",E204)),100,IF(OR(ISNUMBER(SEARCH("30",E204)),ISNUMBER(SEARCH("500",E204)),ISNUMBER(SEARCH("100",E204))),100,100000))),0))</f>
        <v/>
      </c>
      <c r="AB204" s="10"/>
      <c r="AC204" s="29" t="str">
        <f aca="false">IF(K204="","",1-IFERROR(T204,0)-IFERROR(W204,0)-IFERROR(Z204,0))</f>
        <v/>
      </c>
      <c r="AD204" s="30" t="str">
        <f aca="false">IF(AB204="","",IFERROR((IFERROR(S204*T204,0)+IFERROR(V204*W204,0)+IFERROR(Y204*Z204,0)+AB204*AC204)/(IFERROR(T204,0)+IFERROR(W204,0)+IFERROR(Z204,0)+AC204),AB204))</f>
        <v/>
      </c>
      <c r="AE204" s="27" t="str">
        <f aca="false">IF(AB204="","",IF(U204="",0,U204)+IF(X204="",0,X204)+IF(AA204="",0,AA204)+IFERROR((AB204-K204)*IF(F204="Sell",-1,1)*R204*AC204*IF(ISNUMBER(SEARCH("JPY",E204)),1000,IF(ISNUMBER(SEARCH("XAU",E204)),100,IF(OR(ISNUMBER(SEARCH("30",E204)),ISNUMBER(SEARCH("500",E204)),ISNUMBER(SEARCH("100",E204))),100,100000))),0))</f>
        <v/>
      </c>
      <c r="AF204" s="31" t="str">
        <f aca="false">IF(OR(K204="",M204="",L204=""),"",IFERROR(ABS(M204-K204)/ABS(K204-L204),0))</f>
        <v/>
      </c>
      <c r="AG204" s="31" t="str">
        <f aca="false">IF(OR(AE204="",AE204=0,Q204=0,Q204=""),"",IFERROR(AE204/Q204,0))</f>
        <v/>
      </c>
      <c r="AH204" s="32" t="str">
        <f aca="false">IF(AB204="","Open",IF(AG204="","Open",IF(AG204&gt;0.1,"Win",IF(AG204&lt;-0.1,"Loss","Breakeven"))))</f>
        <v>Open</v>
      </c>
      <c r="AI204" s="33" t="str">
        <f aca="false">IF(OR(B204="",D204=""),"",D204-B204)</f>
        <v/>
      </c>
      <c r="AJ204" s="24" t="str">
        <f aca="false">IF(AD204="","",IFERROR((AD204-K204)*IF(F204="Sell",-1,1)/IF(ISNUMBER(SEARCH("JPY",E204)),0.01,IF(ISNUMBER(SEARCH("XAU",E204)),0.01,IF(OR(ISNUMBER(SEARCH("30",E204)),ISNUMBER(SEARCH("500",E204)),ISNUMBER(SEARCH("100",E204))),1,0.0001))),0))</f>
        <v/>
      </c>
      <c r="AK204" s="10"/>
      <c r="AL204" s="10"/>
      <c r="AM204" s="10"/>
      <c r="AN204" s="10"/>
      <c r="AO204" s="27" t="str">
        <f aca="false">IF(AE204="","",IFERROR(IF(AO203="",SETTINGS!$B$6,AO203),SETTINGS!$B$6)+IF(AE204="",0,AE204))</f>
        <v/>
      </c>
      <c r="AP204" s="2"/>
    </row>
    <row r="205" customFormat="false" ht="15" hidden="false" customHeight="false" outlineLevel="0" collapsed="false">
      <c r="A205" s="24" t="str">
        <f aca="false">IF(B205="","",ROW()-3)</f>
        <v/>
      </c>
      <c r="B205" s="34"/>
      <c r="C205" s="12"/>
      <c r="D205" s="34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35"/>
      <c r="P205" s="24" t="str">
        <f aca="false">IF(K205="","",IFERROR(ABS(K205-L205)/IF(ISNUMBER(SEARCH("JPY",E205)),0.01,IF(ISNUMBER(SEARCH("XAU",E205)),0.01,IF(OR(ISNUMBER(SEARCH("30",E205)),ISNUMBER(SEARCH("500",E205)),ISNUMBER(SEARCH("100",E205))),1,0.0001))),0))</f>
        <v/>
      </c>
      <c r="Q205" s="27" t="str">
        <f aca="false">IF(K205="","",SETTINGS!$B$6*O205)</f>
        <v/>
      </c>
      <c r="R205" s="24" t="str">
        <f aca="false">IF(K205="","",IFERROR(Q205/(P205*IF(ISNUMBER(SEARCH("JPY",E205)),9.09,IF(ISNUMBER(SEARCH("XAU",E205)),1,IF(OR(ISNUMBER(SEARCH("30",E205)),ISNUMBER(SEARCH("500",E205)),ISNUMBER(SEARCH("100",E205))),1,10)))),0))</f>
        <v/>
      </c>
      <c r="S205" s="12"/>
      <c r="T205" s="36"/>
      <c r="U205" s="27" t="str">
        <f aca="false">IF(OR(S205="",T205=0),"",IFERROR((S205-K205)*IF(F205="Sell",-1,1)*R205*T205*IF(ISNUMBER(SEARCH("JPY",E205)),1000,IF(ISNUMBER(SEARCH("XAU",E205)),100,IF(OR(ISNUMBER(SEARCH("30",E205)),ISNUMBER(SEARCH("500",E205)),ISNUMBER(SEARCH("100",E205))),100,100000))),0))</f>
        <v/>
      </c>
      <c r="V205" s="12"/>
      <c r="W205" s="36"/>
      <c r="X205" s="27" t="str">
        <f aca="false">IF(OR(V205="",W205=0),"",IFERROR((V205-K205)*IF(F205="Sell",-1,1)*R205*W205*IF(ISNUMBER(SEARCH("JPY",E205)),1000,IF(ISNUMBER(SEARCH("XAU",E205)),100,IF(OR(ISNUMBER(SEARCH("30",E205)),ISNUMBER(SEARCH("500",E205)),ISNUMBER(SEARCH("100",E205))),100,100000))),0))</f>
        <v/>
      </c>
      <c r="Y205" s="12"/>
      <c r="Z205" s="36"/>
      <c r="AA205" s="27" t="str">
        <f aca="false">IF(OR(Y205="",Z205=0),"",IFERROR((Y205-K205)*IF(F205="Sell",-1,1)*R205*Z205*IF(ISNUMBER(SEARCH("JPY",E205)),1000,IF(ISNUMBER(SEARCH("XAU",E205)),100,IF(OR(ISNUMBER(SEARCH("30",E205)),ISNUMBER(SEARCH("500",E205)),ISNUMBER(SEARCH("100",E205))),100,100000))),0))</f>
        <v/>
      </c>
      <c r="AB205" s="12"/>
      <c r="AC205" s="29" t="str">
        <f aca="false">IF(K205="","",1-IFERROR(T205,0)-IFERROR(W205,0)-IFERROR(Z205,0))</f>
        <v/>
      </c>
      <c r="AD205" s="30" t="str">
        <f aca="false">IF(AB205="","",IFERROR((IFERROR(S205*T205,0)+IFERROR(V205*W205,0)+IFERROR(Y205*Z205,0)+AB205*AC205)/(IFERROR(T205,0)+IFERROR(W205,0)+IFERROR(Z205,0)+AC205),AB205))</f>
        <v/>
      </c>
      <c r="AE205" s="27" t="str">
        <f aca="false">IF(AB205="","",IF(U205="",0,U205)+IF(X205="",0,X205)+IF(AA205="",0,AA205)+IFERROR((AB205-K205)*IF(F205="Sell",-1,1)*R205*AC205*IF(ISNUMBER(SEARCH("JPY",E205)),1000,IF(ISNUMBER(SEARCH("XAU",E205)),100,IF(OR(ISNUMBER(SEARCH("30",E205)),ISNUMBER(SEARCH("500",E205)),ISNUMBER(SEARCH("100",E205))),100,100000))),0))</f>
        <v/>
      </c>
      <c r="AF205" s="31" t="str">
        <f aca="false">IF(OR(K205="",M205="",L205=""),"",IFERROR(ABS(M205-K205)/ABS(K205-L205),0))</f>
        <v/>
      </c>
      <c r="AG205" s="31" t="str">
        <f aca="false">IF(OR(AE205="",AE205=0,Q205=0,Q205=""),"",IFERROR(AE205/Q205,0))</f>
        <v/>
      </c>
      <c r="AH205" s="32" t="str">
        <f aca="false">IF(AB205="","Open",IF(AG205="","Open",IF(AG205&gt;0.1,"Win",IF(AG205&lt;-0.1,"Loss","Breakeven"))))</f>
        <v>Open</v>
      </c>
      <c r="AI205" s="33" t="str">
        <f aca="false">IF(OR(B205="",D205=""),"",D205-B205)</f>
        <v/>
      </c>
      <c r="AJ205" s="24" t="str">
        <f aca="false">IF(AD205="","",IFERROR((AD205-K205)*IF(F205="Sell",-1,1)/IF(ISNUMBER(SEARCH("JPY",E205)),0.01,IF(ISNUMBER(SEARCH("XAU",E205)),0.01,IF(OR(ISNUMBER(SEARCH("30",E205)),ISNUMBER(SEARCH("500",E205)),ISNUMBER(SEARCH("100",E205))),1,0.0001))),0))</f>
        <v/>
      </c>
      <c r="AK205" s="12"/>
      <c r="AL205" s="12"/>
      <c r="AM205" s="12"/>
      <c r="AN205" s="12"/>
      <c r="AO205" s="27" t="str">
        <f aca="false">IF(AE205="","",IFERROR(IF(AO204="",SETTINGS!$B$6,AO204),SETTINGS!$B$6)+IF(AE205="",0,AE205))</f>
        <v/>
      </c>
      <c r="AP205" s="2"/>
    </row>
    <row r="206" customFormat="false" ht="15" hidden="false" customHeight="false" outlineLevel="0" collapsed="false">
      <c r="A206" s="24" t="str">
        <f aca="false">IF(B206="","",ROW()-3)</f>
        <v/>
      </c>
      <c r="B206" s="25"/>
      <c r="C206" s="10"/>
      <c r="D206" s="25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26"/>
      <c r="P206" s="24" t="str">
        <f aca="false">IF(K206="","",IFERROR(ABS(K206-L206)/IF(ISNUMBER(SEARCH("JPY",E206)),0.01,IF(ISNUMBER(SEARCH("XAU",E206)),0.01,IF(OR(ISNUMBER(SEARCH("30",E206)),ISNUMBER(SEARCH("500",E206)),ISNUMBER(SEARCH("100",E206))),1,0.0001))),0))</f>
        <v/>
      </c>
      <c r="Q206" s="27" t="str">
        <f aca="false">IF(K206="","",SETTINGS!$B$6*O206)</f>
        <v/>
      </c>
      <c r="R206" s="24" t="str">
        <f aca="false">IF(K206="","",IFERROR(Q206/(P206*IF(ISNUMBER(SEARCH("JPY",E206)),9.09,IF(ISNUMBER(SEARCH("XAU",E206)),1,IF(OR(ISNUMBER(SEARCH("30",E206)),ISNUMBER(SEARCH("500",E206)),ISNUMBER(SEARCH("100",E206))),1,10)))),0))</f>
        <v/>
      </c>
      <c r="S206" s="10"/>
      <c r="T206" s="28"/>
      <c r="U206" s="27" t="str">
        <f aca="false">IF(OR(S206="",T206=0),"",IFERROR((S206-K206)*IF(F206="Sell",-1,1)*R206*T206*IF(ISNUMBER(SEARCH("JPY",E206)),1000,IF(ISNUMBER(SEARCH("XAU",E206)),100,IF(OR(ISNUMBER(SEARCH("30",E206)),ISNUMBER(SEARCH("500",E206)),ISNUMBER(SEARCH("100",E206))),100,100000))),0))</f>
        <v/>
      </c>
      <c r="V206" s="10"/>
      <c r="W206" s="28"/>
      <c r="X206" s="27" t="str">
        <f aca="false">IF(OR(V206="",W206=0),"",IFERROR((V206-K206)*IF(F206="Sell",-1,1)*R206*W206*IF(ISNUMBER(SEARCH("JPY",E206)),1000,IF(ISNUMBER(SEARCH("XAU",E206)),100,IF(OR(ISNUMBER(SEARCH("30",E206)),ISNUMBER(SEARCH("500",E206)),ISNUMBER(SEARCH("100",E206))),100,100000))),0))</f>
        <v/>
      </c>
      <c r="Y206" s="10"/>
      <c r="Z206" s="28"/>
      <c r="AA206" s="27" t="str">
        <f aca="false">IF(OR(Y206="",Z206=0),"",IFERROR((Y206-K206)*IF(F206="Sell",-1,1)*R206*Z206*IF(ISNUMBER(SEARCH("JPY",E206)),1000,IF(ISNUMBER(SEARCH("XAU",E206)),100,IF(OR(ISNUMBER(SEARCH("30",E206)),ISNUMBER(SEARCH("500",E206)),ISNUMBER(SEARCH("100",E206))),100,100000))),0))</f>
        <v/>
      </c>
      <c r="AB206" s="10"/>
      <c r="AC206" s="29" t="str">
        <f aca="false">IF(K206="","",1-IFERROR(T206,0)-IFERROR(W206,0)-IFERROR(Z206,0))</f>
        <v/>
      </c>
      <c r="AD206" s="30" t="str">
        <f aca="false">IF(AB206="","",IFERROR((IFERROR(S206*T206,0)+IFERROR(V206*W206,0)+IFERROR(Y206*Z206,0)+AB206*AC206)/(IFERROR(T206,0)+IFERROR(W206,0)+IFERROR(Z206,0)+AC206),AB206))</f>
        <v/>
      </c>
      <c r="AE206" s="27" t="str">
        <f aca="false">IF(AB206="","",IF(U206="",0,U206)+IF(X206="",0,X206)+IF(AA206="",0,AA206)+IFERROR((AB206-K206)*IF(F206="Sell",-1,1)*R206*AC206*IF(ISNUMBER(SEARCH("JPY",E206)),1000,IF(ISNUMBER(SEARCH("XAU",E206)),100,IF(OR(ISNUMBER(SEARCH("30",E206)),ISNUMBER(SEARCH("500",E206)),ISNUMBER(SEARCH("100",E206))),100,100000))),0))</f>
        <v/>
      </c>
      <c r="AF206" s="31" t="str">
        <f aca="false">IF(OR(K206="",M206="",L206=""),"",IFERROR(ABS(M206-K206)/ABS(K206-L206),0))</f>
        <v/>
      </c>
      <c r="AG206" s="31" t="str">
        <f aca="false">IF(OR(AE206="",AE206=0,Q206=0,Q206=""),"",IFERROR(AE206/Q206,0))</f>
        <v/>
      </c>
      <c r="AH206" s="32" t="str">
        <f aca="false">IF(AB206="","Open",IF(AG206="","Open",IF(AG206&gt;0.1,"Win",IF(AG206&lt;-0.1,"Loss","Breakeven"))))</f>
        <v>Open</v>
      </c>
      <c r="AI206" s="33" t="str">
        <f aca="false">IF(OR(B206="",D206=""),"",D206-B206)</f>
        <v/>
      </c>
      <c r="AJ206" s="24" t="str">
        <f aca="false">IF(AD206="","",IFERROR((AD206-K206)*IF(F206="Sell",-1,1)/IF(ISNUMBER(SEARCH("JPY",E206)),0.01,IF(ISNUMBER(SEARCH("XAU",E206)),0.01,IF(OR(ISNUMBER(SEARCH("30",E206)),ISNUMBER(SEARCH("500",E206)),ISNUMBER(SEARCH("100",E206))),1,0.0001))),0))</f>
        <v/>
      </c>
      <c r="AK206" s="10"/>
      <c r="AL206" s="10"/>
      <c r="AM206" s="10"/>
      <c r="AN206" s="10"/>
      <c r="AO206" s="27" t="str">
        <f aca="false">IF(AE206="","",IFERROR(IF(AO205="",SETTINGS!$B$6,AO205),SETTINGS!$B$6)+IF(AE206="",0,AE206))</f>
        <v/>
      </c>
      <c r="AP206" s="2"/>
    </row>
    <row r="207" customFormat="false" ht="15" hidden="false" customHeight="false" outlineLevel="0" collapsed="false">
      <c r="A207" s="24" t="str">
        <f aca="false">IF(B207="","",ROW()-3)</f>
        <v/>
      </c>
      <c r="B207" s="34"/>
      <c r="C207" s="12"/>
      <c r="D207" s="34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35"/>
      <c r="P207" s="24" t="str">
        <f aca="false">IF(K207="","",IFERROR(ABS(K207-L207)/IF(ISNUMBER(SEARCH("JPY",E207)),0.01,IF(ISNUMBER(SEARCH("XAU",E207)),0.01,IF(OR(ISNUMBER(SEARCH("30",E207)),ISNUMBER(SEARCH("500",E207)),ISNUMBER(SEARCH("100",E207))),1,0.0001))),0))</f>
        <v/>
      </c>
      <c r="Q207" s="27" t="str">
        <f aca="false">IF(K207="","",SETTINGS!$B$6*O207)</f>
        <v/>
      </c>
      <c r="R207" s="24" t="str">
        <f aca="false">IF(K207="","",IFERROR(Q207/(P207*IF(ISNUMBER(SEARCH("JPY",E207)),9.09,IF(ISNUMBER(SEARCH("XAU",E207)),1,IF(OR(ISNUMBER(SEARCH("30",E207)),ISNUMBER(SEARCH("500",E207)),ISNUMBER(SEARCH("100",E207))),1,10)))),0))</f>
        <v/>
      </c>
      <c r="S207" s="12"/>
      <c r="T207" s="36"/>
      <c r="U207" s="27" t="str">
        <f aca="false">IF(OR(S207="",T207=0),"",IFERROR((S207-K207)*IF(F207="Sell",-1,1)*R207*T207*IF(ISNUMBER(SEARCH("JPY",E207)),1000,IF(ISNUMBER(SEARCH("XAU",E207)),100,IF(OR(ISNUMBER(SEARCH("30",E207)),ISNUMBER(SEARCH("500",E207)),ISNUMBER(SEARCH("100",E207))),100,100000))),0))</f>
        <v/>
      </c>
      <c r="V207" s="12"/>
      <c r="W207" s="36"/>
      <c r="X207" s="27" t="str">
        <f aca="false">IF(OR(V207="",W207=0),"",IFERROR((V207-K207)*IF(F207="Sell",-1,1)*R207*W207*IF(ISNUMBER(SEARCH("JPY",E207)),1000,IF(ISNUMBER(SEARCH("XAU",E207)),100,IF(OR(ISNUMBER(SEARCH("30",E207)),ISNUMBER(SEARCH("500",E207)),ISNUMBER(SEARCH("100",E207))),100,100000))),0))</f>
        <v/>
      </c>
      <c r="Y207" s="12"/>
      <c r="Z207" s="36"/>
      <c r="AA207" s="27" t="str">
        <f aca="false">IF(OR(Y207="",Z207=0),"",IFERROR((Y207-K207)*IF(F207="Sell",-1,1)*R207*Z207*IF(ISNUMBER(SEARCH("JPY",E207)),1000,IF(ISNUMBER(SEARCH("XAU",E207)),100,IF(OR(ISNUMBER(SEARCH("30",E207)),ISNUMBER(SEARCH("500",E207)),ISNUMBER(SEARCH("100",E207))),100,100000))),0))</f>
        <v/>
      </c>
      <c r="AB207" s="12"/>
      <c r="AC207" s="29" t="str">
        <f aca="false">IF(K207="","",1-IFERROR(T207,0)-IFERROR(W207,0)-IFERROR(Z207,0))</f>
        <v/>
      </c>
      <c r="AD207" s="30" t="str">
        <f aca="false">IF(AB207="","",IFERROR((IFERROR(S207*T207,0)+IFERROR(V207*W207,0)+IFERROR(Y207*Z207,0)+AB207*AC207)/(IFERROR(T207,0)+IFERROR(W207,0)+IFERROR(Z207,0)+AC207),AB207))</f>
        <v/>
      </c>
      <c r="AE207" s="27" t="str">
        <f aca="false">IF(AB207="","",IF(U207="",0,U207)+IF(X207="",0,X207)+IF(AA207="",0,AA207)+IFERROR((AB207-K207)*IF(F207="Sell",-1,1)*R207*AC207*IF(ISNUMBER(SEARCH("JPY",E207)),1000,IF(ISNUMBER(SEARCH("XAU",E207)),100,IF(OR(ISNUMBER(SEARCH("30",E207)),ISNUMBER(SEARCH("500",E207)),ISNUMBER(SEARCH("100",E207))),100,100000))),0))</f>
        <v/>
      </c>
      <c r="AF207" s="31" t="str">
        <f aca="false">IF(OR(K207="",M207="",L207=""),"",IFERROR(ABS(M207-K207)/ABS(K207-L207),0))</f>
        <v/>
      </c>
      <c r="AG207" s="31" t="str">
        <f aca="false">IF(OR(AE207="",AE207=0,Q207=0,Q207=""),"",IFERROR(AE207/Q207,0))</f>
        <v/>
      </c>
      <c r="AH207" s="32" t="str">
        <f aca="false">IF(AB207="","Open",IF(AG207="","Open",IF(AG207&gt;0.1,"Win",IF(AG207&lt;-0.1,"Loss","Breakeven"))))</f>
        <v>Open</v>
      </c>
      <c r="AI207" s="33" t="str">
        <f aca="false">IF(OR(B207="",D207=""),"",D207-B207)</f>
        <v/>
      </c>
      <c r="AJ207" s="24" t="str">
        <f aca="false">IF(AD207="","",IFERROR((AD207-K207)*IF(F207="Sell",-1,1)/IF(ISNUMBER(SEARCH("JPY",E207)),0.01,IF(ISNUMBER(SEARCH("XAU",E207)),0.01,IF(OR(ISNUMBER(SEARCH("30",E207)),ISNUMBER(SEARCH("500",E207)),ISNUMBER(SEARCH("100",E207))),1,0.0001))),0))</f>
        <v/>
      </c>
      <c r="AK207" s="12"/>
      <c r="AL207" s="12"/>
      <c r="AM207" s="12"/>
      <c r="AN207" s="12"/>
      <c r="AO207" s="27" t="str">
        <f aca="false">IF(AE207="","",IFERROR(IF(AO206="",SETTINGS!$B$6,AO206),SETTINGS!$B$6)+IF(AE207="",0,AE207))</f>
        <v/>
      </c>
      <c r="AP207" s="2"/>
    </row>
    <row r="208" customFormat="false" ht="15" hidden="false" customHeight="false" outlineLevel="0" collapsed="false">
      <c r="A208" s="24" t="str">
        <f aca="false">IF(B208="","",ROW()-3)</f>
        <v/>
      </c>
      <c r="B208" s="25"/>
      <c r="C208" s="10"/>
      <c r="D208" s="25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26"/>
      <c r="P208" s="24" t="str">
        <f aca="false">IF(K208="","",IFERROR(ABS(K208-L208)/IF(ISNUMBER(SEARCH("JPY",E208)),0.01,IF(ISNUMBER(SEARCH("XAU",E208)),0.01,IF(OR(ISNUMBER(SEARCH("30",E208)),ISNUMBER(SEARCH("500",E208)),ISNUMBER(SEARCH("100",E208))),1,0.0001))),0))</f>
        <v/>
      </c>
      <c r="Q208" s="27" t="str">
        <f aca="false">IF(K208="","",SETTINGS!$B$6*O208)</f>
        <v/>
      </c>
      <c r="R208" s="24" t="str">
        <f aca="false">IF(K208="","",IFERROR(Q208/(P208*IF(ISNUMBER(SEARCH("JPY",E208)),9.09,IF(ISNUMBER(SEARCH("XAU",E208)),1,IF(OR(ISNUMBER(SEARCH("30",E208)),ISNUMBER(SEARCH("500",E208)),ISNUMBER(SEARCH("100",E208))),1,10)))),0))</f>
        <v/>
      </c>
      <c r="S208" s="10"/>
      <c r="T208" s="28"/>
      <c r="U208" s="27" t="str">
        <f aca="false">IF(OR(S208="",T208=0),"",IFERROR((S208-K208)*IF(F208="Sell",-1,1)*R208*T208*IF(ISNUMBER(SEARCH("JPY",E208)),1000,IF(ISNUMBER(SEARCH("XAU",E208)),100,IF(OR(ISNUMBER(SEARCH("30",E208)),ISNUMBER(SEARCH("500",E208)),ISNUMBER(SEARCH("100",E208))),100,100000))),0))</f>
        <v/>
      </c>
      <c r="V208" s="10"/>
      <c r="W208" s="28"/>
      <c r="X208" s="27" t="str">
        <f aca="false">IF(OR(V208="",W208=0),"",IFERROR((V208-K208)*IF(F208="Sell",-1,1)*R208*W208*IF(ISNUMBER(SEARCH("JPY",E208)),1000,IF(ISNUMBER(SEARCH("XAU",E208)),100,IF(OR(ISNUMBER(SEARCH("30",E208)),ISNUMBER(SEARCH("500",E208)),ISNUMBER(SEARCH("100",E208))),100,100000))),0))</f>
        <v/>
      </c>
      <c r="Y208" s="10"/>
      <c r="Z208" s="28"/>
      <c r="AA208" s="27" t="str">
        <f aca="false">IF(OR(Y208="",Z208=0),"",IFERROR((Y208-K208)*IF(F208="Sell",-1,1)*R208*Z208*IF(ISNUMBER(SEARCH("JPY",E208)),1000,IF(ISNUMBER(SEARCH("XAU",E208)),100,IF(OR(ISNUMBER(SEARCH("30",E208)),ISNUMBER(SEARCH("500",E208)),ISNUMBER(SEARCH("100",E208))),100,100000))),0))</f>
        <v/>
      </c>
      <c r="AB208" s="10"/>
      <c r="AC208" s="29" t="str">
        <f aca="false">IF(K208="","",1-IFERROR(T208,0)-IFERROR(W208,0)-IFERROR(Z208,0))</f>
        <v/>
      </c>
      <c r="AD208" s="30" t="str">
        <f aca="false">IF(AB208="","",IFERROR((IFERROR(S208*T208,0)+IFERROR(V208*W208,0)+IFERROR(Y208*Z208,0)+AB208*AC208)/(IFERROR(T208,0)+IFERROR(W208,0)+IFERROR(Z208,0)+AC208),AB208))</f>
        <v/>
      </c>
      <c r="AE208" s="27" t="str">
        <f aca="false">IF(AB208="","",IF(U208="",0,U208)+IF(X208="",0,X208)+IF(AA208="",0,AA208)+IFERROR((AB208-K208)*IF(F208="Sell",-1,1)*R208*AC208*IF(ISNUMBER(SEARCH("JPY",E208)),1000,IF(ISNUMBER(SEARCH("XAU",E208)),100,IF(OR(ISNUMBER(SEARCH("30",E208)),ISNUMBER(SEARCH("500",E208)),ISNUMBER(SEARCH("100",E208))),100,100000))),0))</f>
        <v/>
      </c>
      <c r="AF208" s="31" t="str">
        <f aca="false">IF(OR(K208="",M208="",L208=""),"",IFERROR(ABS(M208-K208)/ABS(K208-L208),0))</f>
        <v/>
      </c>
      <c r="AG208" s="31" t="str">
        <f aca="false">IF(OR(AE208="",AE208=0,Q208=0,Q208=""),"",IFERROR(AE208/Q208,0))</f>
        <v/>
      </c>
      <c r="AH208" s="32" t="str">
        <f aca="false">IF(AB208="","Open",IF(AG208="","Open",IF(AG208&gt;0.1,"Win",IF(AG208&lt;-0.1,"Loss","Breakeven"))))</f>
        <v>Open</v>
      </c>
      <c r="AI208" s="33" t="str">
        <f aca="false">IF(OR(B208="",D208=""),"",D208-B208)</f>
        <v/>
      </c>
      <c r="AJ208" s="24" t="str">
        <f aca="false">IF(AD208="","",IFERROR((AD208-K208)*IF(F208="Sell",-1,1)/IF(ISNUMBER(SEARCH("JPY",E208)),0.01,IF(ISNUMBER(SEARCH("XAU",E208)),0.01,IF(OR(ISNUMBER(SEARCH("30",E208)),ISNUMBER(SEARCH("500",E208)),ISNUMBER(SEARCH("100",E208))),1,0.0001))),0))</f>
        <v/>
      </c>
      <c r="AK208" s="10"/>
      <c r="AL208" s="10"/>
      <c r="AM208" s="10"/>
      <c r="AN208" s="10"/>
      <c r="AO208" s="27" t="str">
        <f aca="false">IF(AE208="","",IFERROR(IF(AO207="",SETTINGS!$B$6,AO207),SETTINGS!$B$6)+IF(AE208="",0,AE208))</f>
        <v/>
      </c>
      <c r="AP208" s="2"/>
    </row>
    <row r="209" customFormat="false" ht="15" hidden="false" customHeight="false" outlineLevel="0" collapsed="false">
      <c r="A209" s="24" t="str">
        <f aca="false">IF(B209="","",ROW()-3)</f>
        <v/>
      </c>
      <c r="B209" s="34"/>
      <c r="C209" s="12"/>
      <c r="D209" s="34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35"/>
      <c r="P209" s="24" t="str">
        <f aca="false">IF(K209="","",IFERROR(ABS(K209-L209)/IF(ISNUMBER(SEARCH("JPY",E209)),0.01,IF(ISNUMBER(SEARCH("XAU",E209)),0.01,IF(OR(ISNUMBER(SEARCH("30",E209)),ISNUMBER(SEARCH("500",E209)),ISNUMBER(SEARCH("100",E209))),1,0.0001))),0))</f>
        <v/>
      </c>
      <c r="Q209" s="27" t="str">
        <f aca="false">IF(K209="","",SETTINGS!$B$6*O209)</f>
        <v/>
      </c>
      <c r="R209" s="24" t="str">
        <f aca="false">IF(K209="","",IFERROR(Q209/(P209*IF(ISNUMBER(SEARCH("JPY",E209)),9.09,IF(ISNUMBER(SEARCH("XAU",E209)),1,IF(OR(ISNUMBER(SEARCH("30",E209)),ISNUMBER(SEARCH("500",E209)),ISNUMBER(SEARCH("100",E209))),1,10)))),0))</f>
        <v/>
      </c>
      <c r="S209" s="12"/>
      <c r="T209" s="36"/>
      <c r="U209" s="27" t="str">
        <f aca="false">IF(OR(S209="",T209=0),"",IFERROR((S209-K209)*IF(F209="Sell",-1,1)*R209*T209*IF(ISNUMBER(SEARCH("JPY",E209)),1000,IF(ISNUMBER(SEARCH("XAU",E209)),100,IF(OR(ISNUMBER(SEARCH("30",E209)),ISNUMBER(SEARCH("500",E209)),ISNUMBER(SEARCH("100",E209))),100,100000))),0))</f>
        <v/>
      </c>
      <c r="V209" s="12"/>
      <c r="W209" s="36"/>
      <c r="X209" s="27" t="str">
        <f aca="false">IF(OR(V209="",W209=0),"",IFERROR((V209-K209)*IF(F209="Sell",-1,1)*R209*W209*IF(ISNUMBER(SEARCH("JPY",E209)),1000,IF(ISNUMBER(SEARCH("XAU",E209)),100,IF(OR(ISNUMBER(SEARCH("30",E209)),ISNUMBER(SEARCH("500",E209)),ISNUMBER(SEARCH("100",E209))),100,100000))),0))</f>
        <v/>
      </c>
      <c r="Y209" s="12"/>
      <c r="Z209" s="36"/>
      <c r="AA209" s="27" t="str">
        <f aca="false">IF(OR(Y209="",Z209=0),"",IFERROR((Y209-K209)*IF(F209="Sell",-1,1)*R209*Z209*IF(ISNUMBER(SEARCH("JPY",E209)),1000,IF(ISNUMBER(SEARCH("XAU",E209)),100,IF(OR(ISNUMBER(SEARCH("30",E209)),ISNUMBER(SEARCH("500",E209)),ISNUMBER(SEARCH("100",E209))),100,100000))),0))</f>
        <v/>
      </c>
      <c r="AB209" s="12"/>
      <c r="AC209" s="29" t="str">
        <f aca="false">IF(K209="","",1-IFERROR(T209,0)-IFERROR(W209,0)-IFERROR(Z209,0))</f>
        <v/>
      </c>
      <c r="AD209" s="30" t="str">
        <f aca="false">IF(AB209="","",IFERROR((IFERROR(S209*T209,0)+IFERROR(V209*W209,0)+IFERROR(Y209*Z209,0)+AB209*AC209)/(IFERROR(T209,0)+IFERROR(W209,0)+IFERROR(Z209,0)+AC209),AB209))</f>
        <v/>
      </c>
      <c r="AE209" s="27" t="str">
        <f aca="false">IF(AB209="","",IF(U209="",0,U209)+IF(X209="",0,X209)+IF(AA209="",0,AA209)+IFERROR((AB209-K209)*IF(F209="Sell",-1,1)*R209*AC209*IF(ISNUMBER(SEARCH("JPY",E209)),1000,IF(ISNUMBER(SEARCH("XAU",E209)),100,IF(OR(ISNUMBER(SEARCH("30",E209)),ISNUMBER(SEARCH("500",E209)),ISNUMBER(SEARCH("100",E209))),100,100000))),0))</f>
        <v/>
      </c>
      <c r="AF209" s="31" t="str">
        <f aca="false">IF(OR(K209="",M209="",L209=""),"",IFERROR(ABS(M209-K209)/ABS(K209-L209),0))</f>
        <v/>
      </c>
      <c r="AG209" s="31" t="str">
        <f aca="false">IF(OR(AE209="",AE209=0,Q209=0,Q209=""),"",IFERROR(AE209/Q209,0))</f>
        <v/>
      </c>
      <c r="AH209" s="32" t="str">
        <f aca="false">IF(AB209="","Open",IF(AG209="","Open",IF(AG209&gt;0.1,"Win",IF(AG209&lt;-0.1,"Loss","Breakeven"))))</f>
        <v>Open</v>
      </c>
      <c r="AI209" s="33" t="str">
        <f aca="false">IF(OR(B209="",D209=""),"",D209-B209)</f>
        <v/>
      </c>
      <c r="AJ209" s="24" t="str">
        <f aca="false">IF(AD209="","",IFERROR((AD209-K209)*IF(F209="Sell",-1,1)/IF(ISNUMBER(SEARCH("JPY",E209)),0.01,IF(ISNUMBER(SEARCH("XAU",E209)),0.01,IF(OR(ISNUMBER(SEARCH("30",E209)),ISNUMBER(SEARCH("500",E209)),ISNUMBER(SEARCH("100",E209))),1,0.0001))),0))</f>
        <v/>
      </c>
      <c r="AK209" s="12"/>
      <c r="AL209" s="12"/>
      <c r="AM209" s="12"/>
      <c r="AN209" s="12"/>
      <c r="AO209" s="27" t="str">
        <f aca="false">IF(AE209="","",IFERROR(IF(AO208="",SETTINGS!$B$6,AO208),SETTINGS!$B$6)+IF(AE209="",0,AE209))</f>
        <v/>
      </c>
      <c r="AP209" s="2"/>
    </row>
    <row r="210" customFormat="false" ht="15" hidden="false" customHeight="false" outlineLevel="0" collapsed="false">
      <c r="A210" s="24" t="str">
        <f aca="false">IF(B210="","",ROW()-3)</f>
        <v/>
      </c>
      <c r="B210" s="25"/>
      <c r="C210" s="10"/>
      <c r="D210" s="25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6"/>
      <c r="P210" s="24" t="str">
        <f aca="false">IF(K210="","",IFERROR(ABS(K210-L210)/IF(ISNUMBER(SEARCH("JPY",E210)),0.01,IF(ISNUMBER(SEARCH("XAU",E210)),0.01,IF(OR(ISNUMBER(SEARCH("30",E210)),ISNUMBER(SEARCH("500",E210)),ISNUMBER(SEARCH("100",E210))),1,0.0001))),0))</f>
        <v/>
      </c>
      <c r="Q210" s="27" t="str">
        <f aca="false">IF(K210="","",SETTINGS!$B$6*O210)</f>
        <v/>
      </c>
      <c r="R210" s="24" t="str">
        <f aca="false">IF(K210="","",IFERROR(Q210/(P210*IF(ISNUMBER(SEARCH("JPY",E210)),9.09,IF(ISNUMBER(SEARCH("XAU",E210)),1,IF(OR(ISNUMBER(SEARCH("30",E210)),ISNUMBER(SEARCH("500",E210)),ISNUMBER(SEARCH("100",E210))),1,10)))),0))</f>
        <v/>
      </c>
      <c r="S210" s="10"/>
      <c r="T210" s="28"/>
      <c r="U210" s="27" t="str">
        <f aca="false">IF(OR(S210="",T210=0),"",IFERROR((S210-K210)*IF(F210="Sell",-1,1)*R210*T210*IF(ISNUMBER(SEARCH("JPY",E210)),1000,IF(ISNUMBER(SEARCH("XAU",E210)),100,IF(OR(ISNUMBER(SEARCH("30",E210)),ISNUMBER(SEARCH("500",E210)),ISNUMBER(SEARCH("100",E210))),100,100000))),0))</f>
        <v/>
      </c>
      <c r="V210" s="10"/>
      <c r="W210" s="28"/>
      <c r="X210" s="27" t="str">
        <f aca="false">IF(OR(V210="",W210=0),"",IFERROR((V210-K210)*IF(F210="Sell",-1,1)*R210*W210*IF(ISNUMBER(SEARCH("JPY",E210)),1000,IF(ISNUMBER(SEARCH("XAU",E210)),100,IF(OR(ISNUMBER(SEARCH("30",E210)),ISNUMBER(SEARCH("500",E210)),ISNUMBER(SEARCH("100",E210))),100,100000))),0))</f>
        <v/>
      </c>
      <c r="Y210" s="10"/>
      <c r="Z210" s="28"/>
      <c r="AA210" s="27" t="str">
        <f aca="false">IF(OR(Y210="",Z210=0),"",IFERROR((Y210-K210)*IF(F210="Sell",-1,1)*R210*Z210*IF(ISNUMBER(SEARCH("JPY",E210)),1000,IF(ISNUMBER(SEARCH("XAU",E210)),100,IF(OR(ISNUMBER(SEARCH("30",E210)),ISNUMBER(SEARCH("500",E210)),ISNUMBER(SEARCH("100",E210))),100,100000))),0))</f>
        <v/>
      </c>
      <c r="AB210" s="10"/>
      <c r="AC210" s="29" t="str">
        <f aca="false">IF(K210="","",1-IFERROR(T210,0)-IFERROR(W210,0)-IFERROR(Z210,0))</f>
        <v/>
      </c>
      <c r="AD210" s="30" t="str">
        <f aca="false">IF(AB210="","",IFERROR((IFERROR(S210*T210,0)+IFERROR(V210*W210,0)+IFERROR(Y210*Z210,0)+AB210*AC210)/(IFERROR(T210,0)+IFERROR(W210,0)+IFERROR(Z210,0)+AC210),AB210))</f>
        <v/>
      </c>
      <c r="AE210" s="27" t="str">
        <f aca="false">IF(AB210="","",IF(U210="",0,U210)+IF(X210="",0,X210)+IF(AA210="",0,AA210)+IFERROR((AB210-K210)*IF(F210="Sell",-1,1)*R210*AC210*IF(ISNUMBER(SEARCH("JPY",E210)),1000,IF(ISNUMBER(SEARCH("XAU",E210)),100,IF(OR(ISNUMBER(SEARCH("30",E210)),ISNUMBER(SEARCH("500",E210)),ISNUMBER(SEARCH("100",E210))),100,100000))),0))</f>
        <v/>
      </c>
      <c r="AF210" s="31" t="str">
        <f aca="false">IF(OR(K210="",M210="",L210=""),"",IFERROR(ABS(M210-K210)/ABS(K210-L210),0))</f>
        <v/>
      </c>
      <c r="AG210" s="31" t="str">
        <f aca="false">IF(OR(AE210="",AE210=0,Q210=0,Q210=""),"",IFERROR(AE210/Q210,0))</f>
        <v/>
      </c>
      <c r="AH210" s="32" t="str">
        <f aca="false">IF(AB210="","Open",IF(AG210="","Open",IF(AG210&gt;0.1,"Win",IF(AG210&lt;-0.1,"Loss","Breakeven"))))</f>
        <v>Open</v>
      </c>
      <c r="AI210" s="33" t="str">
        <f aca="false">IF(OR(B210="",D210=""),"",D210-B210)</f>
        <v/>
      </c>
      <c r="AJ210" s="24" t="str">
        <f aca="false">IF(AD210="","",IFERROR((AD210-K210)*IF(F210="Sell",-1,1)/IF(ISNUMBER(SEARCH("JPY",E210)),0.01,IF(ISNUMBER(SEARCH("XAU",E210)),0.01,IF(OR(ISNUMBER(SEARCH("30",E210)),ISNUMBER(SEARCH("500",E210)),ISNUMBER(SEARCH("100",E210))),1,0.0001))),0))</f>
        <v/>
      </c>
      <c r="AK210" s="10"/>
      <c r="AL210" s="10"/>
      <c r="AM210" s="10"/>
      <c r="AN210" s="10"/>
      <c r="AO210" s="27" t="str">
        <f aca="false">IF(AE210="","",IFERROR(IF(AO209="",SETTINGS!$B$6,AO209),SETTINGS!$B$6)+IF(AE210="",0,AE210))</f>
        <v/>
      </c>
      <c r="AP210" s="2"/>
    </row>
    <row r="211" customFormat="false" ht="15" hidden="false" customHeight="false" outlineLevel="0" collapsed="false">
      <c r="A211" s="24" t="str">
        <f aca="false">IF(B211="","",ROW()-3)</f>
        <v/>
      </c>
      <c r="B211" s="34"/>
      <c r="C211" s="12"/>
      <c r="D211" s="34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35"/>
      <c r="P211" s="24" t="str">
        <f aca="false">IF(K211="","",IFERROR(ABS(K211-L211)/IF(ISNUMBER(SEARCH("JPY",E211)),0.01,IF(ISNUMBER(SEARCH("XAU",E211)),0.01,IF(OR(ISNUMBER(SEARCH("30",E211)),ISNUMBER(SEARCH("500",E211)),ISNUMBER(SEARCH("100",E211))),1,0.0001))),0))</f>
        <v/>
      </c>
      <c r="Q211" s="27" t="str">
        <f aca="false">IF(K211="","",SETTINGS!$B$6*O211)</f>
        <v/>
      </c>
      <c r="R211" s="24" t="str">
        <f aca="false">IF(K211="","",IFERROR(Q211/(P211*IF(ISNUMBER(SEARCH("JPY",E211)),9.09,IF(ISNUMBER(SEARCH("XAU",E211)),1,IF(OR(ISNUMBER(SEARCH("30",E211)),ISNUMBER(SEARCH("500",E211)),ISNUMBER(SEARCH("100",E211))),1,10)))),0))</f>
        <v/>
      </c>
      <c r="S211" s="12"/>
      <c r="T211" s="36"/>
      <c r="U211" s="27" t="str">
        <f aca="false">IF(OR(S211="",T211=0),"",IFERROR((S211-K211)*IF(F211="Sell",-1,1)*R211*T211*IF(ISNUMBER(SEARCH("JPY",E211)),1000,IF(ISNUMBER(SEARCH("XAU",E211)),100,IF(OR(ISNUMBER(SEARCH("30",E211)),ISNUMBER(SEARCH("500",E211)),ISNUMBER(SEARCH("100",E211))),100,100000))),0))</f>
        <v/>
      </c>
      <c r="V211" s="12"/>
      <c r="W211" s="36"/>
      <c r="X211" s="27" t="str">
        <f aca="false">IF(OR(V211="",W211=0),"",IFERROR((V211-K211)*IF(F211="Sell",-1,1)*R211*W211*IF(ISNUMBER(SEARCH("JPY",E211)),1000,IF(ISNUMBER(SEARCH("XAU",E211)),100,IF(OR(ISNUMBER(SEARCH("30",E211)),ISNUMBER(SEARCH("500",E211)),ISNUMBER(SEARCH("100",E211))),100,100000))),0))</f>
        <v/>
      </c>
      <c r="Y211" s="12"/>
      <c r="Z211" s="36"/>
      <c r="AA211" s="27" t="str">
        <f aca="false">IF(OR(Y211="",Z211=0),"",IFERROR((Y211-K211)*IF(F211="Sell",-1,1)*R211*Z211*IF(ISNUMBER(SEARCH("JPY",E211)),1000,IF(ISNUMBER(SEARCH("XAU",E211)),100,IF(OR(ISNUMBER(SEARCH("30",E211)),ISNUMBER(SEARCH("500",E211)),ISNUMBER(SEARCH("100",E211))),100,100000))),0))</f>
        <v/>
      </c>
      <c r="AB211" s="12"/>
      <c r="AC211" s="29" t="str">
        <f aca="false">IF(K211="","",1-IFERROR(T211,0)-IFERROR(W211,0)-IFERROR(Z211,0))</f>
        <v/>
      </c>
      <c r="AD211" s="30" t="str">
        <f aca="false">IF(AB211="","",IFERROR((IFERROR(S211*T211,0)+IFERROR(V211*W211,0)+IFERROR(Y211*Z211,0)+AB211*AC211)/(IFERROR(T211,0)+IFERROR(W211,0)+IFERROR(Z211,0)+AC211),AB211))</f>
        <v/>
      </c>
      <c r="AE211" s="27" t="str">
        <f aca="false">IF(AB211="","",IF(U211="",0,U211)+IF(X211="",0,X211)+IF(AA211="",0,AA211)+IFERROR((AB211-K211)*IF(F211="Sell",-1,1)*R211*AC211*IF(ISNUMBER(SEARCH("JPY",E211)),1000,IF(ISNUMBER(SEARCH("XAU",E211)),100,IF(OR(ISNUMBER(SEARCH("30",E211)),ISNUMBER(SEARCH("500",E211)),ISNUMBER(SEARCH("100",E211))),100,100000))),0))</f>
        <v/>
      </c>
      <c r="AF211" s="31" t="str">
        <f aca="false">IF(OR(K211="",M211="",L211=""),"",IFERROR(ABS(M211-K211)/ABS(K211-L211),0))</f>
        <v/>
      </c>
      <c r="AG211" s="31" t="str">
        <f aca="false">IF(OR(AE211="",AE211=0,Q211=0,Q211=""),"",IFERROR(AE211/Q211,0))</f>
        <v/>
      </c>
      <c r="AH211" s="32" t="str">
        <f aca="false">IF(AB211="","Open",IF(AG211="","Open",IF(AG211&gt;0.1,"Win",IF(AG211&lt;-0.1,"Loss","Breakeven"))))</f>
        <v>Open</v>
      </c>
      <c r="AI211" s="33" t="str">
        <f aca="false">IF(OR(B211="",D211=""),"",D211-B211)</f>
        <v/>
      </c>
      <c r="AJ211" s="24" t="str">
        <f aca="false">IF(AD211="","",IFERROR((AD211-K211)*IF(F211="Sell",-1,1)/IF(ISNUMBER(SEARCH("JPY",E211)),0.01,IF(ISNUMBER(SEARCH("XAU",E211)),0.01,IF(OR(ISNUMBER(SEARCH("30",E211)),ISNUMBER(SEARCH("500",E211)),ISNUMBER(SEARCH("100",E211))),1,0.0001))),0))</f>
        <v/>
      </c>
      <c r="AK211" s="12"/>
      <c r="AL211" s="12"/>
      <c r="AM211" s="12"/>
      <c r="AN211" s="12"/>
      <c r="AO211" s="27" t="str">
        <f aca="false">IF(AE211="","",IFERROR(IF(AO210="",SETTINGS!$B$6,AO210),SETTINGS!$B$6)+IF(AE211="",0,AE211))</f>
        <v/>
      </c>
      <c r="AP211" s="2"/>
    </row>
    <row r="212" customFormat="false" ht="15" hidden="false" customHeight="false" outlineLevel="0" collapsed="false">
      <c r="A212" s="24" t="str">
        <f aca="false">IF(B212="","",ROW()-3)</f>
        <v/>
      </c>
      <c r="B212" s="25"/>
      <c r="C212" s="10"/>
      <c r="D212" s="25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26"/>
      <c r="P212" s="24" t="str">
        <f aca="false">IF(K212="","",IFERROR(ABS(K212-L212)/IF(ISNUMBER(SEARCH("JPY",E212)),0.01,IF(ISNUMBER(SEARCH("XAU",E212)),0.01,IF(OR(ISNUMBER(SEARCH("30",E212)),ISNUMBER(SEARCH("500",E212)),ISNUMBER(SEARCH("100",E212))),1,0.0001))),0))</f>
        <v/>
      </c>
      <c r="Q212" s="27" t="str">
        <f aca="false">IF(K212="","",SETTINGS!$B$6*O212)</f>
        <v/>
      </c>
      <c r="R212" s="24" t="str">
        <f aca="false">IF(K212="","",IFERROR(Q212/(P212*IF(ISNUMBER(SEARCH("JPY",E212)),9.09,IF(ISNUMBER(SEARCH("XAU",E212)),1,IF(OR(ISNUMBER(SEARCH("30",E212)),ISNUMBER(SEARCH("500",E212)),ISNUMBER(SEARCH("100",E212))),1,10)))),0))</f>
        <v/>
      </c>
      <c r="S212" s="10"/>
      <c r="T212" s="28"/>
      <c r="U212" s="27" t="str">
        <f aca="false">IF(OR(S212="",T212=0),"",IFERROR((S212-K212)*IF(F212="Sell",-1,1)*R212*T212*IF(ISNUMBER(SEARCH("JPY",E212)),1000,IF(ISNUMBER(SEARCH("XAU",E212)),100,IF(OR(ISNUMBER(SEARCH("30",E212)),ISNUMBER(SEARCH("500",E212)),ISNUMBER(SEARCH("100",E212))),100,100000))),0))</f>
        <v/>
      </c>
      <c r="V212" s="10"/>
      <c r="W212" s="28"/>
      <c r="X212" s="27" t="str">
        <f aca="false">IF(OR(V212="",W212=0),"",IFERROR((V212-K212)*IF(F212="Sell",-1,1)*R212*W212*IF(ISNUMBER(SEARCH("JPY",E212)),1000,IF(ISNUMBER(SEARCH("XAU",E212)),100,IF(OR(ISNUMBER(SEARCH("30",E212)),ISNUMBER(SEARCH("500",E212)),ISNUMBER(SEARCH("100",E212))),100,100000))),0))</f>
        <v/>
      </c>
      <c r="Y212" s="10"/>
      <c r="Z212" s="28"/>
      <c r="AA212" s="27" t="str">
        <f aca="false">IF(OR(Y212="",Z212=0),"",IFERROR((Y212-K212)*IF(F212="Sell",-1,1)*R212*Z212*IF(ISNUMBER(SEARCH("JPY",E212)),1000,IF(ISNUMBER(SEARCH("XAU",E212)),100,IF(OR(ISNUMBER(SEARCH("30",E212)),ISNUMBER(SEARCH("500",E212)),ISNUMBER(SEARCH("100",E212))),100,100000))),0))</f>
        <v/>
      </c>
      <c r="AB212" s="10"/>
      <c r="AC212" s="29" t="str">
        <f aca="false">IF(K212="","",1-IFERROR(T212,0)-IFERROR(W212,0)-IFERROR(Z212,0))</f>
        <v/>
      </c>
      <c r="AD212" s="30" t="str">
        <f aca="false">IF(AB212="","",IFERROR((IFERROR(S212*T212,0)+IFERROR(V212*W212,0)+IFERROR(Y212*Z212,0)+AB212*AC212)/(IFERROR(T212,0)+IFERROR(W212,0)+IFERROR(Z212,0)+AC212),AB212))</f>
        <v/>
      </c>
      <c r="AE212" s="27" t="str">
        <f aca="false">IF(AB212="","",IF(U212="",0,U212)+IF(X212="",0,X212)+IF(AA212="",0,AA212)+IFERROR((AB212-K212)*IF(F212="Sell",-1,1)*R212*AC212*IF(ISNUMBER(SEARCH("JPY",E212)),1000,IF(ISNUMBER(SEARCH("XAU",E212)),100,IF(OR(ISNUMBER(SEARCH("30",E212)),ISNUMBER(SEARCH("500",E212)),ISNUMBER(SEARCH("100",E212))),100,100000))),0))</f>
        <v/>
      </c>
      <c r="AF212" s="31" t="str">
        <f aca="false">IF(OR(K212="",M212="",L212=""),"",IFERROR(ABS(M212-K212)/ABS(K212-L212),0))</f>
        <v/>
      </c>
      <c r="AG212" s="31" t="str">
        <f aca="false">IF(OR(AE212="",AE212=0,Q212=0,Q212=""),"",IFERROR(AE212/Q212,0))</f>
        <v/>
      </c>
      <c r="AH212" s="32" t="str">
        <f aca="false">IF(AB212="","Open",IF(AG212="","Open",IF(AG212&gt;0.1,"Win",IF(AG212&lt;-0.1,"Loss","Breakeven"))))</f>
        <v>Open</v>
      </c>
      <c r="AI212" s="33" t="str">
        <f aca="false">IF(OR(B212="",D212=""),"",D212-B212)</f>
        <v/>
      </c>
      <c r="AJ212" s="24" t="str">
        <f aca="false">IF(AD212="","",IFERROR((AD212-K212)*IF(F212="Sell",-1,1)/IF(ISNUMBER(SEARCH("JPY",E212)),0.01,IF(ISNUMBER(SEARCH("XAU",E212)),0.01,IF(OR(ISNUMBER(SEARCH("30",E212)),ISNUMBER(SEARCH("500",E212)),ISNUMBER(SEARCH("100",E212))),1,0.0001))),0))</f>
        <v/>
      </c>
      <c r="AK212" s="10"/>
      <c r="AL212" s="10"/>
      <c r="AM212" s="10"/>
      <c r="AN212" s="10"/>
      <c r="AO212" s="27" t="str">
        <f aca="false">IF(AE212="","",IFERROR(IF(AO211="",SETTINGS!$B$6,AO211),SETTINGS!$B$6)+IF(AE212="",0,AE212))</f>
        <v/>
      </c>
      <c r="AP212" s="2"/>
    </row>
    <row r="213" customFormat="false" ht="15" hidden="false" customHeight="false" outlineLevel="0" collapsed="false">
      <c r="A213" s="24" t="str">
        <f aca="false">IF(B213="","",ROW()-3)</f>
        <v/>
      </c>
      <c r="B213" s="34"/>
      <c r="C213" s="12"/>
      <c r="D213" s="34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35"/>
      <c r="P213" s="24" t="str">
        <f aca="false">IF(K213="","",IFERROR(ABS(K213-L213)/IF(ISNUMBER(SEARCH("JPY",E213)),0.01,IF(ISNUMBER(SEARCH("XAU",E213)),0.01,IF(OR(ISNUMBER(SEARCH("30",E213)),ISNUMBER(SEARCH("500",E213)),ISNUMBER(SEARCH("100",E213))),1,0.0001))),0))</f>
        <v/>
      </c>
      <c r="Q213" s="27" t="str">
        <f aca="false">IF(K213="","",SETTINGS!$B$6*O213)</f>
        <v/>
      </c>
      <c r="R213" s="24" t="str">
        <f aca="false">IF(K213="","",IFERROR(Q213/(P213*IF(ISNUMBER(SEARCH("JPY",E213)),9.09,IF(ISNUMBER(SEARCH("XAU",E213)),1,IF(OR(ISNUMBER(SEARCH("30",E213)),ISNUMBER(SEARCH("500",E213)),ISNUMBER(SEARCH("100",E213))),1,10)))),0))</f>
        <v/>
      </c>
      <c r="S213" s="12"/>
      <c r="T213" s="36"/>
      <c r="U213" s="27" t="str">
        <f aca="false">IF(OR(S213="",T213=0),"",IFERROR((S213-K213)*IF(F213="Sell",-1,1)*R213*T213*IF(ISNUMBER(SEARCH("JPY",E213)),1000,IF(ISNUMBER(SEARCH("XAU",E213)),100,IF(OR(ISNUMBER(SEARCH("30",E213)),ISNUMBER(SEARCH("500",E213)),ISNUMBER(SEARCH("100",E213))),100,100000))),0))</f>
        <v/>
      </c>
      <c r="V213" s="12"/>
      <c r="W213" s="36"/>
      <c r="X213" s="27" t="str">
        <f aca="false">IF(OR(V213="",W213=0),"",IFERROR((V213-K213)*IF(F213="Sell",-1,1)*R213*W213*IF(ISNUMBER(SEARCH("JPY",E213)),1000,IF(ISNUMBER(SEARCH("XAU",E213)),100,IF(OR(ISNUMBER(SEARCH("30",E213)),ISNUMBER(SEARCH("500",E213)),ISNUMBER(SEARCH("100",E213))),100,100000))),0))</f>
        <v/>
      </c>
      <c r="Y213" s="12"/>
      <c r="Z213" s="36"/>
      <c r="AA213" s="27" t="str">
        <f aca="false">IF(OR(Y213="",Z213=0),"",IFERROR((Y213-K213)*IF(F213="Sell",-1,1)*R213*Z213*IF(ISNUMBER(SEARCH("JPY",E213)),1000,IF(ISNUMBER(SEARCH("XAU",E213)),100,IF(OR(ISNUMBER(SEARCH("30",E213)),ISNUMBER(SEARCH("500",E213)),ISNUMBER(SEARCH("100",E213))),100,100000))),0))</f>
        <v/>
      </c>
      <c r="AB213" s="12"/>
      <c r="AC213" s="29" t="str">
        <f aca="false">IF(K213="","",1-IFERROR(T213,0)-IFERROR(W213,0)-IFERROR(Z213,0))</f>
        <v/>
      </c>
      <c r="AD213" s="30" t="str">
        <f aca="false">IF(AB213="","",IFERROR((IFERROR(S213*T213,0)+IFERROR(V213*W213,0)+IFERROR(Y213*Z213,0)+AB213*AC213)/(IFERROR(T213,0)+IFERROR(W213,0)+IFERROR(Z213,0)+AC213),AB213))</f>
        <v/>
      </c>
      <c r="AE213" s="27" t="str">
        <f aca="false">IF(AB213="","",IF(U213="",0,U213)+IF(X213="",0,X213)+IF(AA213="",0,AA213)+IFERROR((AB213-K213)*IF(F213="Sell",-1,1)*R213*AC213*IF(ISNUMBER(SEARCH("JPY",E213)),1000,IF(ISNUMBER(SEARCH("XAU",E213)),100,IF(OR(ISNUMBER(SEARCH("30",E213)),ISNUMBER(SEARCH("500",E213)),ISNUMBER(SEARCH("100",E213))),100,100000))),0))</f>
        <v/>
      </c>
      <c r="AF213" s="31" t="str">
        <f aca="false">IF(OR(K213="",M213="",L213=""),"",IFERROR(ABS(M213-K213)/ABS(K213-L213),0))</f>
        <v/>
      </c>
      <c r="AG213" s="31" t="str">
        <f aca="false">IF(OR(AE213="",AE213=0,Q213=0,Q213=""),"",IFERROR(AE213/Q213,0))</f>
        <v/>
      </c>
      <c r="AH213" s="32" t="str">
        <f aca="false">IF(AB213="","Open",IF(AG213="","Open",IF(AG213&gt;0.1,"Win",IF(AG213&lt;-0.1,"Loss","Breakeven"))))</f>
        <v>Open</v>
      </c>
      <c r="AI213" s="33" t="str">
        <f aca="false">IF(OR(B213="",D213=""),"",D213-B213)</f>
        <v/>
      </c>
      <c r="AJ213" s="24" t="str">
        <f aca="false">IF(AD213="","",IFERROR((AD213-K213)*IF(F213="Sell",-1,1)/IF(ISNUMBER(SEARCH("JPY",E213)),0.01,IF(ISNUMBER(SEARCH("XAU",E213)),0.01,IF(OR(ISNUMBER(SEARCH("30",E213)),ISNUMBER(SEARCH("500",E213)),ISNUMBER(SEARCH("100",E213))),1,0.0001))),0))</f>
        <v/>
      </c>
      <c r="AK213" s="12"/>
      <c r="AL213" s="12"/>
      <c r="AM213" s="12"/>
      <c r="AN213" s="12"/>
      <c r="AO213" s="27" t="str">
        <f aca="false">IF(AE213="","",IFERROR(IF(AO212="",SETTINGS!$B$6,AO212),SETTINGS!$B$6)+IF(AE213="",0,AE213))</f>
        <v/>
      </c>
      <c r="AP213" s="2"/>
    </row>
    <row r="214" customFormat="false" ht="15" hidden="false" customHeight="false" outlineLevel="0" collapsed="false">
      <c r="A214" s="24" t="str">
        <f aca="false">IF(B214="","",ROW()-3)</f>
        <v/>
      </c>
      <c r="B214" s="25"/>
      <c r="C214" s="10"/>
      <c r="D214" s="25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26"/>
      <c r="P214" s="24" t="str">
        <f aca="false">IF(K214="","",IFERROR(ABS(K214-L214)/IF(ISNUMBER(SEARCH("JPY",E214)),0.01,IF(ISNUMBER(SEARCH("XAU",E214)),0.01,IF(OR(ISNUMBER(SEARCH("30",E214)),ISNUMBER(SEARCH("500",E214)),ISNUMBER(SEARCH("100",E214))),1,0.0001))),0))</f>
        <v/>
      </c>
      <c r="Q214" s="27" t="str">
        <f aca="false">IF(K214="","",SETTINGS!$B$6*O214)</f>
        <v/>
      </c>
      <c r="R214" s="24" t="str">
        <f aca="false">IF(K214="","",IFERROR(Q214/(P214*IF(ISNUMBER(SEARCH("JPY",E214)),9.09,IF(ISNUMBER(SEARCH("XAU",E214)),1,IF(OR(ISNUMBER(SEARCH("30",E214)),ISNUMBER(SEARCH("500",E214)),ISNUMBER(SEARCH("100",E214))),1,10)))),0))</f>
        <v/>
      </c>
      <c r="S214" s="10"/>
      <c r="T214" s="28"/>
      <c r="U214" s="27" t="str">
        <f aca="false">IF(OR(S214="",T214=0),"",IFERROR((S214-K214)*IF(F214="Sell",-1,1)*R214*T214*IF(ISNUMBER(SEARCH("JPY",E214)),1000,IF(ISNUMBER(SEARCH("XAU",E214)),100,IF(OR(ISNUMBER(SEARCH("30",E214)),ISNUMBER(SEARCH("500",E214)),ISNUMBER(SEARCH("100",E214))),100,100000))),0))</f>
        <v/>
      </c>
      <c r="V214" s="10"/>
      <c r="W214" s="28"/>
      <c r="X214" s="27" t="str">
        <f aca="false">IF(OR(V214="",W214=0),"",IFERROR((V214-K214)*IF(F214="Sell",-1,1)*R214*W214*IF(ISNUMBER(SEARCH("JPY",E214)),1000,IF(ISNUMBER(SEARCH("XAU",E214)),100,IF(OR(ISNUMBER(SEARCH("30",E214)),ISNUMBER(SEARCH("500",E214)),ISNUMBER(SEARCH("100",E214))),100,100000))),0))</f>
        <v/>
      </c>
      <c r="Y214" s="10"/>
      <c r="Z214" s="28"/>
      <c r="AA214" s="27" t="str">
        <f aca="false">IF(OR(Y214="",Z214=0),"",IFERROR((Y214-K214)*IF(F214="Sell",-1,1)*R214*Z214*IF(ISNUMBER(SEARCH("JPY",E214)),1000,IF(ISNUMBER(SEARCH("XAU",E214)),100,IF(OR(ISNUMBER(SEARCH("30",E214)),ISNUMBER(SEARCH("500",E214)),ISNUMBER(SEARCH("100",E214))),100,100000))),0))</f>
        <v/>
      </c>
      <c r="AB214" s="10"/>
      <c r="AC214" s="29" t="str">
        <f aca="false">IF(K214="","",1-IFERROR(T214,0)-IFERROR(W214,0)-IFERROR(Z214,0))</f>
        <v/>
      </c>
      <c r="AD214" s="30" t="str">
        <f aca="false">IF(AB214="","",IFERROR((IFERROR(S214*T214,0)+IFERROR(V214*W214,0)+IFERROR(Y214*Z214,0)+AB214*AC214)/(IFERROR(T214,0)+IFERROR(W214,0)+IFERROR(Z214,0)+AC214),AB214))</f>
        <v/>
      </c>
      <c r="AE214" s="27" t="str">
        <f aca="false">IF(AB214="","",IF(U214="",0,U214)+IF(X214="",0,X214)+IF(AA214="",0,AA214)+IFERROR((AB214-K214)*IF(F214="Sell",-1,1)*R214*AC214*IF(ISNUMBER(SEARCH("JPY",E214)),1000,IF(ISNUMBER(SEARCH("XAU",E214)),100,IF(OR(ISNUMBER(SEARCH("30",E214)),ISNUMBER(SEARCH("500",E214)),ISNUMBER(SEARCH("100",E214))),100,100000))),0))</f>
        <v/>
      </c>
      <c r="AF214" s="31" t="str">
        <f aca="false">IF(OR(K214="",M214="",L214=""),"",IFERROR(ABS(M214-K214)/ABS(K214-L214),0))</f>
        <v/>
      </c>
      <c r="AG214" s="31" t="str">
        <f aca="false">IF(OR(AE214="",AE214=0,Q214=0,Q214=""),"",IFERROR(AE214/Q214,0))</f>
        <v/>
      </c>
      <c r="AH214" s="32" t="str">
        <f aca="false">IF(AB214="","Open",IF(AG214="","Open",IF(AG214&gt;0.1,"Win",IF(AG214&lt;-0.1,"Loss","Breakeven"))))</f>
        <v>Open</v>
      </c>
      <c r="AI214" s="33" t="str">
        <f aca="false">IF(OR(B214="",D214=""),"",D214-B214)</f>
        <v/>
      </c>
      <c r="AJ214" s="24" t="str">
        <f aca="false">IF(AD214="","",IFERROR((AD214-K214)*IF(F214="Sell",-1,1)/IF(ISNUMBER(SEARCH("JPY",E214)),0.01,IF(ISNUMBER(SEARCH("XAU",E214)),0.01,IF(OR(ISNUMBER(SEARCH("30",E214)),ISNUMBER(SEARCH("500",E214)),ISNUMBER(SEARCH("100",E214))),1,0.0001))),0))</f>
        <v/>
      </c>
      <c r="AK214" s="10"/>
      <c r="AL214" s="10"/>
      <c r="AM214" s="10"/>
      <c r="AN214" s="10"/>
      <c r="AO214" s="27" t="str">
        <f aca="false">IF(AE214="","",IFERROR(IF(AO213="",SETTINGS!$B$6,AO213),SETTINGS!$B$6)+IF(AE214="",0,AE214))</f>
        <v/>
      </c>
      <c r="AP214" s="2"/>
    </row>
    <row r="215" customFormat="false" ht="15" hidden="false" customHeight="false" outlineLevel="0" collapsed="false">
      <c r="A215" s="24" t="str">
        <f aca="false">IF(B215="","",ROW()-3)</f>
        <v/>
      </c>
      <c r="B215" s="34"/>
      <c r="C215" s="12"/>
      <c r="D215" s="34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35"/>
      <c r="P215" s="24" t="str">
        <f aca="false">IF(K215="","",IFERROR(ABS(K215-L215)/IF(ISNUMBER(SEARCH("JPY",E215)),0.01,IF(ISNUMBER(SEARCH("XAU",E215)),0.01,IF(OR(ISNUMBER(SEARCH("30",E215)),ISNUMBER(SEARCH("500",E215)),ISNUMBER(SEARCH("100",E215))),1,0.0001))),0))</f>
        <v/>
      </c>
      <c r="Q215" s="27" t="str">
        <f aca="false">IF(K215="","",SETTINGS!$B$6*O215)</f>
        <v/>
      </c>
      <c r="R215" s="24" t="str">
        <f aca="false">IF(K215="","",IFERROR(Q215/(P215*IF(ISNUMBER(SEARCH("JPY",E215)),9.09,IF(ISNUMBER(SEARCH("XAU",E215)),1,IF(OR(ISNUMBER(SEARCH("30",E215)),ISNUMBER(SEARCH("500",E215)),ISNUMBER(SEARCH("100",E215))),1,10)))),0))</f>
        <v/>
      </c>
      <c r="S215" s="12"/>
      <c r="T215" s="36"/>
      <c r="U215" s="27" t="str">
        <f aca="false">IF(OR(S215="",T215=0),"",IFERROR((S215-K215)*IF(F215="Sell",-1,1)*R215*T215*IF(ISNUMBER(SEARCH("JPY",E215)),1000,IF(ISNUMBER(SEARCH("XAU",E215)),100,IF(OR(ISNUMBER(SEARCH("30",E215)),ISNUMBER(SEARCH("500",E215)),ISNUMBER(SEARCH("100",E215))),100,100000))),0))</f>
        <v/>
      </c>
      <c r="V215" s="12"/>
      <c r="W215" s="36"/>
      <c r="X215" s="27" t="str">
        <f aca="false">IF(OR(V215="",W215=0),"",IFERROR((V215-K215)*IF(F215="Sell",-1,1)*R215*W215*IF(ISNUMBER(SEARCH("JPY",E215)),1000,IF(ISNUMBER(SEARCH("XAU",E215)),100,IF(OR(ISNUMBER(SEARCH("30",E215)),ISNUMBER(SEARCH("500",E215)),ISNUMBER(SEARCH("100",E215))),100,100000))),0))</f>
        <v/>
      </c>
      <c r="Y215" s="12"/>
      <c r="Z215" s="36"/>
      <c r="AA215" s="27" t="str">
        <f aca="false">IF(OR(Y215="",Z215=0),"",IFERROR((Y215-K215)*IF(F215="Sell",-1,1)*R215*Z215*IF(ISNUMBER(SEARCH("JPY",E215)),1000,IF(ISNUMBER(SEARCH("XAU",E215)),100,IF(OR(ISNUMBER(SEARCH("30",E215)),ISNUMBER(SEARCH("500",E215)),ISNUMBER(SEARCH("100",E215))),100,100000))),0))</f>
        <v/>
      </c>
      <c r="AB215" s="12"/>
      <c r="AC215" s="29" t="str">
        <f aca="false">IF(K215="","",1-IFERROR(T215,0)-IFERROR(W215,0)-IFERROR(Z215,0))</f>
        <v/>
      </c>
      <c r="AD215" s="30" t="str">
        <f aca="false">IF(AB215="","",IFERROR((IFERROR(S215*T215,0)+IFERROR(V215*W215,0)+IFERROR(Y215*Z215,0)+AB215*AC215)/(IFERROR(T215,0)+IFERROR(W215,0)+IFERROR(Z215,0)+AC215),AB215))</f>
        <v/>
      </c>
      <c r="AE215" s="27" t="str">
        <f aca="false">IF(AB215="","",IF(U215="",0,U215)+IF(X215="",0,X215)+IF(AA215="",0,AA215)+IFERROR((AB215-K215)*IF(F215="Sell",-1,1)*R215*AC215*IF(ISNUMBER(SEARCH("JPY",E215)),1000,IF(ISNUMBER(SEARCH("XAU",E215)),100,IF(OR(ISNUMBER(SEARCH("30",E215)),ISNUMBER(SEARCH("500",E215)),ISNUMBER(SEARCH("100",E215))),100,100000))),0))</f>
        <v/>
      </c>
      <c r="AF215" s="31" t="str">
        <f aca="false">IF(OR(K215="",M215="",L215=""),"",IFERROR(ABS(M215-K215)/ABS(K215-L215),0))</f>
        <v/>
      </c>
      <c r="AG215" s="31" t="str">
        <f aca="false">IF(OR(AE215="",AE215=0,Q215=0,Q215=""),"",IFERROR(AE215/Q215,0))</f>
        <v/>
      </c>
      <c r="AH215" s="32" t="str">
        <f aca="false">IF(AB215="","Open",IF(AG215="","Open",IF(AG215&gt;0.1,"Win",IF(AG215&lt;-0.1,"Loss","Breakeven"))))</f>
        <v>Open</v>
      </c>
      <c r="AI215" s="33" t="str">
        <f aca="false">IF(OR(B215="",D215=""),"",D215-B215)</f>
        <v/>
      </c>
      <c r="AJ215" s="24" t="str">
        <f aca="false">IF(AD215="","",IFERROR((AD215-K215)*IF(F215="Sell",-1,1)/IF(ISNUMBER(SEARCH("JPY",E215)),0.01,IF(ISNUMBER(SEARCH("XAU",E215)),0.01,IF(OR(ISNUMBER(SEARCH("30",E215)),ISNUMBER(SEARCH("500",E215)),ISNUMBER(SEARCH("100",E215))),1,0.0001))),0))</f>
        <v/>
      </c>
      <c r="AK215" s="12"/>
      <c r="AL215" s="12"/>
      <c r="AM215" s="12"/>
      <c r="AN215" s="12"/>
      <c r="AO215" s="27" t="str">
        <f aca="false">IF(AE215="","",IFERROR(IF(AO214="",SETTINGS!$B$6,AO214),SETTINGS!$B$6)+IF(AE215="",0,AE215))</f>
        <v/>
      </c>
      <c r="AP215" s="2"/>
    </row>
    <row r="216" customFormat="false" ht="15" hidden="false" customHeight="false" outlineLevel="0" collapsed="false">
      <c r="A216" s="24" t="str">
        <f aca="false">IF(B216="","",ROW()-3)</f>
        <v/>
      </c>
      <c r="B216" s="25"/>
      <c r="C216" s="10"/>
      <c r="D216" s="25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26"/>
      <c r="P216" s="24" t="str">
        <f aca="false">IF(K216="","",IFERROR(ABS(K216-L216)/IF(ISNUMBER(SEARCH("JPY",E216)),0.01,IF(ISNUMBER(SEARCH("XAU",E216)),0.01,IF(OR(ISNUMBER(SEARCH("30",E216)),ISNUMBER(SEARCH("500",E216)),ISNUMBER(SEARCH("100",E216))),1,0.0001))),0))</f>
        <v/>
      </c>
      <c r="Q216" s="27" t="str">
        <f aca="false">IF(K216="","",SETTINGS!$B$6*O216)</f>
        <v/>
      </c>
      <c r="R216" s="24" t="str">
        <f aca="false">IF(K216="","",IFERROR(Q216/(P216*IF(ISNUMBER(SEARCH("JPY",E216)),9.09,IF(ISNUMBER(SEARCH("XAU",E216)),1,IF(OR(ISNUMBER(SEARCH("30",E216)),ISNUMBER(SEARCH("500",E216)),ISNUMBER(SEARCH("100",E216))),1,10)))),0))</f>
        <v/>
      </c>
      <c r="S216" s="10"/>
      <c r="T216" s="28"/>
      <c r="U216" s="27" t="str">
        <f aca="false">IF(OR(S216="",T216=0),"",IFERROR((S216-K216)*IF(F216="Sell",-1,1)*R216*T216*IF(ISNUMBER(SEARCH("JPY",E216)),1000,IF(ISNUMBER(SEARCH("XAU",E216)),100,IF(OR(ISNUMBER(SEARCH("30",E216)),ISNUMBER(SEARCH("500",E216)),ISNUMBER(SEARCH("100",E216))),100,100000))),0))</f>
        <v/>
      </c>
      <c r="V216" s="10"/>
      <c r="W216" s="28"/>
      <c r="X216" s="27" t="str">
        <f aca="false">IF(OR(V216="",W216=0),"",IFERROR((V216-K216)*IF(F216="Sell",-1,1)*R216*W216*IF(ISNUMBER(SEARCH("JPY",E216)),1000,IF(ISNUMBER(SEARCH("XAU",E216)),100,IF(OR(ISNUMBER(SEARCH("30",E216)),ISNUMBER(SEARCH("500",E216)),ISNUMBER(SEARCH("100",E216))),100,100000))),0))</f>
        <v/>
      </c>
      <c r="Y216" s="10"/>
      <c r="Z216" s="28"/>
      <c r="AA216" s="27" t="str">
        <f aca="false">IF(OR(Y216="",Z216=0),"",IFERROR((Y216-K216)*IF(F216="Sell",-1,1)*R216*Z216*IF(ISNUMBER(SEARCH("JPY",E216)),1000,IF(ISNUMBER(SEARCH("XAU",E216)),100,IF(OR(ISNUMBER(SEARCH("30",E216)),ISNUMBER(SEARCH("500",E216)),ISNUMBER(SEARCH("100",E216))),100,100000))),0))</f>
        <v/>
      </c>
      <c r="AB216" s="10"/>
      <c r="AC216" s="29" t="str">
        <f aca="false">IF(K216="","",1-IFERROR(T216,0)-IFERROR(W216,0)-IFERROR(Z216,0))</f>
        <v/>
      </c>
      <c r="AD216" s="30" t="str">
        <f aca="false">IF(AB216="","",IFERROR((IFERROR(S216*T216,0)+IFERROR(V216*W216,0)+IFERROR(Y216*Z216,0)+AB216*AC216)/(IFERROR(T216,0)+IFERROR(W216,0)+IFERROR(Z216,0)+AC216),AB216))</f>
        <v/>
      </c>
      <c r="AE216" s="27" t="str">
        <f aca="false">IF(AB216="","",IF(U216="",0,U216)+IF(X216="",0,X216)+IF(AA216="",0,AA216)+IFERROR((AB216-K216)*IF(F216="Sell",-1,1)*R216*AC216*IF(ISNUMBER(SEARCH("JPY",E216)),1000,IF(ISNUMBER(SEARCH("XAU",E216)),100,IF(OR(ISNUMBER(SEARCH("30",E216)),ISNUMBER(SEARCH("500",E216)),ISNUMBER(SEARCH("100",E216))),100,100000))),0))</f>
        <v/>
      </c>
      <c r="AF216" s="31" t="str">
        <f aca="false">IF(OR(K216="",M216="",L216=""),"",IFERROR(ABS(M216-K216)/ABS(K216-L216),0))</f>
        <v/>
      </c>
      <c r="AG216" s="31" t="str">
        <f aca="false">IF(OR(AE216="",AE216=0,Q216=0,Q216=""),"",IFERROR(AE216/Q216,0))</f>
        <v/>
      </c>
      <c r="AH216" s="32" t="str">
        <f aca="false">IF(AB216="","Open",IF(AG216="","Open",IF(AG216&gt;0.1,"Win",IF(AG216&lt;-0.1,"Loss","Breakeven"))))</f>
        <v>Open</v>
      </c>
      <c r="AI216" s="33" t="str">
        <f aca="false">IF(OR(B216="",D216=""),"",D216-B216)</f>
        <v/>
      </c>
      <c r="AJ216" s="24" t="str">
        <f aca="false">IF(AD216="","",IFERROR((AD216-K216)*IF(F216="Sell",-1,1)/IF(ISNUMBER(SEARCH("JPY",E216)),0.01,IF(ISNUMBER(SEARCH("XAU",E216)),0.01,IF(OR(ISNUMBER(SEARCH("30",E216)),ISNUMBER(SEARCH("500",E216)),ISNUMBER(SEARCH("100",E216))),1,0.0001))),0))</f>
        <v/>
      </c>
      <c r="AK216" s="10"/>
      <c r="AL216" s="10"/>
      <c r="AM216" s="10"/>
      <c r="AN216" s="10"/>
      <c r="AO216" s="27" t="str">
        <f aca="false">IF(AE216="","",IFERROR(IF(AO215="",SETTINGS!$B$6,AO215),SETTINGS!$B$6)+IF(AE216="",0,AE216))</f>
        <v/>
      </c>
      <c r="AP216" s="2"/>
    </row>
    <row r="217" customFormat="false" ht="15" hidden="false" customHeight="false" outlineLevel="0" collapsed="false">
      <c r="A217" s="24" t="str">
        <f aca="false">IF(B217="","",ROW()-3)</f>
        <v/>
      </c>
      <c r="B217" s="34"/>
      <c r="C217" s="12"/>
      <c r="D217" s="34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35"/>
      <c r="P217" s="24" t="str">
        <f aca="false">IF(K217="","",IFERROR(ABS(K217-L217)/IF(ISNUMBER(SEARCH("JPY",E217)),0.01,IF(ISNUMBER(SEARCH("XAU",E217)),0.01,IF(OR(ISNUMBER(SEARCH("30",E217)),ISNUMBER(SEARCH("500",E217)),ISNUMBER(SEARCH("100",E217))),1,0.0001))),0))</f>
        <v/>
      </c>
      <c r="Q217" s="27" t="str">
        <f aca="false">IF(K217="","",SETTINGS!$B$6*O217)</f>
        <v/>
      </c>
      <c r="R217" s="24" t="str">
        <f aca="false">IF(K217="","",IFERROR(Q217/(P217*IF(ISNUMBER(SEARCH("JPY",E217)),9.09,IF(ISNUMBER(SEARCH("XAU",E217)),1,IF(OR(ISNUMBER(SEARCH("30",E217)),ISNUMBER(SEARCH("500",E217)),ISNUMBER(SEARCH("100",E217))),1,10)))),0))</f>
        <v/>
      </c>
      <c r="S217" s="12"/>
      <c r="T217" s="36"/>
      <c r="U217" s="27" t="str">
        <f aca="false">IF(OR(S217="",T217=0),"",IFERROR((S217-K217)*IF(F217="Sell",-1,1)*R217*T217*IF(ISNUMBER(SEARCH("JPY",E217)),1000,IF(ISNUMBER(SEARCH("XAU",E217)),100,IF(OR(ISNUMBER(SEARCH("30",E217)),ISNUMBER(SEARCH("500",E217)),ISNUMBER(SEARCH("100",E217))),100,100000))),0))</f>
        <v/>
      </c>
      <c r="V217" s="12"/>
      <c r="W217" s="36"/>
      <c r="X217" s="27" t="str">
        <f aca="false">IF(OR(V217="",W217=0),"",IFERROR((V217-K217)*IF(F217="Sell",-1,1)*R217*W217*IF(ISNUMBER(SEARCH("JPY",E217)),1000,IF(ISNUMBER(SEARCH("XAU",E217)),100,IF(OR(ISNUMBER(SEARCH("30",E217)),ISNUMBER(SEARCH("500",E217)),ISNUMBER(SEARCH("100",E217))),100,100000))),0))</f>
        <v/>
      </c>
      <c r="Y217" s="12"/>
      <c r="Z217" s="36"/>
      <c r="AA217" s="27" t="str">
        <f aca="false">IF(OR(Y217="",Z217=0),"",IFERROR((Y217-K217)*IF(F217="Sell",-1,1)*R217*Z217*IF(ISNUMBER(SEARCH("JPY",E217)),1000,IF(ISNUMBER(SEARCH("XAU",E217)),100,IF(OR(ISNUMBER(SEARCH("30",E217)),ISNUMBER(SEARCH("500",E217)),ISNUMBER(SEARCH("100",E217))),100,100000))),0))</f>
        <v/>
      </c>
      <c r="AB217" s="12"/>
      <c r="AC217" s="29" t="str">
        <f aca="false">IF(K217="","",1-IFERROR(T217,0)-IFERROR(W217,0)-IFERROR(Z217,0))</f>
        <v/>
      </c>
      <c r="AD217" s="30" t="str">
        <f aca="false">IF(AB217="","",IFERROR((IFERROR(S217*T217,0)+IFERROR(V217*W217,0)+IFERROR(Y217*Z217,0)+AB217*AC217)/(IFERROR(T217,0)+IFERROR(W217,0)+IFERROR(Z217,0)+AC217),AB217))</f>
        <v/>
      </c>
      <c r="AE217" s="27" t="str">
        <f aca="false">IF(AB217="","",IF(U217="",0,U217)+IF(X217="",0,X217)+IF(AA217="",0,AA217)+IFERROR((AB217-K217)*IF(F217="Sell",-1,1)*R217*AC217*IF(ISNUMBER(SEARCH("JPY",E217)),1000,IF(ISNUMBER(SEARCH("XAU",E217)),100,IF(OR(ISNUMBER(SEARCH("30",E217)),ISNUMBER(SEARCH("500",E217)),ISNUMBER(SEARCH("100",E217))),100,100000))),0))</f>
        <v/>
      </c>
      <c r="AF217" s="31" t="str">
        <f aca="false">IF(OR(K217="",M217="",L217=""),"",IFERROR(ABS(M217-K217)/ABS(K217-L217),0))</f>
        <v/>
      </c>
      <c r="AG217" s="31" t="str">
        <f aca="false">IF(OR(AE217="",AE217=0,Q217=0,Q217=""),"",IFERROR(AE217/Q217,0))</f>
        <v/>
      </c>
      <c r="AH217" s="32" t="str">
        <f aca="false">IF(AB217="","Open",IF(AG217="","Open",IF(AG217&gt;0.1,"Win",IF(AG217&lt;-0.1,"Loss","Breakeven"))))</f>
        <v>Open</v>
      </c>
      <c r="AI217" s="33" t="str">
        <f aca="false">IF(OR(B217="",D217=""),"",D217-B217)</f>
        <v/>
      </c>
      <c r="AJ217" s="24" t="str">
        <f aca="false">IF(AD217="","",IFERROR((AD217-K217)*IF(F217="Sell",-1,1)/IF(ISNUMBER(SEARCH("JPY",E217)),0.01,IF(ISNUMBER(SEARCH("XAU",E217)),0.01,IF(OR(ISNUMBER(SEARCH("30",E217)),ISNUMBER(SEARCH("500",E217)),ISNUMBER(SEARCH("100",E217))),1,0.0001))),0))</f>
        <v/>
      </c>
      <c r="AK217" s="12"/>
      <c r="AL217" s="12"/>
      <c r="AM217" s="12"/>
      <c r="AN217" s="12"/>
      <c r="AO217" s="27" t="str">
        <f aca="false">IF(AE217="","",IFERROR(IF(AO216="",SETTINGS!$B$6,AO216),SETTINGS!$B$6)+IF(AE217="",0,AE217))</f>
        <v/>
      </c>
      <c r="AP217" s="2"/>
    </row>
    <row r="218" customFormat="false" ht="15" hidden="false" customHeight="false" outlineLevel="0" collapsed="false">
      <c r="A218" s="24" t="str">
        <f aca="false">IF(B218="","",ROW()-3)</f>
        <v/>
      </c>
      <c r="B218" s="25"/>
      <c r="C218" s="10"/>
      <c r="D218" s="25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26"/>
      <c r="P218" s="24" t="str">
        <f aca="false">IF(K218="","",IFERROR(ABS(K218-L218)/IF(ISNUMBER(SEARCH("JPY",E218)),0.01,IF(ISNUMBER(SEARCH("XAU",E218)),0.01,IF(OR(ISNUMBER(SEARCH("30",E218)),ISNUMBER(SEARCH("500",E218)),ISNUMBER(SEARCH("100",E218))),1,0.0001))),0))</f>
        <v/>
      </c>
      <c r="Q218" s="27" t="str">
        <f aca="false">IF(K218="","",SETTINGS!$B$6*O218)</f>
        <v/>
      </c>
      <c r="R218" s="24" t="str">
        <f aca="false">IF(K218="","",IFERROR(Q218/(P218*IF(ISNUMBER(SEARCH("JPY",E218)),9.09,IF(ISNUMBER(SEARCH("XAU",E218)),1,IF(OR(ISNUMBER(SEARCH("30",E218)),ISNUMBER(SEARCH("500",E218)),ISNUMBER(SEARCH("100",E218))),1,10)))),0))</f>
        <v/>
      </c>
      <c r="S218" s="10"/>
      <c r="T218" s="28"/>
      <c r="U218" s="27" t="str">
        <f aca="false">IF(OR(S218="",T218=0),"",IFERROR((S218-K218)*IF(F218="Sell",-1,1)*R218*T218*IF(ISNUMBER(SEARCH("JPY",E218)),1000,IF(ISNUMBER(SEARCH("XAU",E218)),100,IF(OR(ISNUMBER(SEARCH("30",E218)),ISNUMBER(SEARCH("500",E218)),ISNUMBER(SEARCH("100",E218))),100,100000))),0))</f>
        <v/>
      </c>
      <c r="V218" s="10"/>
      <c r="W218" s="28"/>
      <c r="X218" s="27" t="str">
        <f aca="false">IF(OR(V218="",W218=0),"",IFERROR((V218-K218)*IF(F218="Sell",-1,1)*R218*W218*IF(ISNUMBER(SEARCH("JPY",E218)),1000,IF(ISNUMBER(SEARCH("XAU",E218)),100,IF(OR(ISNUMBER(SEARCH("30",E218)),ISNUMBER(SEARCH("500",E218)),ISNUMBER(SEARCH("100",E218))),100,100000))),0))</f>
        <v/>
      </c>
      <c r="Y218" s="10"/>
      <c r="Z218" s="28"/>
      <c r="AA218" s="27" t="str">
        <f aca="false">IF(OR(Y218="",Z218=0),"",IFERROR((Y218-K218)*IF(F218="Sell",-1,1)*R218*Z218*IF(ISNUMBER(SEARCH("JPY",E218)),1000,IF(ISNUMBER(SEARCH("XAU",E218)),100,IF(OR(ISNUMBER(SEARCH("30",E218)),ISNUMBER(SEARCH("500",E218)),ISNUMBER(SEARCH("100",E218))),100,100000))),0))</f>
        <v/>
      </c>
      <c r="AB218" s="10"/>
      <c r="AC218" s="29" t="str">
        <f aca="false">IF(K218="","",1-IFERROR(T218,0)-IFERROR(W218,0)-IFERROR(Z218,0))</f>
        <v/>
      </c>
      <c r="AD218" s="30" t="str">
        <f aca="false">IF(AB218="","",IFERROR((IFERROR(S218*T218,0)+IFERROR(V218*W218,0)+IFERROR(Y218*Z218,0)+AB218*AC218)/(IFERROR(T218,0)+IFERROR(W218,0)+IFERROR(Z218,0)+AC218),AB218))</f>
        <v/>
      </c>
      <c r="AE218" s="27" t="str">
        <f aca="false">IF(AB218="","",IF(U218="",0,U218)+IF(X218="",0,X218)+IF(AA218="",0,AA218)+IFERROR((AB218-K218)*IF(F218="Sell",-1,1)*R218*AC218*IF(ISNUMBER(SEARCH("JPY",E218)),1000,IF(ISNUMBER(SEARCH("XAU",E218)),100,IF(OR(ISNUMBER(SEARCH("30",E218)),ISNUMBER(SEARCH("500",E218)),ISNUMBER(SEARCH("100",E218))),100,100000))),0))</f>
        <v/>
      </c>
      <c r="AF218" s="31" t="str">
        <f aca="false">IF(OR(K218="",M218="",L218=""),"",IFERROR(ABS(M218-K218)/ABS(K218-L218),0))</f>
        <v/>
      </c>
      <c r="AG218" s="31" t="str">
        <f aca="false">IF(OR(AE218="",AE218=0,Q218=0,Q218=""),"",IFERROR(AE218/Q218,0))</f>
        <v/>
      </c>
      <c r="AH218" s="32" t="str">
        <f aca="false">IF(AB218="","Open",IF(AG218="","Open",IF(AG218&gt;0.1,"Win",IF(AG218&lt;-0.1,"Loss","Breakeven"))))</f>
        <v>Open</v>
      </c>
      <c r="AI218" s="33" t="str">
        <f aca="false">IF(OR(B218="",D218=""),"",D218-B218)</f>
        <v/>
      </c>
      <c r="AJ218" s="24" t="str">
        <f aca="false">IF(AD218="","",IFERROR((AD218-K218)*IF(F218="Sell",-1,1)/IF(ISNUMBER(SEARCH("JPY",E218)),0.01,IF(ISNUMBER(SEARCH("XAU",E218)),0.01,IF(OR(ISNUMBER(SEARCH("30",E218)),ISNUMBER(SEARCH("500",E218)),ISNUMBER(SEARCH("100",E218))),1,0.0001))),0))</f>
        <v/>
      </c>
      <c r="AK218" s="10"/>
      <c r="AL218" s="10"/>
      <c r="AM218" s="10"/>
      <c r="AN218" s="10"/>
      <c r="AO218" s="27" t="str">
        <f aca="false">IF(AE218="","",IFERROR(IF(AO217="",SETTINGS!$B$6,AO217),SETTINGS!$B$6)+IF(AE218="",0,AE218))</f>
        <v/>
      </c>
      <c r="AP218" s="2"/>
    </row>
    <row r="219" customFormat="false" ht="15" hidden="false" customHeight="false" outlineLevel="0" collapsed="false">
      <c r="A219" s="24" t="str">
        <f aca="false">IF(B219="","",ROW()-3)</f>
        <v/>
      </c>
      <c r="B219" s="34"/>
      <c r="C219" s="12"/>
      <c r="D219" s="34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35"/>
      <c r="P219" s="24" t="str">
        <f aca="false">IF(K219="","",IFERROR(ABS(K219-L219)/IF(ISNUMBER(SEARCH("JPY",E219)),0.01,IF(ISNUMBER(SEARCH("XAU",E219)),0.01,IF(OR(ISNUMBER(SEARCH("30",E219)),ISNUMBER(SEARCH("500",E219)),ISNUMBER(SEARCH("100",E219))),1,0.0001))),0))</f>
        <v/>
      </c>
      <c r="Q219" s="27" t="str">
        <f aca="false">IF(K219="","",SETTINGS!$B$6*O219)</f>
        <v/>
      </c>
      <c r="R219" s="24" t="str">
        <f aca="false">IF(K219="","",IFERROR(Q219/(P219*IF(ISNUMBER(SEARCH("JPY",E219)),9.09,IF(ISNUMBER(SEARCH("XAU",E219)),1,IF(OR(ISNUMBER(SEARCH("30",E219)),ISNUMBER(SEARCH("500",E219)),ISNUMBER(SEARCH("100",E219))),1,10)))),0))</f>
        <v/>
      </c>
      <c r="S219" s="12"/>
      <c r="T219" s="36"/>
      <c r="U219" s="27" t="str">
        <f aca="false">IF(OR(S219="",T219=0),"",IFERROR((S219-K219)*IF(F219="Sell",-1,1)*R219*T219*IF(ISNUMBER(SEARCH("JPY",E219)),1000,IF(ISNUMBER(SEARCH("XAU",E219)),100,IF(OR(ISNUMBER(SEARCH("30",E219)),ISNUMBER(SEARCH("500",E219)),ISNUMBER(SEARCH("100",E219))),100,100000))),0))</f>
        <v/>
      </c>
      <c r="V219" s="12"/>
      <c r="W219" s="36"/>
      <c r="X219" s="27" t="str">
        <f aca="false">IF(OR(V219="",W219=0),"",IFERROR((V219-K219)*IF(F219="Sell",-1,1)*R219*W219*IF(ISNUMBER(SEARCH("JPY",E219)),1000,IF(ISNUMBER(SEARCH("XAU",E219)),100,IF(OR(ISNUMBER(SEARCH("30",E219)),ISNUMBER(SEARCH("500",E219)),ISNUMBER(SEARCH("100",E219))),100,100000))),0))</f>
        <v/>
      </c>
      <c r="Y219" s="12"/>
      <c r="Z219" s="36"/>
      <c r="AA219" s="27" t="str">
        <f aca="false">IF(OR(Y219="",Z219=0),"",IFERROR((Y219-K219)*IF(F219="Sell",-1,1)*R219*Z219*IF(ISNUMBER(SEARCH("JPY",E219)),1000,IF(ISNUMBER(SEARCH("XAU",E219)),100,IF(OR(ISNUMBER(SEARCH("30",E219)),ISNUMBER(SEARCH("500",E219)),ISNUMBER(SEARCH("100",E219))),100,100000))),0))</f>
        <v/>
      </c>
      <c r="AB219" s="12"/>
      <c r="AC219" s="29" t="str">
        <f aca="false">IF(K219="","",1-IFERROR(T219,0)-IFERROR(W219,0)-IFERROR(Z219,0))</f>
        <v/>
      </c>
      <c r="AD219" s="30" t="str">
        <f aca="false">IF(AB219="","",IFERROR((IFERROR(S219*T219,0)+IFERROR(V219*W219,0)+IFERROR(Y219*Z219,0)+AB219*AC219)/(IFERROR(T219,0)+IFERROR(W219,0)+IFERROR(Z219,0)+AC219),AB219))</f>
        <v/>
      </c>
      <c r="AE219" s="27" t="str">
        <f aca="false">IF(AB219="","",IF(U219="",0,U219)+IF(X219="",0,X219)+IF(AA219="",0,AA219)+IFERROR((AB219-K219)*IF(F219="Sell",-1,1)*R219*AC219*IF(ISNUMBER(SEARCH("JPY",E219)),1000,IF(ISNUMBER(SEARCH("XAU",E219)),100,IF(OR(ISNUMBER(SEARCH("30",E219)),ISNUMBER(SEARCH("500",E219)),ISNUMBER(SEARCH("100",E219))),100,100000))),0))</f>
        <v/>
      </c>
      <c r="AF219" s="31" t="str">
        <f aca="false">IF(OR(K219="",M219="",L219=""),"",IFERROR(ABS(M219-K219)/ABS(K219-L219),0))</f>
        <v/>
      </c>
      <c r="AG219" s="31" t="str">
        <f aca="false">IF(OR(AE219="",AE219=0,Q219=0,Q219=""),"",IFERROR(AE219/Q219,0))</f>
        <v/>
      </c>
      <c r="AH219" s="32" t="str">
        <f aca="false">IF(AB219="","Open",IF(AG219="","Open",IF(AG219&gt;0.1,"Win",IF(AG219&lt;-0.1,"Loss","Breakeven"))))</f>
        <v>Open</v>
      </c>
      <c r="AI219" s="33" t="str">
        <f aca="false">IF(OR(B219="",D219=""),"",D219-B219)</f>
        <v/>
      </c>
      <c r="AJ219" s="24" t="str">
        <f aca="false">IF(AD219="","",IFERROR((AD219-K219)*IF(F219="Sell",-1,1)/IF(ISNUMBER(SEARCH("JPY",E219)),0.01,IF(ISNUMBER(SEARCH("XAU",E219)),0.01,IF(OR(ISNUMBER(SEARCH("30",E219)),ISNUMBER(SEARCH("500",E219)),ISNUMBER(SEARCH("100",E219))),1,0.0001))),0))</f>
        <v/>
      </c>
      <c r="AK219" s="12"/>
      <c r="AL219" s="12"/>
      <c r="AM219" s="12"/>
      <c r="AN219" s="12"/>
      <c r="AO219" s="27" t="str">
        <f aca="false">IF(AE219="","",IFERROR(IF(AO218="",SETTINGS!$B$6,AO218),SETTINGS!$B$6)+IF(AE219="",0,AE219))</f>
        <v/>
      </c>
      <c r="AP219" s="2"/>
    </row>
    <row r="220" customFormat="false" ht="15" hidden="false" customHeight="false" outlineLevel="0" collapsed="false">
      <c r="A220" s="24" t="str">
        <f aca="false">IF(B220="","",ROW()-3)</f>
        <v/>
      </c>
      <c r="B220" s="25"/>
      <c r="C220" s="10"/>
      <c r="D220" s="25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26"/>
      <c r="P220" s="24" t="str">
        <f aca="false">IF(K220="","",IFERROR(ABS(K220-L220)/IF(ISNUMBER(SEARCH("JPY",E220)),0.01,IF(ISNUMBER(SEARCH("XAU",E220)),0.01,IF(OR(ISNUMBER(SEARCH("30",E220)),ISNUMBER(SEARCH("500",E220)),ISNUMBER(SEARCH("100",E220))),1,0.0001))),0))</f>
        <v/>
      </c>
      <c r="Q220" s="27" t="str">
        <f aca="false">IF(K220="","",SETTINGS!$B$6*O220)</f>
        <v/>
      </c>
      <c r="R220" s="24" t="str">
        <f aca="false">IF(K220="","",IFERROR(Q220/(P220*IF(ISNUMBER(SEARCH("JPY",E220)),9.09,IF(ISNUMBER(SEARCH("XAU",E220)),1,IF(OR(ISNUMBER(SEARCH("30",E220)),ISNUMBER(SEARCH("500",E220)),ISNUMBER(SEARCH("100",E220))),1,10)))),0))</f>
        <v/>
      </c>
      <c r="S220" s="10"/>
      <c r="T220" s="28"/>
      <c r="U220" s="27" t="str">
        <f aca="false">IF(OR(S220="",T220=0),"",IFERROR((S220-K220)*IF(F220="Sell",-1,1)*R220*T220*IF(ISNUMBER(SEARCH("JPY",E220)),1000,IF(ISNUMBER(SEARCH("XAU",E220)),100,IF(OR(ISNUMBER(SEARCH("30",E220)),ISNUMBER(SEARCH("500",E220)),ISNUMBER(SEARCH("100",E220))),100,100000))),0))</f>
        <v/>
      </c>
      <c r="V220" s="10"/>
      <c r="W220" s="28"/>
      <c r="X220" s="27" t="str">
        <f aca="false">IF(OR(V220="",W220=0),"",IFERROR((V220-K220)*IF(F220="Sell",-1,1)*R220*W220*IF(ISNUMBER(SEARCH("JPY",E220)),1000,IF(ISNUMBER(SEARCH("XAU",E220)),100,IF(OR(ISNUMBER(SEARCH("30",E220)),ISNUMBER(SEARCH("500",E220)),ISNUMBER(SEARCH("100",E220))),100,100000))),0))</f>
        <v/>
      </c>
      <c r="Y220" s="10"/>
      <c r="Z220" s="28"/>
      <c r="AA220" s="27" t="str">
        <f aca="false">IF(OR(Y220="",Z220=0),"",IFERROR((Y220-K220)*IF(F220="Sell",-1,1)*R220*Z220*IF(ISNUMBER(SEARCH("JPY",E220)),1000,IF(ISNUMBER(SEARCH("XAU",E220)),100,IF(OR(ISNUMBER(SEARCH("30",E220)),ISNUMBER(SEARCH("500",E220)),ISNUMBER(SEARCH("100",E220))),100,100000))),0))</f>
        <v/>
      </c>
      <c r="AB220" s="10"/>
      <c r="AC220" s="29" t="str">
        <f aca="false">IF(K220="","",1-IFERROR(T220,0)-IFERROR(W220,0)-IFERROR(Z220,0))</f>
        <v/>
      </c>
      <c r="AD220" s="30" t="str">
        <f aca="false">IF(AB220="","",IFERROR((IFERROR(S220*T220,0)+IFERROR(V220*W220,0)+IFERROR(Y220*Z220,0)+AB220*AC220)/(IFERROR(T220,0)+IFERROR(W220,0)+IFERROR(Z220,0)+AC220),AB220))</f>
        <v/>
      </c>
      <c r="AE220" s="27" t="str">
        <f aca="false">IF(AB220="","",IF(U220="",0,U220)+IF(X220="",0,X220)+IF(AA220="",0,AA220)+IFERROR((AB220-K220)*IF(F220="Sell",-1,1)*R220*AC220*IF(ISNUMBER(SEARCH("JPY",E220)),1000,IF(ISNUMBER(SEARCH("XAU",E220)),100,IF(OR(ISNUMBER(SEARCH("30",E220)),ISNUMBER(SEARCH("500",E220)),ISNUMBER(SEARCH("100",E220))),100,100000))),0))</f>
        <v/>
      </c>
      <c r="AF220" s="31" t="str">
        <f aca="false">IF(OR(K220="",M220="",L220=""),"",IFERROR(ABS(M220-K220)/ABS(K220-L220),0))</f>
        <v/>
      </c>
      <c r="AG220" s="31" t="str">
        <f aca="false">IF(OR(AE220="",AE220=0,Q220=0,Q220=""),"",IFERROR(AE220/Q220,0))</f>
        <v/>
      </c>
      <c r="AH220" s="32" t="str">
        <f aca="false">IF(AB220="","Open",IF(AG220="","Open",IF(AG220&gt;0.1,"Win",IF(AG220&lt;-0.1,"Loss","Breakeven"))))</f>
        <v>Open</v>
      </c>
      <c r="AI220" s="33" t="str">
        <f aca="false">IF(OR(B220="",D220=""),"",D220-B220)</f>
        <v/>
      </c>
      <c r="AJ220" s="24" t="str">
        <f aca="false">IF(AD220="","",IFERROR((AD220-K220)*IF(F220="Sell",-1,1)/IF(ISNUMBER(SEARCH("JPY",E220)),0.01,IF(ISNUMBER(SEARCH("XAU",E220)),0.01,IF(OR(ISNUMBER(SEARCH("30",E220)),ISNUMBER(SEARCH("500",E220)),ISNUMBER(SEARCH("100",E220))),1,0.0001))),0))</f>
        <v/>
      </c>
      <c r="AK220" s="10"/>
      <c r="AL220" s="10"/>
      <c r="AM220" s="10"/>
      <c r="AN220" s="10"/>
      <c r="AO220" s="27" t="str">
        <f aca="false">IF(AE220="","",IFERROR(IF(AO219="",SETTINGS!$B$6,AO219),SETTINGS!$B$6)+IF(AE220="",0,AE220))</f>
        <v/>
      </c>
      <c r="AP220" s="2"/>
    </row>
    <row r="221" customFormat="false" ht="15" hidden="false" customHeight="false" outlineLevel="0" collapsed="false">
      <c r="A221" s="24" t="str">
        <f aca="false">IF(B221="","",ROW()-3)</f>
        <v/>
      </c>
      <c r="B221" s="34"/>
      <c r="C221" s="12"/>
      <c r="D221" s="34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35"/>
      <c r="P221" s="24" t="str">
        <f aca="false">IF(K221="","",IFERROR(ABS(K221-L221)/IF(ISNUMBER(SEARCH("JPY",E221)),0.01,IF(ISNUMBER(SEARCH("XAU",E221)),0.01,IF(OR(ISNUMBER(SEARCH("30",E221)),ISNUMBER(SEARCH("500",E221)),ISNUMBER(SEARCH("100",E221))),1,0.0001))),0))</f>
        <v/>
      </c>
      <c r="Q221" s="27" t="str">
        <f aca="false">IF(K221="","",SETTINGS!$B$6*O221)</f>
        <v/>
      </c>
      <c r="R221" s="24" t="str">
        <f aca="false">IF(K221="","",IFERROR(Q221/(P221*IF(ISNUMBER(SEARCH("JPY",E221)),9.09,IF(ISNUMBER(SEARCH("XAU",E221)),1,IF(OR(ISNUMBER(SEARCH("30",E221)),ISNUMBER(SEARCH("500",E221)),ISNUMBER(SEARCH("100",E221))),1,10)))),0))</f>
        <v/>
      </c>
      <c r="S221" s="12"/>
      <c r="T221" s="36"/>
      <c r="U221" s="27" t="str">
        <f aca="false">IF(OR(S221="",T221=0),"",IFERROR((S221-K221)*IF(F221="Sell",-1,1)*R221*T221*IF(ISNUMBER(SEARCH("JPY",E221)),1000,IF(ISNUMBER(SEARCH("XAU",E221)),100,IF(OR(ISNUMBER(SEARCH("30",E221)),ISNUMBER(SEARCH("500",E221)),ISNUMBER(SEARCH("100",E221))),100,100000))),0))</f>
        <v/>
      </c>
      <c r="V221" s="12"/>
      <c r="W221" s="36"/>
      <c r="X221" s="27" t="str">
        <f aca="false">IF(OR(V221="",W221=0),"",IFERROR((V221-K221)*IF(F221="Sell",-1,1)*R221*W221*IF(ISNUMBER(SEARCH("JPY",E221)),1000,IF(ISNUMBER(SEARCH("XAU",E221)),100,IF(OR(ISNUMBER(SEARCH("30",E221)),ISNUMBER(SEARCH("500",E221)),ISNUMBER(SEARCH("100",E221))),100,100000))),0))</f>
        <v/>
      </c>
      <c r="Y221" s="12"/>
      <c r="Z221" s="36"/>
      <c r="AA221" s="27" t="str">
        <f aca="false">IF(OR(Y221="",Z221=0),"",IFERROR((Y221-K221)*IF(F221="Sell",-1,1)*R221*Z221*IF(ISNUMBER(SEARCH("JPY",E221)),1000,IF(ISNUMBER(SEARCH("XAU",E221)),100,IF(OR(ISNUMBER(SEARCH("30",E221)),ISNUMBER(SEARCH("500",E221)),ISNUMBER(SEARCH("100",E221))),100,100000))),0))</f>
        <v/>
      </c>
      <c r="AB221" s="12"/>
      <c r="AC221" s="29" t="str">
        <f aca="false">IF(K221="","",1-IFERROR(T221,0)-IFERROR(W221,0)-IFERROR(Z221,0))</f>
        <v/>
      </c>
      <c r="AD221" s="30" t="str">
        <f aca="false">IF(AB221="","",IFERROR((IFERROR(S221*T221,0)+IFERROR(V221*W221,0)+IFERROR(Y221*Z221,0)+AB221*AC221)/(IFERROR(T221,0)+IFERROR(W221,0)+IFERROR(Z221,0)+AC221),AB221))</f>
        <v/>
      </c>
      <c r="AE221" s="27" t="str">
        <f aca="false">IF(AB221="","",IF(U221="",0,U221)+IF(X221="",0,X221)+IF(AA221="",0,AA221)+IFERROR((AB221-K221)*IF(F221="Sell",-1,1)*R221*AC221*IF(ISNUMBER(SEARCH("JPY",E221)),1000,IF(ISNUMBER(SEARCH("XAU",E221)),100,IF(OR(ISNUMBER(SEARCH("30",E221)),ISNUMBER(SEARCH("500",E221)),ISNUMBER(SEARCH("100",E221))),100,100000))),0))</f>
        <v/>
      </c>
      <c r="AF221" s="31" t="str">
        <f aca="false">IF(OR(K221="",M221="",L221=""),"",IFERROR(ABS(M221-K221)/ABS(K221-L221),0))</f>
        <v/>
      </c>
      <c r="AG221" s="31" t="str">
        <f aca="false">IF(OR(AE221="",AE221=0,Q221=0,Q221=""),"",IFERROR(AE221/Q221,0))</f>
        <v/>
      </c>
      <c r="AH221" s="32" t="str">
        <f aca="false">IF(AB221="","Open",IF(AG221="","Open",IF(AG221&gt;0.1,"Win",IF(AG221&lt;-0.1,"Loss","Breakeven"))))</f>
        <v>Open</v>
      </c>
      <c r="AI221" s="33" t="str">
        <f aca="false">IF(OR(B221="",D221=""),"",D221-B221)</f>
        <v/>
      </c>
      <c r="AJ221" s="24" t="str">
        <f aca="false">IF(AD221="","",IFERROR((AD221-K221)*IF(F221="Sell",-1,1)/IF(ISNUMBER(SEARCH("JPY",E221)),0.01,IF(ISNUMBER(SEARCH("XAU",E221)),0.01,IF(OR(ISNUMBER(SEARCH("30",E221)),ISNUMBER(SEARCH("500",E221)),ISNUMBER(SEARCH("100",E221))),1,0.0001))),0))</f>
        <v/>
      </c>
      <c r="AK221" s="12"/>
      <c r="AL221" s="12"/>
      <c r="AM221" s="12"/>
      <c r="AN221" s="12"/>
      <c r="AO221" s="27" t="str">
        <f aca="false">IF(AE221="","",IFERROR(IF(AO220="",SETTINGS!$B$6,AO220),SETTINGS!$B$6)+IF(AE221="",0,AE221))</f>
        <v/>
      </c>
      <c r="AP221" s="2"/>
    </row>
    <row r="222" customFormat="false" ht="15" hidden="false" customHeight="false" outlineLevel="0" collapsed="false">
      <c r="A222" s="24" t="str">
        <f aca="false">IF(B222="","",ROW()-3)</f>
        <v/>
      </c>
      <c r="B222" s="25"/>
      <c r="C222" s="10"/>
      <c r="D222" s="25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26"/>
      <c r="P222" s="24" t="str">
        <f aca="false">IF(K222="","",IFERROR(ABS(K222-L222)/IF(ISNUMBER(SEARCH("JPY",E222)),0.01,IF(ISNUMBER(SEARCH("XAU",E222)),0.01,IF(OR(ISNUMBER(SEARCH("30",E222)),ISNUMBER(SEARCH("500",E222)),ISNUMBER(SEARCH("100",E222))),1,0.0001))),0))</f>
        <v/>
      </c>
      <c r="Q222" s="27" t="str">
        <f aca="false">IF(K222="","",SETTINGS!$B$6*O222)</f>
        <v/>
      </c>
      <c r="R222" s="24" t="str">
        <f aca="false">IF(K222="","",IFERROR(Q222/(P222*IF(ISNUMBER(SEARCH("JPY",E222)),9.09,IF(ISNUMBER(SEARCH("XAU",E222)),1,IF(OR(ISNUMBER(SEARCH("30",E222)),ISNUMBER(SEARCH("500",E222)),ISNUMBER(SEARCH("100",E222))),1,10)))),0))</f>
        <v/>
      </c>
      <c r="S222" s="10"/>
      <c r="T222" s="28"/>
      <c r="U222" s="27" t="str">
        <f aca="false">IF(OR(S222="",T222=0),"",IFERROR((S222-K222)*IF(F222="Sell",-1,1)*R222*T222*IF(ISNUMBER(SEARCH("JPY",E222)),1000,IF(ISNUMBER(SEARCH("XAU",E222)),100,IF(OR(ISNUMBER(SEARCH("30",E222)),ISNUMBER(SEARCH("500",E222)),ISNUMBER(SEARCH("100",E222))),100,100000))),0))</f>
        <v/>
      </c>
      <c r="V222" s="10"/>
      <c r="W222" s="28"/>
      <c r="X222" s="27" t="str">
        <f aca="false">IF(OR(V222="",W222=0),"",IFERROR((V222-K222)*IF(F222="Sell",-1,1)*R222*W222*IF(ISNUMBER(SEARCH("JPY",E222)),1000,IF(ISNUMBER(SEARCH("XAU",E222)),100,IF(OR(ISNUMBER(SEARCH("30",E222)),ISNUMBER(SEARCH("500",E222)),ISNUMBER(SEARCH("100",E222))),100,100000))),0))</f>
        <v/>
      </c>
      <c r="Y222" s="10"/>
      <c r="Z222" s="28"/>
      <c r="AA222" s="27" t="str">
        <f aca="false">IF(OR(Y222="",Z222=0),"",IFERROR((Y222-K222)*IF(F222="Sell",-1,1)*R222*Z222*IF(ISNUMBER(SEARCH("JPY",E222)),1000,IF(ISNUMBER(SEARCH("XAU",E222)),100,IF(OR(ISNUMBER(SEARCH("30",E222)),ISNUMBER(SEARCH("500",E222)),ISNUMBER(SEARCH("100",E222))),100,100000))),0))</f>
        <v/>
      </c>
      <c r="AB222" s="10"/>
      <c r="AC222" s="29" t="str">
        <f aca="false">IF(K222="","",1-IFERROR(T222,0)-IFERROR(W222,0)-IFERROR(Z222,0))</f>
        <v/>
      </c>
      <c r="AD222" s="30" t="str">
        <f aca="false">IF(AB222="","",IFERROR((IFERROR(S222*T222,0)+IFERROR(V222*W222,0)+IFERROR(Y222*Z222,0)+AB222*AC222)/(IFERROR(T222,0)+IFERROR(W222,0)+IFERROR(Z222,0)+AC222),AB222))</f>
        <v/>
      </c>
      <c r="AE222" s="27" t="str">
        <f aca="false">IF(AB222="","",IF(U222="",0,U222)+IF(X222="",0,X222)+IF(AA222="",0,AA222)+IFERROR((AB222-K222)*IF(F222="Sell",-1,1)*R222*AC222*IF(ISNUMBER(SEARCH("JPY",E222)),1000,IF(ISNUMBER(SEARCH("XAU",E222)),100,IF(OR(ISNUMBER(SEARCH("30",E222)),ISNUMBER(SEARCH("500",E222)),ISNUMBER(SEARCH("100",E222))),100,100000))),0))</f>
        <v/>
      </c>
      <c r="AF222" s="31" t="str">
        <f aca="false">IF(OR(K222="",M222="",L222=""),"",IFERROR(ABS(M222-K222)/ABS(K222-L222),0))</f>
        <v/>
      </c>
      <c r="AG222" s="31" t="str">
        <f aca="false">IF(OR(AE222="",AE222=0,Q222=0,Q222=""),"",IFERROR(AE222/Q222,0))</f>
        <v/>
      </c>
      <c r="AH222" s="32" t="str">
        <f aca="false">IF(AB222="","Open",IF(AG222="","Open",IF(AG222&gt;0.1,"Win",IF(AG222&lt;-0.1,"Loss","Breakeven"))))</f>
        <v>Open</v>
      </c>
      <c r="AI222" s="33" t="str">
        <f aca="false">IF(OR(B222="",D222=""),"",D222-B222)</f>
        <v/>
      </c>
      <c r="AJ222" s="24" t="str">
        <f aca="false">IF(AD222="","",IFERROR((AD222-K222)*IF(F222="Sell",-1,1)/IF(ISNUMBER(SEARCH("JPY",E222)),0.01,IF(ISNUMBER(SEARCH("XAU",E222)),0.01,IF(OR(ISNUMBER(SEARCH("30",E222)),ISNUMBER(SEARCH("500",E222)),ISNUMBER(SEARCH("100",E222))),1,0.0001))),0))</f>
        <v/>
      </c>
      <c r="AK222" s="10"/>
      <c r="AL222" s="10"/>
      <c r="AM222" s="10"/>
      <c r="AN222" s="10"/>
      <c r="AO222" s="27" t="str">
        <f aca="false">IF(AE222="","",IFERROR(IF(AO221="",SETTINGS!$B$6,AO221),SETTINGS!$B$6)+IF(AE222="",0,AE222))</f>
        <v/>
      </c>
      <c r="AP222" s="2"/>
    </row>
    <row r="223" customFormat="false" ht="15" hidden="false" customHeight="false" outlineLevel="0" collapsed="false">
      <c r="A223" s="24" t="str">
        <f aca="false">IF(B223="","",ROW()-3)</f>
        <v/>
      </c>
      <c r="B223" s="34"/>
      <c r="C223" s="12"/>
      <c r="D223" s="34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35"/>
      <c r="P223" s="24" t="str">
        <f aca="false">IF(K223="","",IFERROR(ABS(K223-L223)/IF(ISNUMBER(SEARCH("JPY",E223)),0.01,IF(ISNUMBER(SEARCH("XAU",E223)),0.01,IF(OR(ISNUMBER(SEARCH("30",E223)),ISNUMBER(SEARCH("500",E223)),ISNUMBER(SEARCH("100",E223))),1,0.0001))),0))</f>
        <v/>
      </c>
      <c r="Q223" s="27" t="str">
        <f aca="false">IF(K223="","",SETTINGS!$B$6*O223)</f>
        <v/>
      </c>
      <c r="R223" s="24" t="str">
        <f aca="false">IF(K223="","",IFERROR(Q223/(P223*IF(ISNUMBER(SEARCH("JPY",E223)),9.09,IF(ISNUMBER(SEARCH("XAU",E223)),1,IF(OR(ISNUMBER(SEARCH("30",E223)),ISNUMBER(SEARCH("500",E223)),ISNUMBER(SEARCH("100",E223))),1,10)))),0))</f>
        <v/>
      </c>
      <c r="S223" s="12"/>
      <c r="T223" s="36"/>
      <c r="U223" s="27" t="str">
        <f aca="false">IF(OR(S223="",T223=0),"",IFERROR((S223-K223)*IF(F223="Sell",-1,1)*R223*T223*IF(ISNUMBER(SEARCH("JPY",E223)),1000,IF(ISNUMBER(SEARCH("XAU",E223)),100,IF(OR(ISNUMBER(SEARCH("30",E223)),ISNUMBER(SEARCH("500",E223)),ISNUMBER(SEARCH("100",E223))),100,100000))),0))</f>
        <v/>
      </c>
      <c r="V223" s="12"/>
      <c r="W223" s="36"/>
      <c r="X223" s="27" t="str">
        <f aca="false">IF(OR(V223="",W223=0),"",IFERROR((V223-K223)*IF(F223="Sell",-1,1)*R223*W223*IF(ISNUMBER(SEARCH("JPY",E223)),1000,IF(ISNUMBER(SEARCH("XAU",E223)),100,IF(OR(ISNUMBER(SEARCH("30",E223)),ISNUMBER(SEARCH("500",E223)),ISNUMBER(SEARCH("100",E223))),100,100000))),0))</f>
        <v/>
      </c>
      <c r="Y223" s="12"/>
      <c r="Z223" s="36"/>
      <c r="AA223" s="27" t="str">
        <f aca="false">IF(OR(Y223="",Z223=0),"",IFERROR((Y223-K223)*IF(F223="Sell",-1,1)*R223*Z223*IF(ISNUMBER(SEARCH("JPY",E223)),1000,IF(ISNUMBER(SEARCH("XAU",E223)),100,IF(OR(ISNUMBER(SEARCH("30",E223)),ISNUMBER(SEARCH("500",E223)),ISNUMBER(SEARCH("100",E223))),100,100000))),0))</f>
        <v/>
      </c>
      <c r="AB223" s="12"/>
      <c r="AC223" s="29" t="str">
        <f aca="false">IF(K223="","",1-IFERROR(T223,0)-IFERROR(W223,0)-IFERROR(Z223,0))</f>
        <v/>
      </c>
      <c r="AD223" s="30" t="str">
        <f aca="false">IF(AB223="","",IFERROR((IFERROR(S223*T223,0)+IFERROR(V223*W223,0)+IFERROR(Y223*Z223,0)+AB223*AC223)/(IFERROR(T223,0)+IFERROR(W223,0)+IFERROR(Z223,0)+AC223),AB223))</f>
        <v/>
      </c>
      <c r="AE223" s="27" t="str">
        <f aca="false">IF(AB223="","",IF(U223="",0,U223)+IF(X223="",0,X223)+IF(AA223="",0,AA223)+IFERROR((AB223-K223)*IF(F223="Sell",-1,1)*R223*AC223*IF(ISNUMBER(SEARCH("JPY",E223)),1000,IF(ISNUMBER(SEARCH("XAU",E223)),100,IF(OR(ISNUMBER(SEARCH("30",E223)),ISNUMBER(SEARCH("500",E223)),ISNUMBER(SEARCH("100",E223))),100,100000))),0))</f>
        <v/>
      </c>
      <c r="AF223" s="31" t="str">
        <f aca="false">IF(OR(K223="",M223="",L223=""),"",IFERROR(ABS(M223-K223)/ABS(K223-L223),0))</f>
        <v/>
      </c>
      <c r="AG223" s="31" t="str">
        <f aca="false">IF(OR(AE223="",AE223=0,Q223=0,Q223=""),"",IFERROR(AE223/Q223,0))</f>
        <v/>
      </c>
      <c r="AH223" s="32" t="str">
        <f aca="false">IF(AB223="","Open",IF(AG223="","Open",IF(AG223&gt;0.1,"Win",IF(AG223&lt;-0.1,"Loss","Breakeven"))))</f>
        <v>Open</v>
      </c>
      <c r="AI223" s="33" t="str">
        <f aca="false">IF(OR(B223="",D223=""),"",D223-B223)</f>
        <v/>
      </c>
      <c r="AJ223" s="24" t="str">
        <f aca="false">IF(AD223="","",IFERROR((AD223-K223)*IF(F223="Sell",-1,1)/IF(ISNUMBER(SEARCH("JPY",E223)),0.01,IF(ISNUMBER(SEARCH("XAU",E223)),0.01,IF(OR(ISNUMBER(SEARCH("30",E223)),ISNUMBER(SEARCH("500",E223)),ISNUMBER(SEARCH("100",E223))),1,0.0001))),0))</f>
        <v/>
      </c>
      <c r="AK223" s="12"/>
      <c r="AL223" s="12"/>
      <c r="AM223" s="12"/>
      <c r="AN223" s="12"/>
      <c r="AO223" s="27" t="str">
        <f aca="false">IF(AE223="","",IFERROR(IF(AO222="",SETTINGS!$B$6,AO222),SETTINGS!$B$6)+IF(AE223="",0,AE223))</f>
        <v/>
      </c>
      <c r="AP223" s="2"/>
    </row>
    <row r="224" customFormat="false" ht="15" hidden="false" customHeight="false" outlineLevel="0" collapsed="false">
      <c r="A224" s="24" t="str">
        <f aca="false">IF(B224="","",ROW()-3)</f>
        <v/>
      </c>
      <c r="B224" s="25"/>
      <c r="C224" s="10"/>
      <c r="D224" s="25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26"/>
      <c r="P224" s="24" t="str">
        <f aca="false">IF(K224="","",IFERROR(ABS(K224-L224)/IF(ISNUMBER(SEARCH("JPY",E224)),0.01,IF(ISNUMBER(SEARCH("XAU",E224)),0.01,IF(OR(ISNUMBER(SEARCH("30",E224)),ISNUMBER(SEARCH("500",E224)),ISNUMBER(SEARCH("100",E224))),1,0.0001))),0))</f>
        <v/>
      </c>
      <c r="Q224" s="27" t="str">
        <f aca="false">IF(K224="","",SETTINGS!$B$6*O224)</f>
        <v/>
      </c>
      <c r="R224" s="24" t="str">
        <f aca="false">IF(K224="","",IFERROR(Q224/(P224*IF(ISNUMBER(SEARCH("JPY",E224)),9.09,IF(ISNUMBER(SEARCH("XAU",E224)),1,IF(OR(ISNUMBER(SEARCH("30",E224)),ISNUMBER(SEARCH("500",E224)),ISNUMBER(SEARCH("100",E224))),1,10)))),0))</f>
        <v/>
      </c>
      <c r="S224" s="10"/>
      <c r="T224" s="28"/>
      <c r="U224" s="27" t="str">
        <f aca="false">IF(OR(S224="",T224=0),"",IFERROR((S224-K224)*IF(F224="Sell",-1,1)*R224*T224*IF(ISNUMBER(SEARCH("JPY",E224)),1000,IF(ISNUMBER(SEARCH("XAU",E224)),100,IF(OR(ISNUMBER(SEARCH("30",E224)),ISNUMBER(SEARCH("500",E224)),ISNUMBER(SEARCH("100",E224))),100,100000))),0))</f>
        <v/>
      </c>
      <c r="V224" s="10"/>
      <c r="W224" s="28"/>
      <c r="X224" s="27" t="str">
        <f aca="false">IF(OR(V224="",W224=0),"",IFERROR((V224-K224)*IF(F224="Sell",-1,1)*R224*W224*IF(ISNUMBER(SEARCH("JPY",E224)),1000,IF(ISNUMBER(SEARCH("XAU",E224)),100,IF(OR(ISNUMBER(SEARCH("30",E224)),ISNUMBER(SEARCH("500",E224)),ISNUMBER(SEARCH("100",E224))),100,100000))),0))</f>
        <v/>
      </c>
      <c r="Y224" s="10"/>
      <c r="Z224" s="28"/>
      <c r="AA224" s="27" t="str">
        <f aca="false">IF(OR(Y224="",Z224=0),"",IFERROR((Y224-K224)*IF(F224="Sell",-1,1)*R224*Z224*IF(ISNUMBER(SEARCH("JPY",E224)),1000,IF(ISNUMBER(SEARCH("XAU",E224)),100,IF(OR(ISNUMBER(SEARCH("30",E224)),ISNUMBER(SEARCH("500",E224)),ISNUMBER(SEARCH("100",E224))),100,100000))),0))</f>
        <v/>
      </c>
      <c r="AB224" s="10"/>
      <c r="AC224" s="29" t="str">
        <f aca="false">IF(K224="","",1-IFERROR(T224,0)-IFERROR(W224,0)-IFERROR(Z224,0))</f>
        <v/>
      </c>
      <c r="AD224" s="30" t="str">
        <f aca="false">IF(AB224="","",IFERROR((IFERROR(S224*T224,0)+IFERROR(V224*W224,0)+IFERROR(Y224*Z224,0)+AB224*AC224)/(IFERROR(T224,0)+IFERROR(W224,0)+IFERROR(Z224,0)+AC224),AB224))</f>
        <v/>
      </c>
      <c r="AE224" s="27" t="str">
        <f aca="false">IF(AB224="","",IF(U224="",0,U224)+IF(X224="",0,X224)+IF(AA224="",0,AA224)+IFERROR((AB224-K224)*IF(F224="Sell",-1,1)*R224*AC224*IF(ISNUMBER(SEARCH("JPY",E224)),1000,IF(ISNUMBER(SEARCH("XAU",E224)),100,IF(OR(ISNUMBER(SEARCH("30",E224)),ISNUMBER(SEARCH("500",E224)),ISNUMBER(SEARCH("100",E224))),100,100000))),0))</f>
        <v/>
      </c>
      <c r="AF224" s="31" t="str">
        <f aca="false">IF(OR(K224="",M224="",L224=""),"",IFERROR(ABS(M224-K224)/ABS(K224-L224),0))</f>
        <v/>
      </c>
      <c r="AG224" s="31" t="str">
        <f aca="false">IF(OR(AE224="",AE224=0,Q224=0,Q224=""),"",IFERROR(AE224/Q224,0))</f>
        <v/>
      </c>
      <c r="AH224" s="32" t="str">
        <f aca="false">IF(AB224="","Open",IF(AG224="","Open",IF(AG224&gt;0.1,"Win",IF(AG224&lt;-0.1,"Loss","Breakeven"))))</f>
        <v>Open</v>
      </c>
      <c r="AI224" s="33" t="str">
        <f aca="false">IF(OR(B224="",D224=""),"",D224-B224)</f>
        <v/>
      </c>
      <c r="AJ224" s="24" t="str">
        <f aca="false">IF(AD224="","",IFERROR((AD224-K224)*IF(F224="Sell",-1,1)/IF(ISNUMBER(SEARCH("JPY",E224)),0.01,IF(ISNUMBER(SEARCH("XAU",E224)),0.01,IF(OR(ISNUMBER(SEARCH("30",E224)),ISNUMBER(SEARCH("500",E224)),ISNUMBER(SEARCH("100",E224))),1,0.0001))),0))</f>
        <v/>
      </c>
      <c r="AK224" s="10"/>
      <c r="AL224" s="10"/>
      <c r="AM224" s="10"/>
      <c r="AN224" s="10"/>
      <c r="AO224" s="27" t="str">
        <f aca="false">IF(AE224="","",IFERROR(IF(AO223="",SETTINGS!$B$6,AO223),SETTINGS!$B$6)+IF(AE224="",0,AE224))</f>
        <v/>
      </c>
      <c r="AP224" s="2"/>
    </row>
    <row r="225" customFormat="false" ht="15" hidden="false" customHeight="false" outlineLevel="0" collapsed="false">
      <c r="A225" s="24" t="str">
        <f aca="false">IF(B225="","",ROW()-3)</f>
        <v/>
      </c>
      <c r="B225" s="34"/>
      <c r="C225" s="12"/>
      <c r="D225" s="34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35"/>
      <c r="P225" s="24" t="str">
        <f aca="false">IF(K225="","",IFERROR(ABS(K225-L225)/IF(ISNUMBER(SEARCH("JPY",E225)),0.01,IF(ISNUMBER(SEARCH("XAU",E225)),0.01,IF(OR(ISNUMBER(SEARCH("30",E225)),ISNUMBER(SEARCH("500",E225)),ISNUMBER(SEARCH("100",E225))),1,0.0001))),0))</f>
        <v/>
      </c>
      <c r="Q225" s="27" t="str">
        <f aca="false">IF(K225="","",SETTINGS!$B$6*O225)</f>
        <v/>
      </c>
      <c r="R225" s="24" t="str">
        <f aca="false">IF(K225="","",IFERROR(Q225/(P225*IF(ISNUMBER(SEARCH("JPY",E225)),9.09,IF(ISNUMBER(SEARCH("XAU",E225)),1,IF(OR(ISNUMBER(SEARCH("30",E225)),ISNUMBER(SEARCH("500",E225)),ISNUMBER(SEARCH("100",E225))),1,10)))),0))</f>
        <v/>
      </c>
      <c r="S225" s="12"/>
      <c r="T225" s="36"/>
      <c r="U225" s="27" t="str">
        <f aca="false">IF(OR(S225="",T225=0),"",IFERROR((S225-K225)*IF(F225="Sell",-1,1)*R225*T225*IF(ISNUMBER(SEARCH("JPY",E225)),1000,IF(ISNUMBER(SEARCH("XAU",E225)),100,IF(OR(ISNUMBER(SEARCH("30",E225)),ISNUMBER(SEARCH("500",E225)),ISNUMBER(SEARCH("100",E225))),100,100000))),0))</f>
        <v/>
      </c>
      <c r="V225" s="12"/>
      <c r="W225" s="36"/>
      <c r="X225" s="27" t="str">
        <f aca="false">IF(OR(V225="",W225=0),"",IFERROR((V225-K225)*IF(F225="Sell",-1,1)*R225*W225*IF(ISNUMBER(SEARCH("JPY",E225)),1000,IF(ISNUMBER(SEARCH("XAU",E225)),100,IF(OR(ISNUMBER(SEARCH("30",E225)),ISNUMBER(SEARCH("500",E225)),ISNUMBER(SEARCH("100",E225))),100,100000))),0))</f>
        <v/>
      </c>
      <c r="Y225" s="12"/>
      <c r="Z225" s="36"/>
      <c r="AA225" s="27" t="str">
        <f aca="false">IF(OR(Y225="",Z225=0),"",IFERROR((Y225-K225)*IF(F225="Sell",-1,1)*R225*Z225*IF(ISNUMBER(SEARCH("JPY",E225)),1000,IF(ISNUMBER(SEARCH("XAU",E225)),100,IF(OR(ISNUMBER(SEARCH("30",E225)),ISNUMBER(SEARCH("500",E225)),ISNUMBER(SEARCH("100",E225))),100,100000))),0))</f>
        <v/>
      </c>
      <c r="AB225" s="12"/>
      <c r="AC225" s="29" t="str">
        <f aca="false">IF(K225="","",1-IFERROR(T225,0)-IFERROR(W225,0)-IFERROR(Z225,0))</f>
        <v/>
      </c>
      <c r="AD225" s="30" t="str">
        <f aca="false">IF(AB225="","",IFERROR((IFERROR(S225*T225,0)+IFERROR(V225*W225,0)+IFERROR(Y225*Z225,0)+AB225*AC225)/(IFERROR(T225,0)+IFERROR(W225,0)+IFERROR(Z225,0)+AC225),AB225))</f>
        <v/>
      </c>
      <c r="AE225" s="27" t="str">
        <f aca="false">IF(AB225="","",IF(U225="",0,U225)+IF(X225="",0,X225)+IF(AA225="",0,AA225)+IFERROR((AB225-K225)*IF(F225="Sell",-1,1)*R225*AC225*IF(ISNUMBER(SEARCH("JPY",E225)),1000,IF(ISNUMBER(SEARCH("XAU",E225)),100,IF(OR(ISNUMBER(SEARCH("30",E225)),ISNUMBER(SEARCH("500",E225)),ISNUMBER(SEARCH("100",E225))),100,100000))),0))</f>
        <v/>
      </c>
      <c r="AF225" s="31" t="str">
        <f aca="false">IF(OR(K225="",M225="",L225=""),"",IFERROR(ABS(M225-K225)/ABS(K225-L225),0))</f>
        <v/>
      </c>
      <c r="AG225" s="31" t="str">
        <f aca="false">IF(OR(AE225="",AE225=0,Q225=0,Q225=""),"",IFERROR(AE225/Q225,0))</f>
        <v/>
      </c>
      <c r="AH225" s="32" t="str">
        <f aca="false">IF(AB225="","Open",IF(AG225="","Open",IF(AG225&gt;0.1,"Win",IF(AG225&lt;-0.1,"Loss","Breakeven"))))</f>
        <v>Open</v>
      </c>
      <c r="AI225" s="33" t="str">
        <f aca="false">IF(OR(B225="",D225=""),"",D225-B225)</f>
        <v/>
      </c>
      <c r="AJ225" s="24" t="str">
        <f aca="false">IF(AD225="","",IFERROR((AD225-K225)*IF(F225="Sell",-1,1)/IF(ISNUMBER(SEARCH("JPY",E225)),0.01,IF(ISNUMBER(SEARCH("XAU",E225)),0.01,IF(OR(ISNUMBER(SEARCH("30",E225)),ISNUMBER(SEARCH("500",E225)),ISNUMBER(SEARCH("100",E225))),1,0.0001))),0))</f>
        <v/>
      </c>
      <c r="AK225" s="12"/>
      <c r="AL225" s="12"/>
      <c r="AM225" s="12"/>
      <c r="AN225" s="12"/>
      <c r="AO225" s="27" t="str">
        <f aca="false">IF(AE225="","",IFERROR(IF(AO224="",SETTINGS!$B$6,AO224),SETTINGS!$B$6)+IF(AE225="",0,AE225))</f>
        <v/>
      </c>
      <c r="AP225" s="2"/>
    </row>
    <row r="226" customFormat="false" ht="15" hidden="false" customHeight="false" outlineLevel="0" collapsed="false">
      <c r="A226" s="24" t="str">
        <f aca="false">IF(B226="","",ROW()-3)</f>
        <v/>
      </c>
      <c r="B226" s="25"/>
      <c r="C226" s="10"/>
      <c r="D226" s="25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26"/>
      <c r="P226" s="24" t="str">
        <f aca="false">IF(K226="","",IFERROR(ABS(K226-L226)/IF(ISNUMBER(SEARCH("JPY",E226)),0.01,IF(ISNUMBER(SEARCH("XAU",E226)),0.01,IF(OR(ISNUMBER(SEARCH("30",E226)),ISNUMBER(SEARCH("500",E226)),ISNUMBER(SEARCH("100",E226))),1,0.0001))),0))</f>
        <v/>
      </c>
      <c r="Q226" s="27" t="str">
        <f aca="false">IF(K226="","",SETTINGS!$B$6*O226)</f>
        <v/>
      </c>
      <c r="R226" s="24" t="str">
        <f aca="false">IF(K226="","",IFERROR(Q226/(P226*IF(ISNUMBER(SEARCH("JPY",E226)),9.09,IF(ISNUMBER(SEARCH("XAU",E226)),1,IF(OR(ISNUMBER(SEARCH("30",E226)),ISNUMBER(SEARCH("500",E226)),ISNUMBER(SEARCH("100",E226))),1,10)))),0))</f>
        <v/>
      </c>
      <c r="S226" s="10"/>
      <c r="T226" s="28"/>
      <c r="U226" s="27" t="str">
        <f aca="false">IF(OR(S226="",T226=0),"",IFERROR((S226-K226)*IF(F226="Sell",-1,1)*R226*T226*IF(ISNUMBER(SEARCH("JPY",E226)),1000,IF(ISNUMBER(SEARCH("XAU",E226)),100,IF(OR(ISNUMBER(SEARCH("30",E226)),ISNUMBER(SEARCH("500",E226)),ISNUMBER(SEARCH("100",E226))),100,100000))),0))</f>
        <v/>
      </c>
      <c r="V226" s="10"/>
      <c r="W226" s="28"/>
      <c r="X226" s="27" t="str">
        <f aca="false">IF(OR(V226="",W226=0),"",IFERROR((V226-K226)*IF(F226="Sell",-1,1)*R226*W226*IF(ISNUMBER(SEARCH("JPY",E226)),1000,IF(ISNUMBER(SEARCH("XAU",E226)),100,IF(OR(ISNUMBER(SEARCH("30",E226)),ISNUMBER(SEARCH("500",E226)),ISNUMBER(SEARCH("100",E226))),100,100000))),0))</f>
        <v/>
      </c>
      <c r="Y226" s="10"/>
      <c r="Z226" s="28"/>
      <c r="AA226" s="27" t="str">
        <f aca="false">IF(OR(Y226="",Z226=0),"",IFERROR((Y226-K226)*IF(F226="Sell",-1,1)*R226*Z226*IF(ISNUMBER(SEARCH("JPY",E226)),1000,IF(ISNUMBER(SEARCH("XAU",E226)),100,IF(OR(ISNUMBER(SEARCH("30",E226)),ISNUMBER(SEARCH("500",E226)),ISNUMBER(SEARCH("100",E226))),100,100000))),0))</f>
        <v/>
      </c>
      <c r="AB226" s="10"/>
      <c r="AC226" s="29" t="str">
        <f aca="false">IF(K226="","",1-IFERROR(T226,0)-IFERROR(W226,0)-IFERROR(Z226,0))</f>
        <v/>
      </c>
      <c r="AD226" s="30" t="str">
        <f aca="false">IF(AB226="","",IFERROR((IFERROR(S226*T226,0)+IFERROR(V226*W226,0)+IFERROR(Y226*Z226,0)+AB226*AC226)/(IFERROR(T226,0)+IFERROR(W226,0)+IFERROR(Z226,0)+AC226),AB226))</f>
        <v/>
      </c>
      <c r="AE226" s="27" t="str">
        <f aca="false">IF(AB226="","",IF(U226="",0,U226)+IF(X226="",0,X226)+IF(AA226="",0,AA226)+IFERROR((AB226-K226)*IF(F226="Sell",-1,1)*R226*AC226*IF(ISNUMBER(SEARCH("JPY",E226)),1000,IF(ISNUMBER(SEARCH("XAU",E226)),100,IF(OR(ISNUMBER(SEARCH("30",E226)),ISNUMBER(SEARCH("500",E226)),ISNUMBER(SEARCH("100",E226))),100,100000))),0))</f>
        <v/>
      </c>
      <c r="AF226" s="31" t="str">
        <f aca="false">IF(OR(K226="",M226="",L226=""),"",IFERROR(ABS(M226-K226)/ABS(K226-L226),0))</f>
        <v/>
      </c>
      <c r="AG226" s="31" t="str">
        <f aca="false">IF(OR(AE226="",AE226=0,Q226=0,Q226=""),"",IFERROR(AE226/Q226,0))</f>
        <v/>
      </c>
      <c r="AH226" s="32" t="str">
        <f aca="false">IF(AB226="","Open",IF(AG226="","Open",IF(AG226&gt;0.1,"Win",IF(AG226&lt;-0.1,"Loss","Breakeven"))))</f>
        <v>Open</v>
      </c>
      <c r="AI226" s="33" t="str">
        <f aca="false">IF(OR(B226="",D226=""),"",D226-B226)</f>
        <v/>
      </c>
      <c r="AJ226" s="24" t="str">
        <f aca="false">IF(AD226="","",IFERROR((AD226-K226)*IF(F226="Sell",-1,1)/IF(ISNUMBER(SEARCH("JPY",E226)),0.01,IF(ISNUMBER(SEARCH("XAU",E226)),0.01,IF(OR(ISNUMBER(SEARCH("30",E226)),ISNUMBER(SEARCH("500",E226)),ISNUMBER(SEARCH("100",E226))),1,0.0001))),0))</f>
        <v/>
      </c>
      <c r="AK226" s="10"/>
      <c r="AL226" s="10"/>
      <c r="AM226" s="10"/>
      <c r="AN226" s="10"/>
      <c r="AO226" s="27" t="str">
        <f aca="false">IF(AE226="","",IFERROR(IF(AO225="",SETTINGS!$B$6,AO225),SETTINGS!$B$6)+IF(AE226="",0,AE226))</f>
        <v/>
      </c>
      <c r="AP226" s="2"/>
    </row>
    <row r="227" customFormat="false" ht="15" hidden="false" customHeight="false" outlineLevel="0" collapsed="false">
      <c r="A227" s="24" t="str">
        <f aca="false">IF(B227="","",ROW()-3)</f>
        <v/>
      </c>
      <c r="B227" s="34"/>
      <c r="C227" s="12"/>
      <c r="D227" s="34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35"/>
      <c r="P227" s="24" t="str">
        <f aca="false">IF(K227="","",IFERROR(ABS(K227-L227)/IF(ISNUMBER(SEARCH("JPY",E227)),0.01,IF(ISNUMBER(SEARCH("XAU",E227)),0.01,IF(OR(ISNUMBER(SEARCH("30",E227)),ISNUMBER(SEARCH("500",E227)),ISNUMBER(SEARCH("100",E227))),1,0.0001))),0))</f>
        <v/>
      </c>
      <c r="Q227" s="27" t="str">
        <f aca="false">IF(K227="","",SETTINGS!$B$6*O227)</f>
        <v/>
      </c>
      <c r="R227" s="24" t="str">
        <f aca="false">IF(K227="","",IFERROR(Q227/(P227*IF(ISNUMBER(SEARCH("JPY",E227)),9.09,IF(ISNUMBER(SEARCH("XAU",E227)),1,IF(OR(ISNUMBER(SEARCH("30",E227)),ISNUMBER(SEARCH("500",E227)),ISNUMBER(SEARCH("100",E227))),1,10)))),0))</f>
        <v/>
      </c>
      <c r="S227" s="12"/>
      <c r="T227" s="36"/>
      <c r="U227" s="27" t="str">
        <f aca="false">IF(OR(S227="",T227=0),"",IFERROR((S227-K227)*IF(F227="Sell",-1,1)*R227*T227*IF(ISNUMBER(SEARCH("JPY",E227)),1000,IF(ISNUMBER(SEARCH("XAU",E227)),100,IF(OR(ISNUMBER(SEARCH("30",E227)),ISNUMBER(SEARCH("500",E227)),ISNUMBER(SEARCH("100",E227))),100,100000))),0))</f>
        <v/>
      </c>
      <c r="V227" s="12"/>
      <c r="W227" s="36"/>
      <c r="X227" s="27" t="str">
        <f aca="false">IF(OR(V227="",W227=0),"",IFERROR((V227-K227)*IF(F227="Sell",-1,1)*R227*W227*IF(ISNUMBER(SEARCH("JPY",E227)),1000,IF(ISNUMBER(SEARCH("XAU",E227)),100,IF(OR(ISNUMBER(SEARCH("30",E227)),ISNUMBER(SEARCH("500",E227)),ISNUMBER(SEARCH("100",E227))),100,100000))),0))</f>
        <v/>
      </c>
      <c r="Y227" s="12"/>
      <c r="Z227" s="36"/>
      <c r="AA227" s="27" t="str">
        <f aca="false">IF(OR(Y227="",Z227=0),"",IFERROR((Y227-K227)*IF(F227="Sell",-1,1)*R227*Z227*IF(ISNUMBER(SEARCH("JPY",E227)),1000,IF(ISNUMBER(SEARCH("XAU",E227)),100,IF(OR(ISNUMBER(SEARCH("30",E227)),ISNUMBER(SEARCH("500",E227)),ISNUMBER(SEARCH("100",E227))),100,100000))),0))</f>
        <v/>
      </c>
      <c r="AB227" s="12"/>
      <c r="AC227" s="29" t="str">
        <f aca="false">IF(K227="","",1-IFERROR(T227,0)-IFERROR(W227,0)-IFERROR(Z227,0))</f>
        <v/>
      </c>
      <c r="AD227" s="30" t="str">
        <f aca="false">IF(AB227="","",IFERROR((IFERROR(S227*T227,0)+IFERROR(V227*W227,0)+IFERROR(Y227*Z227,0)+AB227*AC227)/(IFERROR(T227,0)+IFERROR(W227,0)+IFERROR(Z227,0)+AC227),AB227))</f>
        <v/>
      </c>
      <c r="AE227" s="27" t="str">
        <f aca="false">IF(AB227="","",IF(U227="",0,U227)+IF(X227="",0,X227)+IF(AA227="",0,AA227)+IFERROR((AB227-K227)*IF(F227="Sell",-1,1)*R227*AC227*IF(ISNUMBER(SEARCH("JPY",E227)),1000,IF(ISNUMBER(SEARCH("XAU",E227)),100,IF(OR(ISNUMBER(SEARCH("30",E227)),ISNUMBER(SEARCH("500",E227)),ISNUMBER(SEARCH("100",E227))),100,100000))),0))</f>
        <v/>
      </c>
      <c r="AF227" s="31" t="str">
        <f aca="false">IF(OR(K227="",M227="",L227=""),"",IFERROR(ABS(M227-K227)/ABS(K227-L227),0))</f>
        <v/>
      </c>
      <c r="AG227" s="31" t="str">
        <f aca="false">IF(OR(AE227="",AE227=0,Q227=0,Q227=""),"",IFERROR(AE227/Q227,0))</f>
        <v/>
      </c>
      <c r="AH227" s="32" t="str">
        <f aca="false">IF(AB227="","Open",IF(AG227="","Open",IF(AG227&gt;0.1,"Win",IF(AG227&lt;-0.1,"Loss","Breakeven"))))</f>
        <v>Open</v>
      </c>
      <c r="AI227" s="33" t="str">
        <f aca="false">IF(OR(B227="",D227=""),"",D227-B227)</f>
        <v/>
      </c>
      <c r="AJ227" s="24" t="str">
        <f aca="false">IF(AD227="","",IFERROR((AD227-K227)*IF(F227="Sell",-1,1)/IF(ISNUMBER(SEARCH("JPY",E227)),0.01,IF(ISNUMBER(SEARCH("XAU",E227)),0.01,IF(OR(ISNUMBER(SEARCH("30",E227)),ISNUMBER(SEARCH("500",E227)),ISNUMBER(SEARCH("100",E227))),1,0.0001))),0))</f>
        <v/>
      </c>
      <c r="AK227" s="12"/>
      <c r="AL227" s="12"/>
      <c r="AM227" s="12"/>
      <c r="AN227" s="12"/>
      <c r="AO227" s="27" t="str">
        <f aca="false">IF(AE227="","",IFERROR(IF(AO226="",SETTINGS!$B$6,AO226),SETTINGS!$B$6)+IF(AE227="",0,AE227))</f>
        <v/>
      </c>
      <c r="AP227" s="2"/>
    </row>
    <row r="228" customFormat="false" ht="15" hidden="false" customHeight="false" outlineLevel="0" collapsed="false">
      <c r="A228" s="24" t="str">
        <f aca="false">IF(B228="","",ROW()-3)</f>
        <v/>
      </c>
      <c r="B228" s="25"/>
      <c r="C228" s="10"/>
      <c r="D228" s="25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26"/>
      <c r="P228" s="24" t="str">
        <f aca="false">IF(K228="","",IFERROR(ABS(K228-L228)/IF(ISNUMBER(SEARCH("JPY",E228)),0.01,IF(ISNUMBER(SEARCH("XAU",E228)),0.01,IF(OR(ISNUMBER(SEARCH("30",E228)),ISNUMBER(SEARCH("500",E228)),ISNUMBER(SEARCH("100",E228))),1,0.0001))),0))</f>
        <v/>
      </c>
      <c r="Q228" s="27" t="str">
        <f aca="false">IF(K228="","",SETTINGS!$B$6*O228)</f>
        <v/>
      </c>
      <c r="R228" s="24" t="str">
        <f aca="false">IF(K228="","",IFERROR(Q228/(P228*IF(ISNUMBER(SEARCH("JPY",E228)),9.09,IF(ISNUMBER(SEARCH("XAU",E228)),1,IF(OR(ISNUMBER(SEARCH("30",E228)),ISNUMBER(SEARCH("500",E228)),ISNUMBER(SEARCH("100",E228))),1,10)))),0))</f>
        <v/>
      </c>
      <c r="S228" s="10"/>
      <c r="T228" s="28"/>
      <c r="U228" s="27" t="str">
        <f aca="false">IF(OR(S228="",T228=0),"",IFERROR((S228-K228)*IF(F228="Sell",-1,1)*R228*T228*IF(ISNUMBER(SEARCH("JPY",E228)),1000,IF(ISNUMBER(SEARCH("XAU",E228)),100,IF(OR(ISNUMBER(SEARCH("30",E228)),ISNUMBER(SEARCH("500",E228)),ISNUMBER(SEARCH("100",E228))),100,100000))),0))</f>
        <v/>
      </c>
      <c r="V228" s="10"/>
      <c r="W228" s="28"/>
      <c r="X228" s="27" t="str">
        <f aca="false">IF(OR(V228="",W228=0),"",IFERROR((V228-K228)*IF(F228="Sell",-1,1)*R228*W228*IF(ISNUMBER(SEARCH("JPY",E228)),1000,IF(ISNUMBER(SEARCH("XAU",E228)),100,IF(OR(ISNUMBER(SEARCH("30",E228)),ISNUMBER(SEARCH("500",E228)),ISNUMBER(SEARCH("100",E228))),100,100000))),0))</f>
        <v/>
      </c>
      <c r="Y228" s="10"/>
      <c r="Z228" s="28"/>
      <c r="AA228" s="27" t="str">
        <f aca="false">IF(OR(Y228="",Z228=0),"",IFERROR((Y228-K228)*IF(F228="Sell",-1,1)*R228*Z228*IF(ISNUMBER(SEARCH("JPY",E228)),1000,IF(ISNUMBER(SEARCH("XAU",E228)),100,IF(OR(ISNUMBER(SEARCH("30",E228)),ISNUMBER(SEARCH("500",E228)),ISNUMBER(SEARCH("100",E228))),100,100000))),0))</f>
        <v/>
      </c>
      <c r="AB228" s="10"/>
      <c r="AC228" s="29" t="str">
        <f aca="false">IF(K228="","",1-IFERROR(T228,0)-IFERROR(W228,0)-IFERROR(Z228,0))</f>
        <v/>
      </c>
      <c r="AD228" s="30" t="str">
        <f aca="false">IF(AB228="","",IFERROR((IFERROR(S228*T228,0)+IFERROR(V228*W228,0)+IFERROR(Y228*Z228,0)+AB228*AC228)/(IFERROR(T228,0)+IFERROR(W228,0)+IFERROR(Z228,0)+AC228),AB228))</f>
        <v/>
      </c>
      <c r="AE228" s="27" t="str">
        <f aca="false">IF(AB228="","",IF(U228="",0,U228)+IF(X228="",0,X228)+IF(AA228="",0,AA228)+IFERROR((AB228-K228)*IF(F228="Sell",-1,1)*R228*AC228*IF(ISNUMBER(SEARCH("JPY",E228)),1000,IF(ISNUMBER(SEARCH("XAU",E228)),100,IF(OR(ISNUMBER(SEARCH("30",E228)),ISNUMBER(SEARCH("500",E228)),ISNUMBER(SEARCH("100",E228))),100,100000))),0))</f>
        <v/>
      </c>
      <c r="AF228" s="31" t="str">
        <f aca="false">IF(OR(K228="",M228="",L228=""),"",IFERROR(ABS(M228-K228)/ABS(K228-L228),0))</f>
        <v/>
      </c>
      <c r="AG228" s="31" t="str">
        <f aca="false">IF(OR(AE228="",AE228=0,Q228=0,Q228=""),"",IFERROR(AE228/Q228,0))</f>
        <v/>
      </c>
      <c r="AH228" s="32" t="str">
        <f aca="false">IF(AB228="","Open",IF(AG228="","Open",IF(AG228&gt;0.1,"Win",IF(AG228&lt;-0.1,"Loss","Breakeven"))))</f>
        <v>Open</v>
      </c>
      <c r="AI228" s="33" t="str">
        <f aca="false">IF(OR(B228="",D228=""),"",D228-B228)</f>
        <v/>
      </c>
      <c r="AJ228" s="24" t="str">
        <f aca="false">IF(AD228="","",IFERROR((AD228-K228)*IF(F228="Sell",-1,1)/IF(ISNUMBER(SEARCH("JPY",E228)),0.01,IF(ISNUMBER(SEARCH("XAU",E228)),0.01,IF(OR(ISNUMBER(SEARCH("30",E228)),ISNUMBER(SEARCH("500",E228)),ISNUMBER(SEARCH("100",E228))),1,0.0001))),0))</f>
        <v/>
      </c>
      <c r="AK228" s="10"/>
      <c r="AL228" s="10"/>
      <c r="AM228" s="10"/>
      <c r="AN228" s="10"/>
      <c r="AO228" s="27" t="str">
        <f aca="false">IF(AE228="","",IFERROR(IF(AO227="",SETTINGS!$B$6,AO227),SETTINGS!$B$6)+IF(AE228="",0,AE228))</f>
        <v/>
      </c>
      <c r="AP228" s="2"/>
    </row>
    <row r="229" customFormat="false" ht="15" hidden="false" customHeight="false" outlineLevel="0" collapsed="false">
      <c r="A229" s="24" t="str">
        <f aca="false">IF(B229="","",ROW()-3)</f>
        <v/>
      </c>
      <c r="B229" s="34"/>
      <c r="C229" s="12"/>
      <c r="D229" s="34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35"/>
      <c r="P229" s="24" t="str">
        <f aca="false">IF(K229="","",IFERROR(ABS(K229-L229)/IF(ISNUMBER(SEARCH("JPY",E229)),0.01,IF(ISNUMBER(SEARCH("XAU",E229)),0.01,IF(OR(ISNUMBER(SEARCH("30",E229)),ISNUMBER(SEARCH("500",E229)),ISNUMBER(SEARCH("100",E229))),1,0.0001))),0))</f>
        <v/>
      </c>
      <c r="Q229" s="27" t="str">
        <f aca="false">IF(K229="","",SETTINGS!$B$6*O229)</f>
        <v/>
      </c>
      <c r="R229" s="24" t="str">
        <f aca="false">IF(K229="","",IFERROR(Q229/(P229*IF(ISNUMBER(SEARCH("JPY",E229)),9.09,IF(ISNUMBER(SEARCH("XAU",E229)),1,IF(OR(ISNUMBER(SEARCH("30",E229)),ISNUMBER(SEARCH("500",E229)),ISNUMBER(SEARCH("100",E229))),1,10)))),0))</f>
        <v/>
      </c>
      <c r="S229" s="12"/>
      <c r="T229" s="36"/>
      <c r="U229" s="27" t="str">
        <f aca="false">IF(OR(S229="",T229=0),"",IFERROR((S229-K229)*IF(F229="Sell",-1,1)*R229*T229*IF(ISNUMBER(SEARCH("JPY",E229)),1000,IF(ISNUMBER(SEARCH("XAU",E229)),100,IF(OR(ISNUMBER(SEARCH("30",E229)),ISNUMBER(SEARCH("500",E229)),ISNUMBER(SEARCH("100",E229))),100,100000))),0))</f>
        <v/>
      </c>
      <c r="V229" s="12"/>
      <c r="W229" s="36"/>
      <c r="X229" s="27" t="str">
        <f aca="false">IF(OR(V229="",W229=0),"",IFERROR((V229-K229)*IF(F229="Sell",-1,1)*R229*W229*IF(ISNUMBER(SEARCH("JPY",E229)),1000,IF(ISNUMBER(SEARCH("XAU",E229)),100,IF(OR(ISNUMBER(SEARCH("30",E229)),ISNUMBER(SEARCH("500",E229)),ISNUMBER(SEARCH("100",E229))),100,100000))),0))</f>
        <v/>
      </c>
      <c r="Y229" s="12"/>
      <c r="Z229" s="36"/>
      <c r="AA229" s="27" t="str">
        <f aca="false">IF(OR(Y229="",Z229=0),"",IFERROR((Y229-K229)*IF(F229="Sell",-1,1)*R229*Z229*IF(ISNUMBER(SEARCH("JPY",E229)),1000,IF(ISNUMBER(SEARCH("XAU",E229)),100,IF(OR(ISNUMBER(SEARCH("30",E229)),ISNUMBER(SEARCH("500",E229)),ISNUMBER(SEARCH("100",E229))),100,100000))),0))</f>
        <v/>
      </c>
      <c r="AB229" s="12"/>
      <c r="AC229" s="29" t="str">
        <f aca="false">IF(K229="","",1-IFERROR(T229,0)-IFERROR(W229,0)-IFERROR(Z229,0))</f>
        <v/>
      </c>
      <c r="AD229" s="30" t="str">
        <f aca="false">IF(AB229="","",IFERROR((IFERROR(S229*T229,0)+IFERROR(V229*W229,0)+IFERROR(Y229*Z229,0)+AB229*AC229)/(IFERROR(T229,0)+IFERROR(W229,0)+IFERROR(Z229,0)+AC229),AB229))</f>
        <v/>
      </c>
      <c r="AE229" s="27" t="str">
        <f aca="false">IF(AB229="","",IF(U229="",0,U229)+IF(X229="",0,X229)+IF(AA229="",0,AA229)+IFERROR((AB229-K229)*IF(F229="Sell",-1,1)*R229*AC229*IF(ISNUMBER(SEARCH("JPY",E229)),1000,IF(ISNUMBER(SEARCH("XAU",E229)),100,IF(OR(ISNUMBER(SEARCH("30",E229)),ISNUMBER(SEARCH("500",E229)),ISNUMBER(SEARCH("100",E229))),100,100000))),0))</f>
        <v/>
      </c>
      <c r="AF229" s="31" t="str">
        <f aca="false">IF(OR(K229="",M229="",L229=""),"",IFERROR(ABS(M229-K229)/ABS(K229-L229),0))</f>
        <v/>
      </c>
      <c r="AG229" s="31" t="str">
        <f aca="false">IF(OR(AE229="",AE229=0,Q229=0,Q229=""),"",IFERROR(AE229/Q229,0))</f>
        <v/>
      </c>
      <c r="AH229" s="32" t="str">
        <f aca="false">IF(AB229="","Open",IF(AG229="","Open",IF(AG229&gt;0.1,"Win",IF(AG229&lt;-0.1,"Loss","Breakeven"))))</f>
        <v>Open</v>
      </c>
      <c r="AI229" s="33" t="str">
        <f aca="false">IF(OR(B229="",D229=""),"",D229-B229)</f>
        <v/>
      </c>
      <c r="AJ229" s="24" t="str">
        <f aca="false">IF(AD229="","",IFERROR((AD229-K229)*IF(F229="Sell",-1,1)/IF(ISNUMBER(SEARCH("JPY",E229)),0.01,IF(ISNUMBER(SEARCH("XAU",E229)),0.01,IF(OR(ISNUMBER(SEARCH("30",E229)),ISNUMBER(SEARCH("500",E229)),ISNUMBER(SEARCH("100",E229))),1,0.0001))),0))</f>
        <v/>
      </c>
      <c r="AK229" s="12"/>
      <c r="AL229" s="12"/>
      <c r="AM229" s="12"/>
      <c r="AN229" s="12"/>
      <c r="AO229" s="27" t="str">
        <f aca="false">IF(AE229="","",IFERROR(IF(AO228="",SETTINGS!$B$6,AO228),SETTINGS!$B$6)+IF(AE229="",0,AE229))</f>
        <v/>
      </c>
      <c r="AP229" s="2"/>
    </row>
    <row r="230" customFormat="false" ht="15" hidden="false" customHeight="false" outlineLevel="0" collapsed="false">
      <c r="A230" s="24" t="str">
        <f aca="false">IF(B230="","",ROW()-3)</f>
        <v/>
      </c>
      <c r="B230" s="25"/>
      <c r="C230" s="10"/>
      <c r="D230" s="25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26"/>
      <c r="P230" s="24" t="str">
        <f aca="false">IF(K230="","",IFERROR(ABS(K230-L230)/IF(ISNUMBER(SEARCH("JPY",E230)),0.01,IF(ISNUMBER(SEARCH("XAU",E230)),0.01,IF(OR(ISNUMBER(SEARCH("30",E230)),ISNUMBER(SEARCH("500",E230)),ISNUMBER(SEARCH("100",E230))),1,0.0001))),0))</f>
        <v/>
      </c>
      <c r="Q230" s="27" t="str">
        <f aca="false">IF(K230="","",SETTINGS!$B$6*O230)</f>
        <v/>
      </c>
      <c r="R230" s="24" t="str">
        <f aca="false">IF(K230="","",IFERROR(Q230/(P230*IF(ISNUMBER(SEARCH("JPY",E230)),9.09,IF(ISNUMBER(SEARCH("XAU",E230)),1,IF(OR(ISNUMBER(SEARCH("30",E230)),ISNUMBER(SEARCH("500",E230)),ISNUMBER(SEARCH("100",E230))),1,10)))),0))</f>
        <v/>
      </c>
      <c r="S230" s="10"/>
      <c r="T230" s="28"/>
      <c r="U230" s="27" t="str">
        <f aca="false">IF(OR(S230="",T230=0),"",IFERROR((S230-K230)*IF(F230="Sell",-1,1)*R230*T230*IF(ISNUMBER(SEARCH("JPY",E230)),1000,IF(ISNUMBER(SEARCH("XAU",E230)),100,IF(OR(ISNUMBER(SEARCH("30",E230)),ISNUMBER(SEARCH("500",E230)),ISNUMBER(SEARCH("100",E230))),100,100000))),0))</f>
        <v/>
      </c>
      <c r="V230" s="10"/>
      <c r="W230" s="28"/>
      <c r="X230" s="27" t="str">
        <f aca="false">IF(OR(V230="",W230=0),"",IFERROR((V230-K230)*IF(F230="Sell",-1,1)*R230*W230*IF(ISNUMBER(SEARCH("JPY",E230)),1000,IF(ISNUMBER(SEARCH("XAU",E230)),100,IF(OR(ISNUMBER(SEARCH("30",E230)),ISNUMBER(SEARCH("500",E230)),ISNUMBER(SEARCH("100",E230))),100,100000))),0))</f>
        <v/>
      </c>
      <c r="Y230" s="10"/>
      <c r="Z230" s="28"/>
      <c r="AA230" s="27" t="str">
        <f aca="false">IF(OR(Y230="",Z230=0),"",IFERROR((Y230-K230)*IF(F230="Sell",-1,1)*R230*Z230*IF(ISNUMBER(SEARCH("JPY",E230)),1000,IF(ISNUMBER(SEARCH("XAU",E230)),100,IF(OR(ISNUMBER(SEARCH("30",E230)),ISNUMBER(SEARCH("500",E230)),ISNUMBER(SEARCH("100",E230))),100,100000))),0))</f>
        <v/>
      </c>
      <c r="AB230" s="10"/>
      <c r="AC230" s="29" t="str">
        <f aca="false">IF(K230="","",1-IFERROR(T230,0)-IFERROR(W230,0)-IFERROR(Z230,0))</f>
        <v/>
      </c>
      <c r="AD230" s="30" t="str">
        <f aca="false">IF(AB230="","",IFERROR((IFERROR(S230*T230,0)+IFERROR(V230*W230,0)+IFERROR(Y230*Z230,0)+AB230*AC230)/(IFERROR(T230,0)+IFERROR(W230,0)+IFERROR(Z230,0)+AC230),AB230))</f>
        <v/>
      </c>
      <c r="AE230" s="27" t="str">
        <f aca="false">IF(AB230="","",IF(U230="",0,U230)+IF(X230="",0,X230)+IF(AA230="",0,AA230)+IFERROR((AB230-K230)*IF(F230="Sell",-1,1)*R230*AC230*IF(ISNUMBER(SEARCH("JPY",E230)),1000,IF(ISNUMBER(SEARCH("XAU",E230)),100,IF(OR(ISNUMBER(SEARCH("30",E230)),ISNUMBER(SEARCH("500",E230)),ISNUMBER(SEARCH("100",E230))),100,100000))),0))</f>
        <v/>
      </c>
      <c r="AF230" s="31" t="str">
        <f aca="false">IF(OR(K230="",M230="",L230=""),"",IFERROR(ABS(M230-K230)/ABS(K230-L230),0))</f>
        <v/>
      </c>
      <c r="AG230" s="31" t="str">
        <f aca="false">IF(OR(AE230="",AE230=0,Q230=0,Q230=""),"",IFERROR(AE230/Q230,0))</f>
        <v/>
      </c>
      <c r="AH230" s="32" t="str">
        <f aca="false">IF(AB230="","Open",IF(AG230="","Open",IF(AG230&gt;0.1,"Win",IF(AG230&lt;-0.1,"Loss","Breakeven"))))</f>
        <v>Open</v>
      </c>
      <c r="AI230" s="33" t="str">
        <f aca="false">IF(OR(B230="",D230=""),"",D230-B230)</f>
        <v/>
      </c>
      <c r="AJ230" s="24" t="str">
        <f aca="false">IF(AD230="","",IFERROR((AD230-K230)*IF(F230="Sell",-1,1)/IF(ISNUMBER(SEARCH("JPY",E230)),0.01,IF(ISNUMBER(SEARCH("XAU",E230)),0.01,IF(OR(ISNUMBER(SEARCH("30",E230)),ISNUMBER(SEARCH("500",E230)),ISNUMBER(SEARCH("100",E230))),1,0.0001))),0))</f>
        <v/>
      </c>
      <c r="AK230" s="10"/>
      <c r="AL230" s="10"/>
      <c r="AM230" s="10"/>
      <c r="AN230" s="10"/>
      <c r="AO230" s="27" t="str">
        <f aca="false">IF(AE230="","",IFERROR(IF(AO229="",SETTINGS!$B$6,AO229),SETTINGS!$B$6)+IF(AE230="",0,AE230))</f>
        <v/>
      </c>
      <c r="AP230" s="2"/>
    </row>
    <row r="231" customFormat="false" ht="15" hidden="false" customHeight="false" outlineLevel="0" collapsed="false">
      <c r="A231" s="24" t="str">
        <f aca="false">IF(B231="","",ROW()-3)</f>
        <v/>
      </c>
      <c r="B231" s="34"/>
      <c r="C231" s="12"/>
      <c r="D231" s="34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35"/>
      <c r="P231" s="24" t="str">
        <f aca="false">IF(K231="","",IFERROR(ABS(K231-L231)/IF(ISNUMBER(SEARCH("JPY",E231)),0.01,IF(ISNUMBER(SEARCH("XAU",E231)),0.01,IF(OR(ISNUMBER(SEARCH("30",E231)),ISNUMBER(SEARCH("500",E231)),ISNUMBER(SEARCH("100",E231))),1,0.0001))),0))</f>
        <v/>
      </c>
      <c r="Q231" s="27" t="str">
        <f aca="false">IF(K231="","",SETTINGS!$B$6*O231)</f>
        <v/>
      </c>
      <c r="R231" s="24" t="str">
        <f aca="false">IF(K231="","",IFERROR(Q231/(P231*IF(ISNUMBER(SEARCH("JPY",E231)),9.09,IF(ISNUMBER(SEARCH("XAU",E231)),1,IF(OR(ISNUMBER(SEARCH("30",E231)),ISNUMBER(SEARCH("500",E231)),ISNUMBER(SEARCH("100",E231))),1,10)))),0))</f>
        <v/>
      </c>
      <c r="S231" s="12"/>
      <c r="T231" s="36"/>
      <c r="U231" s="27" t="str">
        <f aca="false">IF(OR(S231="",T231=0),"",IFERROR((S231-K231)*IF(F231="Sell",-1,1)*R231*T231*IF(ISNUMBER(SEARCH("JPY",E231)),1000,IF(ISNUMBER(SEARCH("XAU",E231)),100,IF(OR(ISNUMBER(SEARCH("30",E231)),ISNUMBER(SEARCH("500",E231)),ISNUMBER(SEARCH("100",E231))),100,100000))),0))</f>
        <v/>
      </c>
      <c r="V231" s="12"/>
      <c r="W231" s="36"/>
      <c r="X231" s="27" t="str">
        <f aca="false">IF(OR(V231="",W231=0),"",IFERROR((V231-K231)*IF(F231="Sell",-1,1)*R231*W231*IF(ISNUMBER(SEARCH("JPY",E231)),1000,IF(ISNUMBER(SEARCH("XAU",E231)),100,IF(OR(ISNUMBER(SEARCH("30",E231)),ISNUMBER(SEARCH("500",E231)),ISNUMBER(SEARCH("100",E231))),100,100000))),0))</f>
        <v/>
      </c>
      <c r="Y231" s="12"/>
      <c r="Z231" s="36"/>
      <c r="AA231" s="27" t="str">
        <f aca="false">IF(OR(Y231="",Z231=0),"",IFERROR((Y231-K231)*IF(F231="Sell",-1,1)*R231*Z231*IF(ISNUMBER(SEARCH("JPY",E231)),1000,IF(ISNUMBER(SEARCH("XAU",E231)),100,IF(OR(ISNUMBER(SEARCH("30",E231)),ISNUMBER(SEARCH("500",E231)),ISNUMBER(SEARCH("100",E231))),100,100000))),0))</f>
        <v/>
      </c>
      <c r="AB231" s="12"/>
      <c r="AC231" s="29" t="str">
        <f aca="false">IF(K231="","",1-IFERROR(T231,0)-IFERROR(W231,0)-IFERROR(Z231,0))</f>
        <v/>
      </c>
      <c r="AD231" s="30" t="str">
        <f aca="false">IF(AB231="","",IFERROR((IFERROR(S231*T231,0)+IFERROR(V231*W231,0)+IFERROR(Y231*Z231,0)+AB231*AC231)/(IFERROR(T231,0)+IFERROR(W231,0)+IFERROR(Z231,0)+AC231),AB231))</f>
        <v/>
      </c>
      <c r="AE231" s="27" t="str">
        <f aca="false">IF(AB231="","",IF(U231="",0,U231)+IF(X231="",0,X231)+IF(AA231="",0,AA231)+IFERROR((AB231-K231)*IF(F231="Sell",-1,1)*R231*AC231*IF(ISNUMBER(SEARCH("JPY",E231)),1000,IF(ISNUMBER(SEARCH("XAU",E231)),100,IF(OR(ISNUMBER(SEARCH("30",E231)),ISNUMBER(SEARCH("500",E231)),ISNUMBER(SEARCH("100",E231))),100,100000))),0))</f>
        <v/>
      </c>
      <c r="AF231" s="31" t="str">
        <f aca="false">IF(OR(K231="",M231="",L231=""),"",IFERROR(ABS(M231-K231)/ABS(K231-L231),0))</f>
        <v/>
      </c>
      <c r="AG231" s="31" t="str">
        <f aca="false">IF(OR(AE231="",AE231=0,Q231=0,Q231=""),"",IFERROR(AE231/Q231,0))</f>
        <v/>
      </c>
      <c r="AH231" s="32" t="str">
        <f aca="false">IF(AB231="","Open",IF(AG231="","Open",IF(AG231&gt;0.1,"Win",IF(AG231&lt;-0.1,"Loss","Breakeven"))))</f>
        <v>Open</v>
      </c>
      <c r="AI231" s="33" t="str">
        <f aca="false">IF(OR(B231="",D231=""),"",D231-B231)</f>
        <v/>
      </c>
      <c r="AJ231" s="24" t="str">
        <f aca="false">IF(AD231="","",IFERROR((AD231-K231)*IF(F231="Sell",-1,1)/IF(ISNUMBER(SEARCH("JPY",E231)),0.01,IF(ISNUMBER(SEARCH("XAU",E231)),0.01,IF(OR(ISNUMBER(SEARCH("30",E231)),ISNUMBER(SEARCH("500",E231)),ISNUMBER(SEARCH("100",E231))),1,0.0001))),0))</f>
        <v/>
      </c>
      <c r="AK231" s="12"/>
      <c r="AL231" s="12"/>
      <c r="AM231" s="12"/>
      <c r="AN231" s="12"/>
      <c r="AO231" s="27" t="str">
        <f aca="false">IF(AE231="","",IFERROR(IF(AO230="",SETTINGS!$B$6,AO230),SETTINGS!$B$6)+IF(AE231="",0,AE231))</f>
        <v/>
      </c>
      <c r="AP231" s="2"/>
    </row>
    <row r="232" customFormat="false" ht="15" hidden="false" customHeight="false" outlineLevel="0" collapsed="false">
      <c r="A232" s="24" t="str">
        <f aca="false">IF(B232="","",ROW()-3)</f>
        <v/>
      </c>
      <c r="B232" s="25"/>
      <c r="C232" s="10"/>
      <c r="D232" s="25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26"/>
      <c r="P232" s="24" t="str">
        <f aca="false">IF(K232="","",IFERROR(ABS(K232-L232)/IF(ISNUMBER(SEARCH("JPY",E232)),0.01,IF(ISNUMBER(SEARCH("XAU",E232)),0.01,IF(OR(ISNUMBER(SEARCH("30",E232)),ISNUMBER(SEARCH("500",E232)),ISNUMBER(SEARCH("100",E232))),1,0.0001))),0))</f>
        <v/>
      </c>
      <c r="Q232" s="27" t="str">
        <f aca="false">IF(K232="","",SETTINGS!$B$6*O232)</f>
        <v/>
      </c>
      <c r="R232" s="24" t="str">
        <f aca="false">IF(K232="","",IFERROR(Q232/(P232*IF(ISNUMBER(SEARCH("JPY",E232)),9.09,IF(ISNUMBER(SEARCH("XAU",E232)),1,IF(OR(ISNUMBER(SEARCH("30",E232)),ISNUMBER(SEARCH("500",E232)),ISNUMBER(SEARCH("100",E232))),1,10)))),0))</f>
        <v/>
      </c>
      <c r="S232" s="10"/>
      <c r="T232" s="28"/>
      <c r="U232" s="27" t="str">
        <f aca="false">IF(OR(S232="",T232=0),"",IFERROR((S232-K232)*IF(F232="Sell",-1,1)*R232*T232*IF(ISNUMBER(SEARCH("JPY",E232)),1000,IF(ISNUMBER(SEARCH("XAU",E232)),100,IF(OR(ISNUMBER(SEARCH("30",E232)),ISNUMBER(SEARCH("500",E232)),ISNUMBER(SEARCH("100",E232))),100,100000))),0))</f>
        <v/>
      </c>
      <c r="V232" s="10"/>
      <c r="W232" s="28"/>
      <c r="X232" s="27" t="str">
        <f aca="false">IF(OR(V232="",W232=0),"",IFERROR((V232-K232)*IF(F232="Sell",-1,1)*R232*W232*IF(ISNUMBER(SEARCH("JPY",E232)),1000,IF(ISNUMBER(SEARCH("XAU",E232)),100,IF(OR(ISNUMBER(SEARCH("30",E232)),ISNUMBER(SEARCH("500",E232)),ISNUMBER(SEARCH("100",E232))),100,100000))),0))</f>
        <v/>
      </c>
      <c r="Y232" s="10"/>
      <c r="Z232" s="28"/>
      <c r="AA232" s="27" t="str">
        <f aca="false">IF(OR(Y232="",Z232=0),"",IFERROR((Y232-K232)*IF(F232="Sell",-1,1)*R232*Z232*IF(ISNUMBER(SEARCH("JPY",E232)),1000,IF(ISNUMBER(SEARCH("XAU",E232)),100,IF(OR(ISNUMBER(SEARCH("30",E232)),ISNUMBER(SEARCH("500",E232)),ISNUMBER(SEARCH("100",E232))),100,100000))),0))</f>
        <v/>
      </c>
      <c r="AB232" s="10"/>
      <c r="AC232" s="29" t="str">
        <f aca="false">IF(K232="","",1-IFERROR(T232,0)-IFERROR(W232,0)-IFERROR(Z232,0))</f>
        <v/>
      </c>
      <c r="AD232" s="30" t="str">
        <f aca="false">IF(AB232="","",IFERROR((IFERROR(S232*T232,0)+IFERROR(V232*W232,0)+IFERROR(Y232*Z232,0)+AB232*AC232)/(IFERROR(T232,0)+IFERROR(W232,0)+IFERROR(Z232,0)+AC232),AB232))</f>
        <v/>
      </c>
      <c r="AE232" s="27" t="str">
        <f aca="false">IF(AB232="","",IF(U232="",0,U232)+IF(X232="",0,X232)+IF(AA232="",0,AA232)+IFERROR((AB232-K232)*IF(F232="Sell",-1,1)*R232*AC232*IF(ISNUMBER(SEARCH("JPY",E232)),1000,IF(ISNUMBER(SEARCH("XAU",E232)),100,IF(OR(ISNUMBER(SEARCH("30",E232)),ISNUMBER(SEARCH("500",E232)),ISNUMBER(SEARCH("100",E232))),100,100000))),0))</f>
        <v/>
      </c>
      <c r="AF232" s="31" t="str">
        <f aca="false">IF(OR(K232="",M232="",L232=""),"",IFERROR(ABS(M232-K232)/ABS(K232-L232),0))</f>
        <v/>
      </c>
      <c r="AG232" s="31" t="str">
        <f aca="false">IF(OR(AE232="",AE232=0,Q232=0,Q232=""),"",IFERROR(AE232/Q232,0))</f>
        <v/>
      </c>
      <c r="AH232" s="32" t="str">
        <f aca="false">IF(AB232="","Open",IF(AG232="","Open",IF(AG232&gt;0.1,"Win",IF(AG232&lt;-0.1,"Loss","Breakeven"))))</f>
        <v>Open</v>
      </c>
      <c r="AI232" s="33" t="str">
        <f aca="false">IF(OR(B232="",D232=""),"",D232-B232)</f>
        <v/>
      </c>
      <c r="AJ232" s="24" t="str">
        <f aca="false">IF(AD232="","",IFERROR((AD232-K232)*IF(F232="Sell",-1,1)/IF(ISNUMBER(SEARCH("JPY",E232)),0.01,IF(ISNUMBER(SEARCH("XAU",E232)),0.01,IF(OR(ISNUMBER(SEARCH("30",E232)),ISNUMBER(SEARCH("500",E232)),ISNUMBER(SEARCH("100",E232))),1,0.0001))),0))</f>
        <v/>
      </c>
      <c r="AK232" s="10"/>
      <c r="AL232" s="10"/>
      <c r="AM232" s="10"/>
      <c r="AN232" s="10"/>
      <c r="AO232" s="27" t="str">
        <f aca="false">IF(AE232="","",IFERROR(IF(AO231="",SETTINGS!$B$6,AO231),SETTINGS!$B$6)+IF(AE232="",0,AE232))</f>
        <v/>
      </c>
      <c r="AP232" s="2"/>
    </row>
    <row r="233" customFormat="false" ht="15" hidden="false" customHeight="false" outlineLevel="0" collapsed="false">
      <c r="A233" s="24" t="str">
        <f aca="false">IF(B233="","",ROW()-3)</f>
        <v/>
      </c>
      <c r="B233" s="34"/>
      <c r="C233" s="12"/>
      <c r="D233" s="34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35"/>
      <c r="P233" s="24" t="str">
        <f aca="false">IF(K233="","",IFERROR(ABS(K233-L233)/IF(ISNUMBER(SEARCH("JPY",E233)),0.01,IF(ISNUMBER(SEARCH("XAU",E233)),0.01,IF(OR(ISNUMBER(SEARCH("30",E233)),ISNUMBER(SEARCH("500",E233)),ISNUMBER(SEARCH("100",E233))),1,0.0001))),0))</f>
        <v/>
      </c>
      <c r="Q233" s="27" t="str">
        <f aca="false">IF(K233="","",SETTINGS!$B$6*O233)</f>
        <v/>
      </c>
      <c r="R233" s="24" t="str">
        <f aca="false">IF(K233="","",IFERROR(Q233/(P233*IF(ISNUMBER(SEARCH("JPY",E233)),9.09,IF(ISNUMBER(SEARCH("XAU",E233)),1,IF(OR(ISNUMBER(SEARCH("30",E233)),ISNUMBER(SEARCH("500",E233)),ISNUMBER(SEARCH("100",E233))),1,10)))),0))</f>
        <v/>
      </c>
      <c r="S233" s="12"/>
      <c r="T233" s="36"/>
      <c r="U233" s="27" t="str">
        <f aca="false">IF(OR(S233="",T233=0),"",IFERROR((S233-K233)*IF(F233="Sell",-1,1)*R233*T233*IF(ISNUMBER(SEARCH("JPY",E233)),1000,IF(ISNUMBER(SEARCH("XAU",E233)),100,IF(OR(ISNUMBER(SEARCH("30",E233)),ISNUMBER(SEARCH("500",E233)),ISNUMBER(SEARCH("100",E233))),100,100000))),0))</f>
        <v/>
      </c>
      <c r="V233" s="12"/>
      <c r="W233" s="36"/>
      <c r="X233" s="27" t="str">
        <f aca="false">IF(OR(V233="",W233=0),"",IFERROR((V233-K233)*IF(F233="Sell",-1,1)*R233*W233*IF(ISNUMBER(SEARCH("JPY",E233)),1000,IF(ISNUMBER(SEARCH("XAU",E233)),100,IF(OR(ISNUMBER(SEARCH("30",E233)),ISNUMBER(SEARCH("500",E233)),ISNUMBER(SEARCH("100",E233))),100,100000))),0))</f>
        <v/>
      </c>
      <c r="Y233" s="12"/>
      <c r="Z233" s="36"/>
      <c r="AA233" s="27" t="str">
        <f aca="false">IF(OR(Y233="",Z233=0),"",IFERROR((Y233-K233)*IF(F233="Sell",-1,1)*R233*Z233*IF(ISNUMBER(SEARCH("JPY",E233)),1000,IF(ISNUMBER(SEARCH("XAU",E233)),100,IF(OR(ISNUMBER(SEARCH("30",E233)),ISNUMBER(SEARCH("500",E233)),ISNUMBER(SEARCH("100",E233))),100,100000))),0))</f>
        <v/>
      </c>
      <c r="AB233" s="12"/>
      <c r="AC233" s="29" t="str">
        <f aca="false">IF(K233="","",1-IFERROR(T233,0)-IFERROR(W233,0)-IFERROR(Z233,0))</f>
        <v/>
      </c>
      <c r="AD233" s="30" t="str">
        <f aca="false">IF(AB233="","",IFERROR((IFERROR(S233*T233,0)+IFERROR(V233*W233,0)+IFERROR(Y233*Z233,0)+AB233*AC233)/(IFERROR(T233,0)+IFERROR(W233,0)+IFERROR(Z233,0)+AC233),AB233))</f>
        <v/>
      </c>
      <c r="AE233" s="27" t="str">
        <f aca="false">IF(AB233="","",IF(U233="",0,U233)+IF(X233="",0,X233)+IF(AA233="",0,AA233)+IFERROR((AB233-K233)*IF(F233="Sell",-1,1)*R233*AC233*IF(ISNUMBER(SEARCH("JPY",E233)),1000,IF(ISNUMBER(SEARCH("XAU",E233)),100,IF(OR(ISNUMBER(SEARCH("30",E233)),ISNUMBER(SEARCH("500",E233)),ISNUMBER(SEARCH("100",E233))),100,100000))),0))</f>
        <v/>
      </c>
      <c r="AF233" s="31" t="str">
        <f aca="false">IF(OR(K233="",M233="",L233=""),"",IFERROR(ABS(M233-K233)/ABS(K233-L233),0))</f>
        <v/>
      </c>
      <c r="AG233" s="31" t="str">
        <f aca="false">IF(OR(AE233="",AE233=0,Q233=0,Q233=""),"",IFERROR(AE233/Q233,0))</f>
        <v/>
      </c>
      <c r="AH233" s="32" t="str">
        <f aca="false">IF(AB233="","Open",IF(AG233="","Open",IF(AG233&gt;0.1,"Win",IF(AG233&lt;-0.1,"Loss","Breakeven"))))</f>
        <v>Open</v>
      </c>
      <c r="AI233" s="33" t="str">
        <f aca="false">IF(OR(B233="",D233=""),"",D233-B233)</f>
        <v/>
      </c>
      <c r="AJ233" s="24" t="str">
        <f aca="false">IF(AD233="","",IFERROR((AD233-K233)*IF(F233="Sell",-1,1)/IF(ISNUMBER(SEARCH("JPY",E233)),0.01,IF(ISNUMBER(SEARCH("XAU",E233)),0.01,IF(OR(ISNUMBER(SEARCH("30",E233)),ISNUMBER(SEARCH("500",E233)),ISNUMBER(SEARCH("100",E233))),1,0.0001))),0))</f>
        <v/>
      </c>
      <c r="AK233" s="12"/>
      <c r="AL233" s="12"/>
      <c r="AM233" s="12"/>
      <c r="AN233" s="12"/>
      <c r="AO233" s="27" t="str">
        <f aca="false">IF(AE233="","",IFERROR(IF(AO232="",SETTINGS!$B$6,AO232),SETTINGS!$B$6)+IF(AE233="",0,AE233))</f>
        <v/>
      </c>
      <c r="AP233" s="2"/>
    </row>
    <row r="234" customFormat="false" ht="15" hidden="false" customHeight="false" outlineLevel="0" collapsed="false">
      <c r="A234" s="24" t="str">
        <f aca="false">IF(B234="","",ROW()-3)</f>
        <v/>
      </c>
      <c r="B234" s="25"/>
      <c r="C234" s="10"/>
      <c r="D234" s="25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26"/>
      <c r="P234" s="24" t="str">
        <f aca="false">IF(K234="","",IFERROR(ABS(K234-L234)/IF(ISNUMBER(SEARCH("JPY",E234)),0.01,IF(ISNUMBER(SEARCH("XAU",E234)),0.01,IF(OR(ISNUMBER(SEARCH("30",E234)),ISNUMBER(SEARCH("500",E234)),ISNUMBER(SEARCH("100",E234))),1,0.0001))),0))</f>
        <v/>
      </c>
      <c r="Q234" s="27" t="str">
        <f aca="false">IF(K234="","",SETTINGS!$B$6*O234)</f>
        <v/>
      </c>
      <c r="R234" s="24" t="str">
        <f aca="false">IF(K234="","",IFERROR(Q234/(P234*IF(ISNUMBER(SEARCH("JPY",E234)),9.09,IF(ISNUMBER(SEARCH("XAU",E234)),1,IF(OR(ISNUMBER(SEARCH("30",E234)),ISNUMBER(SEARCH("500",E234)),ISNUMBER(SEARCH("100",E234))),1,10)))),0))</f>
        <v/>
      </c>
      <c r="S234" s="10"/>
      <c r="T234" s="28"/>
      <c r="U234" s="27" t="str">
        <f aca="false">IF(OR(S234="",T234=0),"",IFERROR((S234-K234)*IF(F234="Sell",-1,1)*R234*T234*IF(ISNUMBER(SEARCH("JPY",E234)),1000,IF(ISNUMBER(SEARCH("XAU",E234)),100,IF(OR(ISNUMBER(SEARCH("30",E234)),ISNUMBER(SEARCH("500",E234)),ISNUMBER(SEARCH("100",E234))),100,100000))),0))</f>
        <v/>
      </c>
      <c r="V234" s="10"/>
      <c r="W234" s="28"/>
      <c r="X234" s="27" t="str">
        <f aca="false">IF(OR(V234="",W234=0),"",IFERROR((V234-K234)*IF(F234="Sell",-1,1)*R234*W234*IF(ISNUMBER(SEARCH("JPY",E234)),1000,IF(ISNUMBER(SEARCH("XAU",E234)),100,IF(OR(ISNUMBER(SEARCH("30",E234)),ISNUMBER(SEARCH("500",E234)),ISNUMBER(SEARCH("100",E234))),100,100000))),0))</f>
        <v/>
      </c>
      <c r="Y234" s="10"/>
      <c r="Z234" s="28"/>
      <c r="AA234" s="27" t="str">
        <f aca="false">IF(OR(Y234="",Z234=0),"",IFERROR((Y234-K234)*IF(F234="Sell",-1,1)*R234*Z234*IF(ISNUMBER(SEARCH("JPY",E234)),1000,IF(ISNUMBER(SEARCH("XAU",E234)),100,IF(OR(ISNUMBER(SEARCH("30",E234)),ISNUMBER(SEARCH("500",E234)),ISNUMBER(SEARCH("100",E234))),100,100000))),0))</f>
        <v/>
      </c>
      <c r="AB234" s="10"/>
      <c r="AC234" s="29" t="str">
        <f aca="false">IF(K234="","",1-IFERROR(T234,0)-IFERROR(W234,0)-IFERROR(Z234,0))</f>
        <v/>
      </c>
      <c r="AD234" s="30" t="str">
        <f aca="false">IF(AB234="","",IFERROR((IFERROR(S234*T234,0)+IFERROR(V234*W234,0)+IFERROR(Y234*Z234,0)+AB234*AC234)/(IFERROR(T234,0)+IFERROR(W234,0)+IFERROR(Z234,0)+AC234),AB234))</f>
        <v/>
      </c>
      <c r="AE234" s="27" t="str">
        <f aca="false">IF(AB234="","",IF(U234="",0,U234)+IF(X234="",0,X234)+IF(AA234="",0,AA234)+IFERROR((AB234-K234)*IF(F234="Sell",-1,1)*R234*AC234*IF(ISNUMBER(SEARCH("JPY",E234)),1000,IF(ISNUMBER(SEARCH("XAU",E234)),100,IF(OR(ISNUMBER(SEARCH("30",E234)),ISNUMBER(SEARCH("500",E234)),ISNUMBER(SEARCH("100",E234))),100,100000))),0))</f>
        <v/>
      </c>
      <c r="AF234" s="31" t="str">
        <f aca="false">IF(OR(K234="",M234="",L234=""),"",IFERROR(ABS(M234-K234)/ABS(K234-L234),0))</f>
        <v/>
      </c>
      <c r="AG234" s="31" t="str">
        <f aca="false">IF(OR(AE234="",AE234=0,Q234=0,Q234=""),"",IFERROR(AE234/Q234,0))</f>
        <v/>
      </c>
      <c r="AH234" s="32" t="str">
        <f aca="false">IF(AB234="","Open",IF(AG234="","Open",IF(AG234&gt;0.1,"Win",IF(AG234&lt;-0.1,"Loss","Breakeven"))))</f>
        <v>Open</v>
      </c>
      <c r="AI234" s="33" t="str">
        <f aca="false">IF(OR(B234="",D234=""),"",D234-B234)</f>
        <v/>
      </c>
      <c r="AJ234" s="24" t="str">
        <f aca="false">IF(AD234="","",IFERROR((AD234-K234)*IF(F234="Sell",-1,1)/IF(ISNUMBER(SEARCH("JPY",E234)),0.01,IF(ISNUMBER(SEARCH("XAU",E234)),0.01,IF(OR(ISNUMBER(SEARCH("30",E234)),ISNUMBER(SEARCH("500",E234)),ISNUMBER(SEARCH("100",E234))),1,0.0001))),0))</f>
        <v/>
      </c>
      <c r="AK234" s="10"/>
      <c r="AL234" s="10"/>
      <c r="AM234" s="10"/>
      <c r="AN234" s="10"/>
      <c r="AO234" s="27" t="str">
        <f aca="false">IF(AE234="","",IFERROR(IF(AO233="",SETTINGS!$B$6,AO233),SETTINGS!$B$6)+IF(AE234="",0,AE234))</f>
        <v/>
      </c>
      <c r="AP234" s="2"/>
    </row>
    <row r="235" customFormat="false" ht="15" hidden="false" customHeight="false" outlineLevel="0" collapsed="false">
      <c r="A235" s="24" t="str">
        <f aca="false">IF(B235="","",ROW()-3)</f>
        <v/>
      </c>
      <c r="B235" s="34"/>
      <c r="C235" s="12"/>
      <c r="D235" s="34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35"/>
      <c r="P235" s="24" t="str">
        <f aca="false">IF(K235="","",IFERROR(ABS(K235-L235)/IF(ISNUMBER(SEARCH("JPY",E235)),0.01,IF(ISNUMBER(SEARCH("XAU",E235)),0.01,IF(OR(ISNUMBER(SEARCH("30",E235)),ISNUMBER(SEARCH("500",E235)),ISNUMBER(SEARCH("100",E235))),1,0.0001))),0))</f>
        <v/>
      </c>
      <c r="Q235" s="27" t="str">
        <f aca="false">IF(K235="","",SETTINGS!$B$6*O235)</f>
        <v/>
      </c>
      <c r="R235" s="24" t="str">
        <f aca="false">IF(K235="","",IFERROR(Q235/(P235*IF(ISNUMBER(SEARCH("JPY",E235)),9.09,IF(ISNUMBER(SEARCH("XAU",E235)),1,IF(OR(ISNUMBER(SEARCH("30",E235)),ISNUMBER(SEARCH("500",E235)),ISNUMBER(SEARCH("100",E235))),1,10)))),0))</f>
        <v/>
      </c>
      <c r="S235" s="12"/>
      <c r="T235" s="36"/>
      <c r="U235" s="27" t="str">
        <f aca="false">IF(OR(S235="",T235=0),"",IFERROR((S235-K235)*IF(F235="Sell",-1,1)*R235*T235*IF(ISNUMBER(SEARCH("JPY",E235)),1000,IF(ISNUMBER(SEARCH("XAU",E235)),100,IF(OR(ISNUMBER(SEARCH("30",E235)),ISNUMBER(SEARCH("500",E235)),ISNUMBER(SEARCH("100",E235))),100,100000))),0))</f>
        <v/>
      </c>
      <c r="V235" s="12"/>
      <c r="W235" s="36"/>
      <c r="X235" s="27" t="str">
        <f aca="false">IF(OR(V235="",W235=0),"",IFERROR((V235-K235)*IF(F235="Sell",-1,1)*R235*W235*IF(ISNUMBER(SEARCH("JPY",E235)),1000,IF(ISNUMBER(SEARCH("XAU",E235)),100,IF(OR(ISNUMBER(SEARCH("30",E235)),ISNUMBER(SEARCH("500",E235)),ISNUMBER(SEARCH("100",E235))),100,100000))),0))</f>
        <v/>
      </c>
      <c r="Y235" s="12"/>
      <c r="Z235" s="36"/>
      <c r="AA235" s="27" t="str">
        <f aca="false">IF(OR(Y235="",Z235=0),"",IFERROR((Y235-K235)*IF(F235="Sell",-1,1)*R235*Z235*IF(ISNUMBER(SEARCH("JPY",E235)),1000,IF(ISNUMBER(SEARCH("XAU",E235)),100,IF(OR(ISNUMBER(SEARCH("30",E235)),ISNUMBER(SEARCH("500",E235)),ISNUMBER(SEARCH("100",E235))),100,100000))),0))</f>
        <v/>
      </c>
      <c r="AB235" s="12"/>
      <c r="AC235" s="29" t="str">
        <f aca="false">IF(K235="","",1-IFERROR(T235,0)-IFERROR(W235,0)-IFERROR(Z235,0))</f>
        <v/>
      </c>
      <c r="AD235" s="30" t="str">
        <f aca="false">IF(AB235="","",IFERROR((IFERROR(S235*T235,0)+IFERROR(V235*W235,0)+IFERROR(Y235*Z235,0)+AB235*AC235)/(IFERROR(T235,0)+IFERROR(W235,0)+IFERROR(Z235,0)+AC235),AB235))</f>
        <v/>
      </c>
      <c r="AE235" s="27" t="str">
        <f aca="false">IF(AB235="","",IF(U235="",0,U235)+IF(X235="",0,X235)+IF(AA235="",0,AA235)+IFERROR((AB235-K235)*IF(F235="Sell",-1,1)*R235*AC235*IF(ISNUMBER(SEARCH("JPY",E235)),1000,IF(ISNUMBER(SEARCH("XAU",E235)),100,IF(OR(ISNUMBER(SEARCH("30",E235)),ISNUMBER(SEARCH("500",E235)),ISNUMBER(SEARCH("100",E235))),100,100000))),0))</f>
        <v/>
      </c>
      <c r="AF235" s="31" t="str">
        <f aca="false">IF(OR(K235="",M235="",L235=""),"",IFERROR(ABS(M235-K235)/ABS(K235-L235),0))</f>
        <v/>
      </c>
      <c r="AG235" s="31" t="str">
        <f aca="false">IF(OR(AE235="",AE235=0,Q235=0,Q235=""),"",IFERROR(AE235/Q235,0))</f>
        <v/>
      </c>
      <c r="AH235" s="32" t="str">
        <f aca="false">IF(AB235="","Open",IF(AG235="","Open",IF(AG235&gt;0.1,"Win",IF(AG235&lt;-0.1,"Loss","Breakeven"))))</f>
        <v>Open</v>
      </c>
      <c r="AI235" s="33" t="str">
        <f aca="false">IF(OR(B235="",D235=""),"",D235-B235)</f>
        <v/>
      </c>
      <c r="AJ235" s="24" t="str">
        <f aca="false">IF(AD235="","",IFERROR((AD235-K235)*IF(F235="Sell",-1,1)/IF(ISNUMBER(SEARCH("JPY",E235)),0.01,IF(ISNUMBER(SEARCH("XAU",E235)),0.01,IF(OR(ISNUMBER(SEARCH("30",E235)),ISNUMBER(SEARCH("500",E235)),ISNUMBER(SEARCH("100",E235))),1,0.0001))),0))</f>
        <v/>
      </c>
      <c r="AK235" s="12"/>
      <c r="AL235" s="12"/>
      <c r="AM235" s="12"/>
      <c r="AN235" s="12"/>
      <c r="AO235" s="27" t="str">
        <f aca="false">IF(AE235="","",IFERROR(IF(AO234="",SETTINGS!$B$6,AO234),SETTINGS!$B$6)+IF(AE235="",0,AE235))</f>
        <v/>
      </c>
      <c r="AP235" s="2"/>
    </row>
    <row r="236" customFormat="false" ht="15" hidden="false" customHeight="false" outlineLevel="0" collapsed="false">
      <c r="A236" s="24" t="str">
        <f aca="false">IF(B236="","",ROW()-3)</f>
        <v/>
      </c>
      <c r="B236" s="25"/>
      <c r="C236" s="10"/>
      <c r="D236" s="25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26"/>
      <c r="P236" s="24" t="str">
        <f aca="false">IF(K236="","",IFERROR(ABS(K236-L236)/IF(ISNUMBER(SEARCH("JPY",E236)),0.01,IF(ISNUMBER(SEARCH("XAU",E236)),0.01,IF(OR(ISNUMBER(SEARCH("30",E236)),ISNUMBER(SEARCH("500",E236)),ISNUMBER(SEARCH("100",E236))),1,0.0001))),0))</f>
        <v/>
      </c>
      <c r="Q236" s="27" t="str">
        <f aca="false">IF(K236="","",SETTINGS!$B$6*O236)</f>
        <v/>
      </c>
      <c r="R236" s="24" t="str">
        <f aca="false">IF(K236="","",IFERROR(Q236/(P236*IF(ISNUMBER(SEARCH("JPY",E236)),9.09,IF(ISNUMBER(SEARCH("XAU",E236)),1,IF(OR(ISNUMBER(SEARCH("30",E236)),ISNUMBER(SEARCH("500",E236)),ISNUMBER(SEARCH("100",E236))),1,10)))),0))</f>
        <v/>
      </c>
      <c r="S236" s="10"/>
      <c r="T236" s="28"/>
      <c r="U236" s="27" t="str">
        <f aca="false">IF(OR(S236="",T236=0),"",IFERROR((S236-K236)*IF(F236="Sell",-1,1)*R236*T236*IF(ISNUMBER(SEARCH("JPY",E236)),1000,IF(ISNUMBER(SEARCH("XAU",E236)),100,IF(OR(ISNUMBER(SEARCH("30",E236)),ISNUMBER(SEARCH("500",E236)),ISNUMBER(SEARCH("100",E236))),100,100000))),0))</f>
        <v/>
      </c>
      <c r="V236" s="10"/>
      <c r="W236" s="28"/>
      <c r="X236" s="27" t="str">
        <f aca="false">IF(OR(V236="",W236=0),"",IFERROR((V236-K236)*IF(F236="Sell",-1,1)*R236*W236*IF(ISNUMBER(SEARCH("JPY",E236)),1000,IF(ISNUMBER(SEARCH("XAU",E236)),100,IF(OR(ISNUMBER(SEARCH("30",E236)),ISNUMBER(SEARCH("500",E236)),ISNUMBER(SEARCH("100",E236))),100,100000))),0))</f>
        <v/>
      </c>
      <c r="Y236" s="10"/>
      <c r="Z236" s="28"/>
      <c r="AA236" s="27" t="str">
        <f aca="false">IF(OR(Y236="",Z236=0),"",IFERROR((Y236-K236)*IF(F236="Sell",-1,1)*R236*Z236*IF(ISNUMBER(SEARCH("JPY",E236)),1000,IF(ISNUMBER(SEARCH("XAU",E236)),100,IF(OR(ISNUMBER(SEARCH("30",E236)),ISNUMBER(SEARCH("500",E236)),ISNUMBER(SEARCH("100",E236))),100,100000))),0))</f>
        <v/>
      </c>
      <c r="AB236" s="10"/>
      <c r="AC236" s="29" t="str">
        <f aca="false">IF(K236="","",1-IFERROR(T236,0)-IFERROR(W236,0)-IFERROR(Z236,0))</f>
        <v/>
      </c>
      <c r="AD236" s="30" t="str">
        <f aca="false">IF(AB236="","",IFERROR((IFERROR(S236*T236,0)+IFERROR(V236*W236,0)+IFERROR(Y236*Z236,0)+AB236*AC236)/(IFERROR(T236,0)+IFERROR(W236,0)+IFERROR(Z236,0)+AC236),AB236))</f>
        <v/>
      </c>
      <c r="AE236" s="27" t="str">
        <f aca="false">IF(AB236="","",IF(U236="",0,U236)+IF(X236="",0,X236)+IF(AA236="",0,AA236)+IFERROR((AB236-K236)*IF(F236="Sell",-1,1)*R236*AC236*IF(ISNUMBER(SEARCH("JPY",E236)),1000,IF(ISNUMBER(SEARCH("XAU",E236)),100,IF(OR(ISNUMBER(SEARCH("30",E236)),ISNUMBER(SEARCH("500",E236)),ISNUMBER(SEARCH("100",E236))),100,100000))),0))</f>
        <v/>
      </c>
      <c r="AF236" s="31" t="str">
        <f aca="false">IF(OR(K236="",M236="",L236=""),"",IFERROR(ABS(M236-K236)/ABS(K236-L236),0))</f>
        <v/>
      </c>
      <c r="AG236" s="31" t="str">
        <f aca="false">IF(OR(AE236="",AE236=0,Q236=0,Q236=""),"",IFERROR(AE236/Q236,0))</f>
        <v/>
      </c>
      <c r="AH236" s="32" t="str">
        <f aca="false">IF(AB236="","Open",IF(AG236="","Open",IF(AG236&gt;0.1,"Win",IF(AG236&lt;-0.1,"Loss","Breakeven"))))</f>
        <v>Open</v>
      </c>
      <c r="AI236" s="33" t="str">
        <f aca="false">IF(OR(B236="",D236=""),"",D236-B236)</f>
        <v/>
      </c>
      <c r="AJ236" s="24" t="str">
        <f aca="false">IF(AD236="","",IFERROR((AD236-K236)*IF(F236="Sell",-1,1)/IF(ISNUMBER(SEARCH("JPY",E236)),0.01,IF(ISNUMBER(SEARCH("XAU",E236)),0.01,IF(OR(ISNUMBER(SEARCH("30",E236)),ISNUMBER(SEARCH("500",E236)),ISNUMBER(SEARCH("100",E236))),1,0.0001))),0))</f>
        <v/>
      </c>
      <c r="AK236" s="10"/>
      <c r="AL236" s="10"/>
      <c r="AM236" s="10"/>
      <c r="AN236" s="10"/>
      <c r="AO236" s="27" t="str">
        <f aca="false">IF(AE236="","",IFERROR(IF(AO235="",SETTINGS!$B$6,AO235),SETTINGS!$B$6)+IF(AE236="",0,AE236))</f>
        <v/>
      </c>
      <c r="AP236" s="2"/>
    </row>
    <row r="237" customFormat="false" ht="15" hidden="false" customHeight="false" outlineLevel="0" collapsed="false">
      <c r="A237" s="24" t="str">
        <f aca="false">IF(B237="","",ROW()-3)</f>
        <v/>
      </c>
      <c r="B237" s="34"/>
      <c r="C237" s="12"/>
      <c r="D237" s="34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35"/>
      <c r="P237" s="24" t="str">
        <f aca="false">IF(K237="","",IFERROR(ABS(K237-L237)/IF(ISNUMBER(SEARCH("JPY",E237)),0.01,IF(ISNUMBER(SEARCH("XAU",E237)),0.01,IF(OR(ISNUMBER(SEARCH("30",E237)),ISNUMBER(SEARCH("500",E237)),ISNUMBER(SEARCH("100",E237))),1,0.0001))),0))</f>
        <v/>
      </c>
      <c r="Q237" s="27" t="str">
        <f aca="false">IF(K237="","",SETTINGS!$B$6*O237)</f>
        <v/>
      </c>
      <c r="R237" s="24" t="str">
        <f aca="false">IF(K237="","",IFERROR(Q237/(P237*IF(ISNUMBER(SEARCH("JPY",E237)),9.09,IF(ISNUMBER(SEARCH("XAU",E237)),1,IF(OR(ISNUMBER(SEARCH("30",E237)),ISNUMBER(SEARCH("500",E237)),ISNUMBER(SEARCH("100",E237))),1,10)))),0))</f>
        <v/>
      </c>
      <c r="S237" s="12"/>
      <c r="T237" s="36"/>
      <c r="U237" s="27" t="str">
        <f aca="false">IF(OR(S237="",T237=0),"",IFERROR((S237-K237)*IF(F237="Sell",-1,1)*R237*T237*IF(ISNUMBER(SEARCH("JPY",E237)),1000,IF(ISNUMBER(SEARCH("XAU",E237)),100,IF(OR(ISNUMBER(SEARCH("30",E237)),ISNUMBER(SEARCH("500",E237)),ISNUMBER(SEARCH("100",E237))),100,100000))),0))</f>
        <v/>
      </c>
      <c r="V237" s="12"/>
      <c r="W237" s="36"/>
      <c r="X237" s="27" t="str">
        <f aca="false">IF(OR(V237="",W237=0),"",IFERROR((V237-K237)*IF(F237="Sell",-1,1)*R237*W237*IF(ISNUMBER(SEARCH("JPY",E237)),1000,IF(ISNUMBER(SEARCH("XAU",E237)),100,IF(OR(ISNUMBER(SEARCH("30",E237)),ISNUMBER(SEARCH("500",E237)),ISNUMBER(SEARCH("100",E237))),100,100000))),0))</f>
        <v/>
      </c>
      <c r="Y237" s="12"/>
      <c r="Z237" s="36"/>
      <c r="AA237" s="27" t="str">
        <f aca="false">IF(OR(Y237="",Z237=0),"",IFERROR((Y237-K237)*IF(F237="Sell",-1,1)*R237*Z237*IF(ISNUMBER(SEARCH("JPY",E237)),1000,IF(ISNUMBER(SEARCH("XAU",E237)),100,IF(OR(ISNUMBER(SEARCH("30",E237)),ISNUMBER(SEARCH("500",E237)),ISNUMBER(SEARCH("100",E237))),100,100000))),0))</f>
        <v/>
      </c>
      <c r="AB237" s="12"/>
      <c r="AC237" s="29" t="str">
        <f aca="false">IF(K237="","",1-IFERROR(T237,0)-IFERROR(W237,0)-IFERROR(Z237,0))</f>
        <v/>
      </c>
      <c r="AD237" s="30" t="str">
        <f aca="false">IF(AB237="","",IFERROR((IFERROR(S237*T237,0)+IFERROR(V237*W237,0)+IFERROR(Y237*Z237,0)+AB237*AC237)/(IFERROR(T237,0)+IFERROR(W237,0)+IFERROR(Z237,0)+AC237),AB237))</f>
        <v/>
      </c>
      <c r="AE237" s="27" t="str">
        <f aca="false">IF(AB237="","",IF(U237="",0,U237)+IF(X237="",0,X237)+IF(AA237="",0,AA237)+IFERROR((AB237-K237)*IF(F237="Sell",-1,1)*R237*AC237*IF(ISNUMBER(SEARCH("JPY",E237)),1000,IF(ISNUMBER(SEARCH("XAU",E237)),100,IF(OR(ISNUMBER(SEARCH("30",E237)),ISNUMBER(SEARCH("500",E237)),ISNUMBER(SEARCH("100",E237))),100,100000))),0))</f>
        <v/>
      </c>
      <c r="AF237" s="31" t="str">
        <f aca="false">IF(OR(K237="",M237="",L237=""),"",IFERROR(ABS(M237-K237)/ABS(K237-L237),0))</f>
        <v/>
      </c>
      <c r="AG237" s="31" t="str">
        <f aca="false">IF(OR(AE237="",AE237=0,Q237=0,Q237=""),"",IFERROR(AE237/Q237,0))</f>
        <v/>
      </c>
      <c r="AH237" s="32" t="str">
        <f aca="false">IF(AB237="","Open",IF(AG237="","Open",IF(AG237&gt;0.1,"Win",IF(AG237&lt;-0.1,"Loss","Breakeven"))))</f>
        <v>Open</v>
      </c>
      <c r="AI237" s="33" t="str">
        <f aca="false">IF(OR(B237="",D237=""),"",D237-B237)</f>
        <v/>
      </c>
      <c r="AJ237" s="24" t="str">
        <f aca="false">IF(AD237="","",IFERROR((AD237-K237)*IF(F237="Sell",-1,1)/IF(ISNUMBER(SEARCH("JPY",E237)),0.01,IF(ISNUMBER(SEARCH("XAU",E237)),0.01,IF(OR(ISNUMBER(SEARCH("30",E237)),ISNUMBER(SEARCH("500",E237)),ISNUMBER(SEARCH("100",E237))),1,0.0001))),0))</f>
        <v/>
      </c>
      <c r="AK237" s="12"/>
      <c r="AL237" s="12"/>
      <c r="AM237" s="12"/>
      <c r="AN237" s="12"/>
      <c r="AO237" s="27" t="str">
        <f aca="false">IF(AE237="","",IFERROR(IF(AO236="",SETTINGS!$B$6,AO236),SETTINGS!$B$6)+IF(AE237="",0,AE237))</f>
        <v/>
      </c>
      <c r="AP237" s="2"/>
    </row>
    <row r="238" customFormat="false" ht="15" hidden="false" customHeight="false" outlineLevel="0" collapsed="false">
      <c r="A238" s="24" t="str">
        <f aca="false">IF(B238="","",ROW()-3)</f>
        <v/>
      </c>
      <c r="B238" s="25"/>
      <c r="C238" s="10"/>
      <c r="D238" s="25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26"/>
      <c r="P238" s="24" t="str">
        <f aca="false">IF(K238="","",IFERROR(ABS(K238-L238)/IF(ISNUMBER(SEARCH("JPY",E238)),0.01,IF(ISNUMBER(SEARCH("XAU",E238)),0.01,IF(OR(ISNUMBER(SEARCH("30",E238)),ISNUMBER(SEARCH("500",E238)),ISNUMBER(SEARCH("100",E238))),1,0.0001))),0))</f>
        <v/>
      </c>
      <c r="Q238" s="27" t="str">
        <f aca="false">IF(K238="","",SETTINGS!$B$6*O238)</f>
        <v/>
      </c>
      <c r="R238" s="24" t="str">
        <f aca="false">IF(K238="","",IFERROR(Q238/(P238*IF(ISNUMBER(SEARCH("JPY",E238)),9.09,IF(ISNUMBER(SEARCH("XAU",E238)),1,IF(OR(ISNUMBER(SEARCH("30",E238)),ISNUMBER(SEARCH("500",E238)),ISNUMBER(SEARCH("100",E238))),1,10)))),0))</f>
        <v/>
      </c>
      <c r="S238" s="10"/>
      <c r="T238" s="28"/>
      <c r="U238" s="27" t="str">
        <f aca="false">IF(OR(S238="",T238=0),"",IFERROR((S238-K238)*IF(F238="Sell",-1,1)*R238*T238*IF(ISNUMBER(SEARCH("JPY",E238)),1000,IF(ISNUMBER(SEARCH("XAU",E238)),100,IF(OR(ISNUMBER(SEARCH("30",E238)),ISNUMBER(SEARCH("500",E238)),ISNUMBER(SEARCH("100",E238))),100,100000))),0))</f>
        <v/>
      </c>
      <c r="V238" s="10"/>
      <c r="W238" s="28"/>
      <c r="X238" s="27" t="str">
        <f aca="false">IF(OR(V238="",W238=0),"",IFERROR((V238-K238)*IF(F238="Sell",-1,1)*R238*W238*IF(ISNUMBER(SEARCH("JPY",E238)),1000,IF(ISNUMBER(SEARCH("XAU",E238)),100,IF(OR(ISNUMBER(SEARCH("30",E238)),ISNUMBER(SEARCH("500",E238)),ISNUMBER(SEARCH("100",E238))),100,100000))),0))</f>
        <v/>
      </c>
      <c r="Y238" s="10"/>
      <c r="Z238" s="28"/>
      <c r="AA238" s="27" t="str">
        <f aca="false">IF(OR(Y238="",Z238=0),"",IFERROR((Y238-K238)*IF(F238="Sell",-1,1)*R238*Z238*IF(ISNUMBER(SEARCH("JPY",E238)),1000,IF(ISNUMBER(SEARCH("XAU",E238)),100,IF(OR(ISNUMBER(SEARCH("30",E238)),ISNUMBER(SEARCH("500",E238)),ISNUMBER(SEARCH("100",E238))),100,100000))),0))</f>
        <v/>
      </c>
      <c r="AB238" s="10"/>
      <c r="AC238" s="29" t="str">
        <f aca="false">IF(K238="","",1-IFERROR(T238,0)-IFERROR(W238,0)-IFERROR(Z238,0))</f>
        <v/>
      </c>
      <c r="AD238" s="30" t="str">
        <f aca="false">IF(AB238="","",IFERROR((IFERROR(S238*T238,0)+IFERROR(V238*W238,0)+IFERROR(Y238*Z238,0)+AB238*AC238)/(IFERROR(T238,0)+IFERROR(W238,0)+IFERROR(Z238,0)+AC238),AB238))</f>
        <v/>
      </c>
      <c r="AE238" s="27" t="str">
        <f aca="false">IF(AB238="","",IF(U238="",0,U238)+IF(X238="",0,X238)+IF(AA238="",0,AA238)+IFERROR((AB238-K238)*IF(F238="Sell",-1,1)*R238*AC238*IF(ISNUMBER(SEARCH("JPY",E238)),1000,IF(ISNUMBER(SEARCH("XAU",E238)),100,IF(OR(ISNUMBER(SEARCH("30",E238)),ISNUMBER(SEARCH("500",E238)),ISNUMBER(SEARCH("100",E238))),100,100000))),0))</f>
        <v/>
      </c>
      <c r="AF238" s="31" t="str">
        <f aca="false">IF(OR(K238="",M238="",L238=""),"",IFERROR(ABS(M238-K238)/ABS(K238-L238),0))</f>
        <v/>
      </c>
      <c r="AG238" s="31" t="str">
        <f aca="false">IF(OR(AE238="",AE238=0,Q238=0,Q238=""),"",IFERROR(AE238/Q238,0))</f>
        <v/>
      </c>
      <c r="AH238" s="32" t="str">
        <f aca="false">IF(AB238="","Open",IF(AG238="","Open",IF(AG238&gt;0.1,"Win",IF(AG238&lt;-0.1,"Loss","Breakeven"))))</f>
        <v>Open</v>
      </c>
      <c r="AI238" s="33" t="str">
        <f aca="false">IF(OR(B238="",D238=""),"",D238-B238)</f>
        <v/>
      </c>
      <c r="AJ238" s="24" t="str">
        <f aca="false">IF(AD238="","",IFERROR((AD238-K238)*IF(F238="Sell",-1,1)/IF(ISNUMBER(SEARCH("JPY",E238)),0.01,IF(ISNUMBER(SEARCH("XAU",E238)),0.01,IF(OR(ISNUMBER(SEARCH("30",E238)),ISNUMBER(SEARCH("500",E238)),ISNUMBER(SEARCH("100",E238))),1,0.0001))),0))</f>
        <v/>
      </c>
      <c r="AK238" s="10"/>
      <c r="AL238" s="10"/>
      <c r="AM238" s="10"/>
      <c r="AN238" s="10"/>
      <c r="AO238" s="27" t="str">
        <f aca="false">IF(AE238="","",IFERROR(IF(AO237="",SETTINGS!$B$6,AO237),SETTINGS!$B$6)+IF(AE238="",0,AE238))</f>
        <v/>
      </c>
      <c r="AP238" s="2"/>
    </row>
    <row r="239" customFormat="false" ht="15" hidden="false" customHeight="false" outlineLevel="0" collapsed="false">
      <c r="A239" s="24" t="str">
        <f aca="false">IF(B239="","",ROW()-3)</f>
        <v/>
      </c>
      <c r="B239" s="34"/>
      <c r="C239" s="12"/>
      <c r="D239" s="34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35"/>
      <c r="P239" s="24" t="str">
        <f aca="false">IF(K239="","",IFERROR(ABS(K239-L239)/IF(ISNUMBER(SEARCH("JPY",E239)),0.01,IF(ISNUMBER(SEARCH("XAU",E239)),0.01,IF(OR(ISNUMBER(SEARCH("30",E239)),ISNUMBER(SEARCH("500",E239)),ISNUMBER(SEARCH("100",E239))),1,0.0001))),0))</f>
        <v/>
      </c>
      <c r="Q239" s="27" t="str">
        <f aca="false">IF(K239="","",SETTINGS!$B$6*O239)</f>
        <v/>
      </c>
      <c r="R239" s="24" t="str">
        <f aca="false">IF(K239="","",IFERROR(Q239/(P239*IF(ISNUMBER(SEARCH("JPY",E239)),9.09,IF(ISNUMBER(SEARCH("XAU",E239)),1,IF(OR(ISNUMBER(SEARCH("30",E239)),ISNUMBER(SEARCH("500",E239)),ISNUMBER(SEARCH("100",E239))),1,10)))),0))</f>
        <v/>
      </c>
      <c r="S239" s="12"/>
      <c r="T239" s="36"/>
      <c r="U239" s="27" t="str">
        <f aca="false">IF(OR(S239="",T239=0),"",IFERROR((S239-K239)*IF(F239="Sell",-1,1)*R239*T239*IF(ISNUMBER(SEARCH("JPY",E239)),1000,IF(ISNUMBER(SEARCH("XAU",E239)),100,IF(OR(ISNUMBER(SEARCH("30",E239)),ISNUMBER(SEARCH("500",E239)),ISNUMBER(SEARCH("100",E239))),100,100000))),0))</f>
        <v/>
      </c>
      <c r="V239" s="12"/>
      <c r="W239" s="36"/>
      <c r="X239" s="27" t="str">
        <f aca="false">IF(OR(V239="",W239=0),"",IFERROR((V239-K239)*IF(F239="Sell",-1,1)*R239*W239*IF(ISNUMBER(SEARCH("JPY",E239)),1000,IF(ISNUMBER(SEARCH("XAU",E239)),100,IF(OR(ISNUMBER(SEARCH("30",E239)),ISNUMBER(SEARCH("500",E239)),ISNUMBER(SEARCH("100",E239))),100,100000))),0))</f>
        <v/>
      </c>
      <c r="Y239" s="12"/>
      <c r="Z239" s="36"/>
      <c r="AA239" s="27" t="str">
        <f aca="false">IF(OR(Y239="",Z239=0),"",IFERROR((Y239-K239)*IF(F239="Sell",-1,1)*R239*Z239*IF(ISNUMBER(SEARCH("JPY",E239)),1000,IF(ISNUMBER(SEARCH("XAU",E239)),100,IF(OR(ISNUMBER(SEARCH("30",E239)),ISNUMBER(SEARCH("500",E239)),ISNUMBER(SEARCH("100",E239))),100,100000))),0))</f>
        <v/>
      </c>
      <c r="AB239" s="12"/>
      <c r="AC239" s="29" t="str">
        <f aca="false">IF(K239="","",1-IFERROR(T239,0)-IFERROR(W239,0)-IFERROR(Z239,0))</f>
        <v/>
      </c>
      <c r="AD239" s="30" t="str">
        <f aca="false">IF(AB239="","",IFERROR((IFERROR(S239*T239,0)+IFERROR(V239*W239,0)+IFERROR(Y239*Z239,0)+AB239*AC239)/(IFERROR(T239,0)+IFERROR(W239,0)+IFERROR(Z239,0)+AC239),AB239))</f>
        <v/>
      </c>
      <c r="AE239" s="27" t="str">
        <f aca="false">IF(AB239="","",IF(U239="",0,U239)+IF(X239="",0,X239)+IF(AA239="",0,AA239)+IFERROR((AB239-K239)*IF(F239="Sell",-1,1)*R239*AC239*IF(ISNUMBER(SEARCH("JPY",E239)),1000,IF(ISNUMBER(SEARCH("XAU",E239)),100,IF(OR(ISNUMBER(SEARCH("30",E239)),ISNUMBER(SEARCH("500",E239)),ISNUMBER(SEARCH("100",E239))),100,100000))),0))</f>
        <v/>
      </c>
      <c r="AF239" s="31" t="str">
        <f aca="false">IF(OR(K239="",M239="",L239=""),"",IFERROR(ABS(M239-K239)/ABS(K239-L239),0))</f>
        <v/>
      </c>
      <c r="AG239" s="31" t="str">
        <f aca="false">IF(OR(AE239="",AE239=0,Q239=0,Q239=""),"",IFERROR(AE239/Q239,0))</f>
        <v/>
      </c>
      <c r="AH239" s="32" t="str">
        <f aca="false">IF(AB239="","Open",IF(AG239="","Open",IF(AG239&gt;0.1,"Win",IF(AG239&lt;-0.1,"Loss","Breakeven"))))</f>
        <v>Open</v>
      </c>
      <c r="AI239" s="33" t="str">
        <f aca="false">IF(OR(B239="",D239=""),"",D239-B239)</f>
        <v/>
      </c>
      <c r="AJ239" s="24" t="str">
        <f aca="false">IF(AD239="","",IFERROR((AD239-K239)*IF(F239="Sell",-1,1)/IF(ISNUMBER(SEARCH("JPY",E239)),0.01,IF(ISNUMBER(SEARCH("XAU",E239)),0.01,IF(OR(ISNUMBER(SEARCH("30",E239)),ISNUMBER(SEARCH("500",E239)),ISNUMBER(SEARCH("100",E239))),1,0.0001))),0))</f>
        <v/>
      </c>
      <c r="AK239" s="12"/>
      <c r="AL239" s="12"/>
      <c r="AM239" s="12"/>
      <c r="AN239" s="12"/>
      <c r="AO239" s="27" t="str">
        <f aca="false">IF(AE239="","",IFERROR(IF(AO238="",SETTINGS!$B$6,AO238),SETTINGS!$B$6)+IF(AE239="",0,AE239))</f>
        <v/>
      </c>
      <c r="AP239" s="2"/>
    </row>
    <row r="240" customFormat="false" ht="15" hidden="false" customHeight="false" outlineLevel="0" collapsed="false">
      <c r="A240" s="24" t="str">
        <f aca="false">IF(B240="","",ROW()-3)</f>
        <v/>
      </c>
      <c r="B240" s="25"/>
      <c r="C240" s="10"/>
      <c r="D240" s="25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26"/>
      <c r="P240" s="24" t="str">
        <f aca="false">IF(K240="","",IFERROR(ABS(K240-L240)/IF(ISNUMBER(SEARCH("JPY",E240)),0.01,IF(ISNUMBER(SEARCH("XAU",E240)),0.01,IF(OR(ISNUMBER(SEARCH("30",E240)),ISNUMBER(SEARCH("500",E240)),ISNUMBER(SEARCH("100",E240))),1,0.0001))),0))</f>
        <v/>
      </c>
      <c r="Q240" s="27" t="str">
        <f aca="false">IF(K240="","",SETTINGS!$B$6*O240)</f>
        <v/>
      </c>
      <c r="R240" s="24" t="str">
        <f aca="false">IF(K240="","",IFERROR(Q240/(P240*IF(ISNUMBER(SEARCH("JPY",E240)),9.09,IF(ISNUMBER(SEARCH("XAU",E240)),1,IF(OR(ISNUMBER(SEARCH("30",E240)),ISNUMBER(SEARCH("500",E240)),ISNUMBER(SEARCH("100",E240))),1,10)))),0))</f>
        <v/>
      </c>
      <c r="S240" s="10"/>
      <c r="T240" s="28"/>
      <c r="U240" s="27" t="str">
        <f aca="false">IF(OR(S240="",T240=0),"",IFERROR((S240-K240)*IF(F240="Sell",-1,1)*R240*T240*IF(ISNUMBER(SEARCH("JPY",E240)),1000,IF(ISNUMBER(SEARCH("XAU",E240)),100,IF(OR(ISNUMBER(SEARCH("30",E240)),ISNUMBER(SEARCH("500",E240)),ISNUMBER(SEARCH("100",E240))),100,100000))),0))</f>
        <v/>
      </c>
      <c r="V240" s="10"/>
      <c r="W240" s="28"/>
      <c r="X240" s="27" t="str">
        <f aca="false">IF(OR(V240="",W240=0),"",IFERROR((V240-K240)*IF(F240="Sell",-1,1)*R240*W240*IF(ISNUMBER(SEARCH("JPY",E240)),1000,IF(ISNUMBER(SEARCH("XAU",E240)),100,IF(OR(ISNUMBER(SEARCH("30",E240)),ISNUMBER(SEARCH("500",E240)),ISNUMBER(SEARCH("100",E240))),100,100000))),0))</f>
        <v/>
      </c>
      <c r="Y240" s="10"/>
      <c r="Z240" s="28"/>
      <c r="AA240" s="27" t="str">
        <f aca="false">IF(OR(Y240="",Z240=0),"",IFERROR((Y240-K240)*IF(F240="Sell",-1,1)*R240*Z240*IF(ISNUMBER(SEARCH("JPY",E240)),1000,IF(ISNUMBER(SEARCH("XAU",E240)),100,IF(OR(ISNUMBER(SEARCH("30",E240)),ISNUMBER(SEARCH("500",E240)),ISNUMBER(SEARCH("100",E240))),100,100000))),0))</f>
        <v/>
      </c>
      <c r="AB240" s="10"/>
      <c r="AC240" s="29" t="str">
        <f aca="false">IF(K240="","",1-IFERROR(T240,0)-IFERROR(W240,0)-IFERROR(Z240,0))</f>
        <v/>
      </c>
      <c r="AD240" s="30" t="str">
        <f aca="false">IF(AB240="","",IFERROR((IFERROR(S240*T240,0)+IFERROR(V240*W240,0)+IFERROR(Y240*Z240,0)+AB240*AC240)/(IFERROR(T240,0)+IFERROR(W240,0)+IFERROR(Z240,0)+AC240),AB240))</f>
        <v/>
      </c>
      <c r="AE240" s="27" t="str">
        <f aca="false">IF(AB240="","",IF(U240="",0,U240)+IF(X240="",0,X240)+IF(AA240="",0,AA240)+IFERROR((AB240-K240)*IF(F240="Sell",-1,1)*R240*AC240*IF(ISNUMBER(SEARCH("JPY",E240)),1000,IF(ISNUMBER(SEARCH("XAU",E240)),100,IF(OR(ISNUMBER(SEARCH("30",E240)),ISNUMBER(SEARCH("500",E240)),ISNUMBER(SEARCH("100",E240))),100,100000))),0))</f>
        <v/>
      </c>
      <c r="AF240" s="31" t="str">
        <f aca="false">IF(OR(K240="",M240="",L240=""),"",IFERROR(ABS(M240-K240)/ABS(K240-L240),0))</f>
        <v/>
      </c>
      <c r="AG240" s="31" t="str">
        <f aca="false">IF(OR(AE240="",AE240=0,Q240=0,Q240=""),"",IFERROR(AE240/Q240,0))</f>
        <v/>
      </c>
      <c r="AH240" s="32" t="str">
        <f aca="false">IF(AB240="","Open",IF(AG240="","Open",IF(AG240&gt;0.1,"Win",IF(AG240&lt;-0.1,"Loss","Breakeven"))))</f>
        <v>Open</v>
      </c>
      <c r="AI240" s="33" t="str">
        <f aca="false">IF(OR(B240="",D240=""),"",D240-B240)</f>
        <v/>
      </c>
      <c r="AJ240" s="24" t="str">
        <f aca="false">IF(AD240="","",IFERROR((AD240-K240)*IF(F240="Sell",-1,1)/IF(ISNUMBER(SEARCH("JPY",E240)),0.01,IF(ISNUMBER(SEARCH("XAU",E240)),0.01,IF(OR(ISNUMBER(SEARCH("30",E240)),ISNUMBER(SEARCH("500",E240)),ISNUMBER(SEARCH("100",E240))),1,0.0001))),0))</f>
        <v/>
      </c>
      <c r="AK240" s="10"/>
      <c r="AL240" s="10"/>
      <c r="AM240" s="10"/>
      <c r="AN240" s="10"/>
      <c r="AO240" s="27" t="str">
        <f aca="false">IF(AE240="","",IFERROR(IF(AO239="",SETTINGS!$B$6,AO239),SETTINGS!$B$6)+IF(AE240="",0,AE240))</f>
        <v/>
      </c>
      <c r="AP240" s="2"/>
    </row>
    <row r="241" customFormat="false" ht="15" hidden="false" customHeight="false" outlineLevel="0" collapsed="false">
      <c r="A241" s="24" t="str">
        <f aca="false">IF(B241="","",ROW()-3)</f>
        <v/>
      </c>
      <c r="B241" s="34"/>
      <c r="C241" s="12"/>
      <c r="D241" s="34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35"/>
      <c r="P241" s="24" t="str">
        <f aca="false">IF(K241="","",IFERROR(ABS(K241-L241)/IF(ISNUMBER(SEARCH("JPY",E241)),0.01,IF(ISNUMBER(SEARCH("XAU",E241)),0.01,IF(OR(ISNUMBER(SEARCH("30",E241)),ISNUMBER(SEARCH("500",E241)),ISNUMBER(SEARCH("100",E241))),1,0.0001))),0))</f>
        <v/>
      </c>
      <c r="Q241" s="27" t="str">
        <f aca="false">IF(K241="","",SETTINGS!$B$6*O241)</f>
        <v/>
      </c>
      <c r="R241" s="24" t="str">
        <f aca="false">IF(K241="","",IFERROR(Q241/(P241*IF(ISNUMBER(SEARCH("JPY",E241)),9.09,IF(ISNUMBER(SEARCH("XAU",E241)),1,IF(OR(ISNUMBER(SEARCH("30",E241)),ISNUMBER(SEARCH("500",E241)),ISNUMBER(SEARCH("100",E241))),1,10)))),0))</f>
        <v/>
      </c>
      <c r="S241" s="12"/>
      <c r="T241" s="36"/>
      <c r="U241" s="27" t="str">
        <f aca="false">IF(OR(S241="",T241=0),"",IFERROR((S241-K241)*IF(F241="Sell",-1,1)*R241*T241*IF(ISNUMBER(SEARCH("JPY",E241)),1000,IF(ISNUMBER(SEARCH("XAU",E241)),100,IF(OR(ISNUMBER(SEARCH("30",E241)),ISNUMBER(SEARCH("500",E241)),ISNUMBER(SEARCH("100",E241))),100,100000))),0))</f>
        <v/>
      </c>
      <c r="V241" s="12"/>
      <c r="W241" s="36"/>
      <c r="X241" s="27" t="str">
        <f aca="false">IF(OR(V241="",W241=0),"",IFERROR((V241-K241)*IF(F241="Sell",-1,1)*R241*W241*IF(ISNUMBER(SEARCH("JPY",E241)),1000,IF(ISNUMBER(SEARCH("XAU",E241)),100,IF(OR(ISNUMBER(SEARCH("30",E241)),ISNUMBER(SEARCH("500",E241)),ISNUMBER(SEARCH("100",E241))),100,100000))),0))</f>
        <v/>
      </c>
      <c r="Y241" s="12"/>
      <c r="Z241" s="36"/>
      <c r="AA241" s="27" t="str">
        <f aca="false">IF(OR(Y241="",Z241=0),"",IFERROR((Y241-K241)*IF(F241="Sell",-1,1)*R241*Z241*IF(ISNUMBER(SEARCH("JPY",E241)),1000,IF(ISNUMBER(SEARCH("XAU",E241)),100,IF(OR(ISNUMBER(SEARCH("30",E241)),ISNUMBER(SEARCH("500",E241)),ISNUMBER(SEARCH("100",E241))),100,100000))),0))</f>
        <v/>
      </c>
      <c r="AB241" s="12"/>
      <c r="AC241" s="29" t="str">
        <f aca="false">IF(K241="","",1-IFERROR(T241,0)-IFERROR(W241,0)-IFERROR(Z241,0))</f>
        <v/>
      </c>
      <c r="AD241" s="30" t="str">
        <f aca="false">IF(AB241="","",IFERROR((IFERROR(S241*T241,0)+IFERROR(V241*W241,0)+IFERROR(Y241*Z241,0)+AB241*AC241)/(IFERROR(T241,0)+IFERROR(W241,0)+IFERROR(Z241,0)+AC241),AB241))</f>
        <v/>
      </c>
      <c r="AE241" s="27" t="str">
        <f aca="false">IF(AB241="","",IF(U241="",0,U241)+IF(X241="",0,X241)+IF(AA241="",0,AA241)+IFERROR((AB241-K241)*IF(F241="Sell",-1,1)*R241*AC241*IF(ISNUMBER(SEARCH("JPY",E241)),1000,IF(ISNUMBER(SEARCH("XAU",E241)),100,IF(OR(ISNUMBER(SEARCH("30",E241)),ISNUMBER(SEARCH("500",E241)),ISNUMBER(SEARCH("100",E241))),100,100000))),0))</f>
        <v/>
      </c>
      <c r="AF241" s="31" t="str">
        <f aca="false">IF(OR(K241="",M241="",L241=""),"",IFERROR(ABS(M241-K241)/ABS(K241-L241),0))</f>
        <v/>
      </c>
      <c r="AG241" s="31" t="str">
        <f aca="false">IF(OR(AE241="",AE241=0,Q241=0,Q241=""),"",IFERROR(AE241/Q241,0))</f>
        <v/>
      </c>
      <c r="AH241" s="32" t="str">
        <f aca="false">IF(AB241="","Open",IF(AG241="","Open",IF(AG241&gt;0.1,"Win",IF(AG241&lt;-0.1,"Loss","Breakeven"))))</f>
        <v>Open</v>
      </c>
      <c r="AI241" s="33" t="str">
        <f aca="false">IF(OR(B241="",D241=""),"",D241-B241)</f>
        <v/>
      </c>
      <c r="AJ241" s="24" t="str">
        <f aca="false">IF(AD241="","",IFERROR((AD241-K241)*IF(F241="Sell",-1,1)/IF(ISNUMBER(SEARCH("JPY",E241)),0.01,IF(ISNUMBER(SEARCH("XAU",E241)),0.01,IF(OR(ISNUMBER(SEARCH("30",E241)),ISNUMBER(SEARCH("500",E241)),ISNUMBER(SEARCH("100",E241))),1,0.0001))),0))</f>
        <v/>
      </c>
      <c r="AK241" s="12"/>
      <c r="AL241" s="12"/>
      <c r="AM241" s="12"/>
      <c r="AN241" s="12"/>
      <c r="AO241" s="27" t="str">
        <f aca="false">IF(AE241="","",IFERROR(IF(AO240="",SETTINGS!$B$6,AO240),SETTINGS!$B$6)+IF(AE241="",0,AE241))</f>
        <v/>
      </c>
      <c r="AP241" s="2"/>
    </row>
    <row r="242" customFormat="false" ht="15" hidden="false" customHeight="false" outlineLevel="0" collapsed="false">
      <c r="A242" s="24" t="str">
        <f aca="false">IF(B242="","",ROW()-3)</f>
        <v/>
      </c>
      <c r="B242" s="25"/>
      <c r="C242" s="10"/>
      <c r="D242" s="25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26"/>
      <c r="P242" s="24" t="str">
        <f aca="false">IF(K242="","",IFERROR(ABS(K242-L242)/IF(ISNUMBER(SEARCH("JPY",E242)),0.01,IF(ISNUMBER(SEARCH("XAU",E242)),0.01,IF(OR(ISNUMBER(SEARCH("30",E242)),ISNUMBER(SEARCH("500",E242)),ISNUMBER(SEARCH("100",E242))),1,0.0001))),0))</f>
        <v/>
      </c>
      <c r="Q242" s="27" t="str">
        <f aca="false">IF(K242="","",SETTINGS!$B$6*O242)</f>
        <v/>
      </c>
      <c r="R242" s="24" t="str">
        <f aca="false">IF(K242="","",IFERROR(Q242/(P242*IF(ISNUMBER(SEARCH("JPY",E242)),9.09,IF(ISNUMBER(SEARCH("XAU",E242)),1,IF(OR(ISNUMBER(SEARCH("30",E242)),ISNUMBER(SEARCH("500",E242)),ISNUMBER(SEARCH("100",E242))),1,10)))),0))</f>
        <v/>
      </c>
      <c r="S242" s="10"/>
      <c r="T242" s="28"/>
      <c r="U242" s="27" t="str">
        <f aca="false">IF(OR(S242="",T242=0),"",IFERROR((S242-K242)*IF(F242="Sell",-1,1)*R242*T242*IF(ISNUMBER(SEARCH("JPY",E242)),1000,IF(ISNUMBER(SEARCH("XAU",E242)),100,IF(OR(ISNUMBER(SEARCH("30",E242)),ISNUMBER(SEARCH("500",E242)),ISNUMBER(SEARCH("100",E242))),100,100000))),0))</f>
        <v/>
      </c>
      <c r="V242" s="10"/>
      <c r="W242" s="28"/>
      <c r="X242" s="27" t="str">
        <f aca="false">IF(OR(V242="",W242=0),"",IFERROR((V242-K242)*IF(F242="Sell",-1,1)*R242*W242*IF(ISNUMBER(SEARCH("JPY",E242)),1000,IF(ISNUMBER(SEARCH("XAU",E242)),100,IF(OR(ISNUMBER(SEARCH("30",E242)),ISNUMBER(SEARCH("500",E242)),ISNUMBER(SEARCH("100",E242))),100,100000))),0))</f>
        <v/>
      </c>
      <c r="Y242" s="10"/>
      <c r="Z242" s="28"/>
      <c r="AA242" s="27" t="str">
        <f aca="false">IF(OR(Y242="",Z242=0),"",IFERROR((Y242-K242)*IF(F242="Sell",-1,1)*R242*Z242*IF(ISNUMBER(SEARCH("JPY",E242)),1000,IF(ISNUMBER(SEARCH("XAU",E242)),100,IF(OR(ISNUMBER(SEARCH("30",E242)),ISNUMBER(SEARCH("500",E242)),ISNUMBER(SEARCH("100",E242))),100,100000))),0))</f>
        <v/>
      </c>
      <c r="AB242" s="10"/>
      <c r="AC242" s="29" t="str">
        <f aca="false">IF(K242="","",1-IFERROR(T242,0)-IFERROR(W242,0)-IFERROR(Z242,0))</f>
        <v/>
      </c>
      <c r="AD242" s="30" t="str">
        <f aca="false">IF(AB242="","",IFERROR((IFERROR(S242*T242,0)+IFERROR(V242*W242,0)+IFERROR(Y242*Z242,0)+AB242*AC242)/(IFERROR(T242,0)+IFERROR(W242,0)+IFERROR(Z242,0)+AC242),AB242))</f>
        <v/>
      </c>
      <c r="AE242" s="27" t="str">
        <f aca="false">IF(AB242="","",IF(U242="",0,U242)+IF(X242="",0,X242)+IF(AA242="",0,AA242)+IFERROR((AB242-K242)*IF(F242="Sell",-1,1)*R242*AC242*IF(ISNUMBER(SEARCH("JPY",E242)),1000,IF(ISNUMBER(SEARCH("XAU",E242)),100,IF(OR(ISNUMBER(SEARCH("30",E242)),ISNUMBER(SEARCH("500",E242)),ISNUMBER(SEARCH("100",E242))),100,100000))),0))</f>
        <v/>
      </c>
      <c r="AF242" s="31" t="str">
        <f aca="false">IF(OR(K242="",M242="",L242=""),"",IFERROR(ABS(M242-K242)/ABS(K242-L242),0))</f>
        <v/>
      </c>
      <c r="AG242" s="31" t="str">
        <f aca="false">IF(OR(AE242="",AE242=0,Q242=0,Q242=""),"",IFERROR(AE242/Q242,0))</f>
        <v/>
      </c>
      <c r="AH242" s="32" t="str">
        <f aca="false">IF(AB242="","Open",IF(AG242="","Open",IF(AG242&gt;0.1,"Win",IF(AG242&lt;-0.1,"Loss","Breakeven"))))</f>
        <v>Open</v>
      </c>
      <c r="AI242" s="33" t="str">
        <f aca="false">IF(OR(B242="",D242=""),"",D242-B242)</f>
        <v/>
      </c>
      <c r="AJ242" s="24" t="str">
        <f aca="false">IF(AD242="","",IFERROR((AD242-K242)*IF(F242="Sell",-1,1)/IF(ISNUMBER(SEARCH("JPY",E242)),0.01,IF(ISNUMBER(SEARCH("XAU",E242)),0.01,IF(OR(ISNUMBER(SEARCH("30",E242)),ISNUMBER(SEARCH("500",E242)),ISNUMBER(SEARCH("100",E242))),1,0.0001))),0))</f>
        <v/>
      </c>
      <c r="AK242" s="10"/>
      <c r="AL242" s="10"/>
      <c r="AM242" s="10"/>
      <c r="AN242" s="10"/>
      <c r="AO242" s="27" t="str">
        <f aca="false">IF(AE242="","",IFERROR(IF(AO241="",SETTINGS!$B$6,AO241),SETTINGS!$B$6)+IF(AE242="",0,AE242))</f>
        <v/>
      </c>
      <c r="AP242" s="2"/>
    </row>
    <row r="243" customFormat="false" ht="15" hidden="false" customHeight="false" outlineLevel="0" collapsed="false">
      <c r="A243" s="24" t="str">
        <f aca="false">IF(B243="","",ROW()-3)</f>
        <v/>
      </c>
      <c r="B243" s="34"/>
      <c r="C243" s="12"/>
      <c r="D243" s="34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35"/>
      <c r="P243" s="24" t="str">
        <f aca="false">IF(K243="","",IFERROR(ABS(K243-L243)/IF(ISNUMBER(SEARCH("JPY",E243)),0.01,IF(ISNUMBER(SEARCH("XAU",E243)),0.01,IF(OR(ISNUMBER(SEARCH("30",E243)),ISNUMBER(SEARCH("500",E243)),ISNUMBER(SEARCH("100",E243))),1,0.0001))),0))</f>
        <v/>
      </c>
      <c r="Q243" s="27" t="str">
        <f aca="false">IF(K243="","",SETTINGS!$B$6*O243)</f>
        <v/>
      </c>
      <c r="R243" s="24" t="str">
        <f aca="false">IF(K243="","",IFERROR(Q243/(P243*IF(ISNUMBER(SEARCH("JPY",E243)),9.09,IF(ISNUMBER(SEARCH("XAU",E243)),1,IF(OR(ISNUMBER(SEARCH("30",E243)),ISNUMBER(SEARCH("500",E243)),ISNUMBER(SEARCH("100",E243))),1,10)))),0))</f>
        <v/>
      </c>
      <c r="S243" s="12"/>
      <c r="T243" s="36"/>
      <c r="U243" s="27" t="str">
        <f aca="false">IF(OR(S243="",T243=0),"",IFERROR((S243-K243)*IF(F243="Sell",-1,1)*R243*T243*IF(ISNUMBER(SEARCH("JPY",E243)),1000,IF(ISNUMBER(SEARCH("XAU",E243)),100,IF(OR(ISNUMBER(SEARCH("30",E243)),ISNUMBER(SEARCH("500",E243)),ISNUMBER(SEARCH("100",E243))),100,100000))),0))</f>
        <v/>
      </c>
      <c r="V243" s="12"/>
      <c r="W243" s="36"/>
      <c r="X243" s="27" t="str">
        <f aca="false">IF(OR(V243="",W243=0),"",IFERROR((V243-K243)*IF(F243="Sell",-1,1)*R243*W243*IF(ISNUMBER(SEARCH("JPY",E243)),1000,IF(ISNUMBER(SEARCH("XAU",E243)),100,IF(OR(ISNUMBER(SEARCH("30",E243)),ISNUMBER(SEARCH("500",E243)),ISNUMBER(SEARCH("100",E243))),100,100000))),0))</f>
        <v/>
      </c>
      <c r="Y243" s="12"/>
      <c r="Z243" s="36"/>
      <c r="AA243" s="27" t="str">
        <f aca="false">IF(OR(Y243="",Z243=0),"",IFERROR((Y243-K243)*IF(F243="Sell",-1,1)*R243*Z243*IF(ISNUMBER(SEARCH("JPY",E243)),1000,IF(ISNUMBER(SEARCH("XAU",E243)),100,IF(OR(ISNUMBER(SEARCH("30",E243)),ISNUMBER(SEARCH("500",E243)),ISNUMBER(SEARCH("100",E243))),100,100000))),0))</f>
        <v/>
      </c>
      <c r="AB243" s="12"/>
      <c r="AC243" s="29" t="str">
        <f aca="false">IF(K243="","",1-IFERROR(T243,0)-IFERROR(W243,0)-IFERROR(Z243,0))</f>
        <v/>
      </c>
      <c r="AD243" s="30" t="str">
        <f aca="false">IF(AB243="","",IFERROR((IFERROR(S243*T243,0)+IFERROR(V243*W243,0)+IFERROR(Y243*Z243,0)+AB243*AC243)/(IFERROR(T243,0)+IFERROR(W243,0)+IFERROR(Z243,0)+AC243),AB243))</f>
        <v/>
      </c>
      <c r="AE243" s="27" t="str">
        <f aca="false">IF(AB243="","",IF(U243="",0,U243)+IF(X243="",0,X243)+IF(AA243="",0,AA243)+IFERROR((AB243-K243)*IF(F243="Sell",-1,1)*R243*AC243*IF(ISNUMBER(SEARCH("JPY",E243)),1000,IF(ISNUMBER(SEARCH("XAU",E243)),100,IF(OR(ISNUMBER(SEARCH("30",E243)),ISNUMBER(SEARCH("500",E243)),ISNUMBER(SEARCH("100",E243))),100,100000))),0))</f>
        <v/>
      </c>
      <c r="AF243" s="31" t="str">
        <f aca="false">IF(OR(K243="",M243="",L243=""),"",IFERROR(ABS(M243-K243)/ABS(K243-L243),0))</f>
        <v/>
      </c>
      <c r="AG243" s="31" t="str">
        <f aca="false">IF(OR(AE243="",AE243=0,Q243=0,Q243=""),"",IFERROR(AE243/Q243,0))</f>
        <v/>
      </c>
      <c r="AH243" s="32" t="str">
        <f aca="false">IF(AB243="","Open",IF(AG243="","Open",IF(AG243&gt;0.1,"Win",IF(AG243&lt;-0.1,"Loss","Breakeven"))))</f>
        <v>Open</v>
      </c>
      <c r="AI243" s="33" t="str">
        <f aca="false">IF(OR(B243="",D243=""),"",D243-B243)</f>
        <v/>
      </c>
      <c r="AJ243" s="24" t="str">
        <f aca="false">IF(AD243="","",IFERROR((AD243-K243)*IF(F243="Sell",-1,1)/IF(ISNUMBER(SEARCH("JPY",E243)),0.01,IF(ISNUMBER(SEARCH("XAU",E243)),0.01,IF(OR(ISNUMBER(SEARCH("30",E243)),ISNUMBER(SEARCH("500",E243)),ISNUMBER(SEARCH("100",E243))),1,0.0001))),0))</f>
        <v/>
      </c>
      <c r="AK243" s="12"/>
      <c r="AL243" s="12"/>
      <c r="AM243" s="12"/>
      <c r="AN243" s="12"/>
      <c r="AO243" s="27" t="str">
        <f aca="false">IF(AE243="","",IFERROR(IF(AO242="",SETTINGS!$B$6,AO242),SETTINGS!$B$6)+IF(AE243="",0,AE243))</f>
        <v/>
      </c>
      <c r="AP243" s="2"/>
    </row>
    <row r="244" customFormat="false" ht="15" hidden="false" customHeight="false" outlineLevel="0" collapsed="false">
      <c r="A244" s="24" t="str">
        <f aca="false">IF(B244="","",ROW()-3)</f>
        <v/>
      </c>
      <c r="B244" s="25"/>
      <c r="C244" s="10"/>
      <c r="D244" s="25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26"/>
      <c r="P244" s="24" t="str">
        <f aca="false">IF(K244="","",IFERROR(ABS(K244-L244)/IF(ISNUMBER(SEARCH("JPY",E244)),0.01,IF(ISNUMBER(SEARCH("XAU",E244)),0.01,IF(OR(ISNUMBER(SEARCH("30",E244)),ISNUMBER(SEARCH("500",E244)),ISNUMBER(SEARCH("100",E244))),1,0.0001))),0))</f>
        <v/>
      </c>
      <c r="Q244" s="27" t="str">
        <f aca="false">IF(K244="","",SETTINGS!$B$6*O244)</f>
        <v/>
      </c>
      <c r="R244" s="24" t="str">
        <f aca="false">IF(K244="","",IFERROR(Q244/(P244*IF(ISNUMBER(SEARCH("JPY",E244)),9.09,IF(ISNUMBER(SEARCH("XAU",E244)),1,IF(OR(ISNUMBER(SEARCH("30",E244)),ISNUMBER(SEARCH("500",E244)),ISNUMBER(SEARCH("100",E244))),1,10)))),0))</f>
        <v/>
      </c>
      <c r="S244" s="10"/>
      <c r="T244" s="28"/>
      <c r="U244" s="27" t="str">
        <f aca="false">IF(OR(S244="",T244=0),"",IFERROR((S244-K244)*IF(F244="Sell",-1,1)*R244*T244*IF(ISNUMBER(SEARCH("JPY",E244)),1000,IF(ISNUMBER(SEARCH("XAU",E244)),100,IF(OR(ISNUMBER(SEARCH("30",E244)),ISNUMBER(SEARCH("500",E244)),ISNUMBER(SEARCH("100",E244))),100,100000))),0))</f>
        <v/>
      </c>
      <c r="V244" s="10"/>
      <c r="W244" s="28"/>
      <c r="X244" s="27" t="str">
        <f aca="false">IF(OR(V244="",W244=0),"",IFERROR((V244-K244)*IF(F244="Sell",-1,1)*R244*W244*IF(ISNUMBER(SEARCH("JPY",E244)),1000,IF(ISNUMBER(SEARCH("XAU",E244)),100,IF(OR(ISNUMBER(SEARCH("30",E244)),ISNUMBER(SEARCH("500",E244)),ISNUMBER(SEARCH("100",E244))),100,100000))),0))</f>
        <v/>
      </c>
      <c r="Y244" s="10"/>
      <c r="Z244" s="28"/>
      <c r="AA244" s="27" t="str">
        <f aca="false">IF(OR(Y244="",Z244=0),"",IFERROR((Y244-K244)*IF(F244="Sell",-1,1)*R244*Z244*IF(ISNUMBER(SEARCH("JPY",E244)),1000,IF(ISNUMBER(SEARCH("XAU",E244)),100,IF(OR(ISNUMBER(SEARCH("30",E244)),ISNUMBER(SEARCH("500",E244)),ISNUMBER(SEARCH("100",E244))),100,100000))),0))</f>
        <v/>
      </c>
      <c r="AB244" s="10"/>
      <c r="AC244" s="29" t="str">
        <f aca="false">IF(K244="","",1-IFERROR(T244,0)-IFERROR(W244,0)-IFERROR(Z244,0))</f>
        <v/>
      </c>
      <c r="AD244" s="30" t="str">
        <f aca="false">IF(AB244="","",IFERROR((IFERROR(S244*T244,0)+IFERROR(V244*W244,0)+IFERROR(Y244*Z244,0)+AB244*AC244)/(IFERROR(T244,0)+IFERROR(W244,0)+IFERROR(Z244,0)+AC244),AB244))</f>
        <v/>
      </c>
      <c r="AE244" s="27" t="str">
        <f aca="false">IF(AB244="","",IF(U244="",0,U244)+IF(X244="",0,X244)+IF(AA244="",0,AA244)+IFERROR((AB244-K244)*IF(F244="Sell",-1,1)*R244*AC244*IF(ISNUMBER(SEARCH("JPY",E244)),1000,IF(ISNUMBER(SEARCH("XAU",E244)),100,IF(OR(ISNUMBER(SEARCH("30",E244)),ISNUMBER(SEARCH("500",E244)),ISNUMBER(SEARCH("100",E244))),100,100000))),0))</f>
        <v/>
      </c>
      <c r="AF244" s="31" t="str">
        <f aca="false">IF(OR(K244="",M244="",L244=""),"",IFERROR(ABS(M244-K244)/ABS(K244-L244),0))</f>
        <v/>
      </c>
      <c r="AG244" s="31" t="str">
        <f aca="false">IF(OR(AE244="",AE244=0,Q244=0,Q244=""),"",IFERROR(AE244/Q244,0))</f>
        <v/>
      </c>
      <c r="AH244" s="32" t="str">
        <f aca="false">IF(AB244="","Open",IF(AG244="","Open",IF(AG244&gt;0.1,"Win",IF(AG244&lt;-0.1,"Loss","Breakeven"))))</f>
        <v>Open</v>
      </c>
      <c r="AI244" s="33" t="str">
        <f aca="false">IF(OR(B244="",D244=""),"",D244-B244)</f>
        <v/>
      </c>
      <c r="AJ244" s="24" t="str">
        <f aca="false">IF(AD244="","",IFERROR((AD244-K244)*IF(F244="Sell",-1,1)/IF(ISNUMBER(SEARCH("JPY",E244)),0.01,IF(ISNUMBER(SEARCH("XAU",E244)),0.01,IF(OR(ISNUMBER(SEARCH("30",E244)),ISNUMBER(SEARCH("500",E244)),ISNUMBER(SEARCH("100",E244))),1,0.0001))),0))</f>
        <v/>
      </c>
      <c r="AK244" s="10"/>
      <c r="AL244" s="10"/>
      <c r="AM244" s="10"/>
      <c r="AN244" s="10"/>
      <c r="AO244" s="27" t="str">
        <f aca="false">IF(AE244="","",IFERROR(IF(AO243="",SETTINGS!$B$6,AO243),SETTINGS!$B$6)+IF(AE244="",0,AE244))</f>
        <v/>
      </c>
      <c r="AP244" s="2"/>
    </row>
    <row r="245" customFormat="false" ht="15" hidden="false" customHeight="false" outlineLevel="0" collapsed="false">
      <c r="A245" s="24" t="str">
        <f aca="false">IF(B245="","",ROW()-3)</f>
        <v/>
      </c>
      <c r="B245" s="34"/>
      <c r="C245" s="12"/>
      <c r="D245" s="34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35"/>
      <c r="P245" s="24" t="str">
        <f aca="false">IF(K245="","",IFERROR(ABS(K245-L245)/IF(ISNUMBER(SEARCH("JPY",E245)),0.01,IF(ISNUMBER(SEARCH("XAU",E245)),0.01,IF(OR(ISNUMBER(SEARCH("30",E245)),ISNUMBER(SEARCH("500",E245)),ISNUMBER(SEARCH("100",E245))),1,0.0001))),0))</f>
        <v/>
      </c>
      <c r="Q245" s="27" t="str">
        <f aca="false">IF(K245="","",SETTINGS!$B$6*O245)</f>
        <v/>
      </c>
      <c r="R245" s="24" t="str">
        <f aca="false">IF(K245="","",IFERROR(Q245/(P245*IF(ISNUMBER(SEARCH("JPY",E245)),9.09,IF(ISNUMBER(SEARCH("XAU",E245)),1,IF(OR(ISNUMBER(SEARCH("30",E245)),ISNUMBER(SEARCH("500",E245)),ISNUMBER(SEARCH("100",E245))),1,10)))),0))</f>
        <v/>
      </c>
      <c r="S245" s="12"/>
      <c r="T245" s="36"/>
      <c r="U245" s="27" t="str">
        <f aca="false">IF(OR(S245="",T245=0),"",IFERROR((S245-K245)*IF(F245="Sell",-1,1)*R245*T245*IF(ISNUMBER(SEARCH("JPY",E245)),1000,IF(ISNUMBER(SEARCH("XAU",E245)),100,IF(OR(ISNUMBER(SEARCH("30",E245)),ISNUMBER(SEARCH("500",E245)),ISNUMBER(SEARCH("100",E245))),100,100000))),0))</f>
        <v/>
      </c>
      <c r="V245" s="12"/>
      <c r="W245" s="36"/>
      <c r="X245" s="27" t="str">
        <f aca="false">IF(OR(V245="",W245=0),"",IFERROR((V245-K245)*IF(F245="Sell",-1,1)*R245*W245*IF(ISNUMBER(SEARCH("JPY",E245)),1000,IF(ISNUMBER(SEARCH("XAU",E245)),100,IF(OR(ISNUMBER(SEARCH("30",E245)),ISNUMBER(SEARCH("500",E245)),ISNUMBER(SEARCH("100",E245))),100,100000))),0))</f>
        <v/>
      </c>
      <c r="Y245" s="12"/>
      <c r="Z245" s="36"/>
      <c r="AA245" s="27" t="str">
        <f aca="false">IF(OR(Y245="",Z245=0),"",IFERROR((Y245-K245)*IF(F245="Sell",-1,1)*R245*Z245*IF(ISNUMBER(SEARCH("JPY",E245)),1000,IF(ISNUMBER(SEARCH("XAU",E245)),100,IF(OR(ISNUMBER(SEARCH("30",E245)),ISNUMBER(SEARCH("500",E245)),ISNUMBER(SEARCH("100",E245))),100,100000))),0))</f>
        <v/>
      </c>
      <c r="AB245" s="12"/>
      <c r="AC245" s="29" t="str">
        <f aca="false">IF(K245="","",1-IFERROR(T245,0)-IFERROR(W245,0)-IFERROR(Z245,0))</f>
        <v/>
      </c>
      <c r="AD245" s="30" t="str">
        <f aca="false">IF(AB245="","",IFERROR((IFERROR(S245*T245,0)+IFERROR(V245*W245,0)+IFERROR(Y245*Z245,0)+AB245*AC245)/(IFERROR(T245,0)+IFERROR(W245,0)+IFERROR(Z245,0)+AC245),AB245))</f>
        <v/>
      </c>
      <c r="AE245" s="27" t="str">
        <f aca="false">IF(AB245="","",IF(U245="",0,U245)+IF(X245="",0,X245)+IF(AA245="",0,AA245)+IFERROR((AB245-K245)*IF(F245="Sell",-1,1)*R245*AC245*IF(ISNUMBER(SEARCH("JPY",E245)),1000,IF(ISNUMBER(SEARCH("XAU",E245)),100,IF(OR(ISNUMBER(SEARCH("30",E245)),ISNUMBER(SEARCH("500",E245)),ISNUMBER(SEARCH("100",E245))),100,100000))),0))</f>
        <v/>
      </c>
      <c r="AF245" s="31" t="str">
        <f aca="false">IF(OR(K245="",M245="",L245=""),"",IFERROR(ABS(M245-K245)/ABS(K245-L245),0))</f>
        <v/>
      </c>
      <c r="AG245" s="31" t="str">
        <f aca="false">IF(OR(AE245="",AE245=0,Q245=0,Q245=""),"",IFERROR(AE245/Q245,0))</f>
        <v/>
      </c>
      <c r="AH245" s="32" t="str">
        <f aca="false">IF(AB245="","Open",IF(AG245="","Open",IF(AG245&gt;0.1,"Win",IF(AG245&lt;-0.1,"Loss","Breakeven"))))</f>
        <v>Open</v>
      </c>
      <c r="AI245" s="33" t="str">
        <f aca="false">IF(OR(B245="",D245=""),"",D245-B245)</f>
        <v/>
      </c>
      <c r="AJ245" s="24" t="str">
        <f aca="false">IF(AD245="","",IFERROR((AD245-K245)*IF(F245="Sell",-1,1)/IF(ISNUMBER(SEARCH("JPY",E245)),0.01,IF(ISNUMBER(SEARCH("XAU",E245)),0.01,IF(OR(ISNUMBER(SEARCH("30",E245)),ISNUMBER(SEARCH("500",E245)),ISNUMBER(SEARCH("100",E245))),1,0.0001))),0))</f>
        <v/>
      </c>
      <c r="AK245" s="12"/>
      <c r="AL245" s="12"/>
      <c r="AM245" s="12"/>
      <c r="AN245" s="12"/>
      <c r="AO245" s="27" t="str">
        <f aca="false">IF(AE245="","",IFERROR(IF(AO244="",SETTINGS!$B$6,AO244),SETTINGS!$B$6)+IF(AE245="",0,AE245))</f>
        <v/>
      </c>
      <c r="AP245" s="2"/>
    </row>
    <row r="246" customFormat="false" ht="15" hidden="false" customHeight="false" outlineLevel="0" collapsed="false">
      <c r="A246" s="24" t="str">
        <f aca="false">IF(B246="","",ROW()-3)</f>
        <v/>
      </c>
      <c r="B246" s="25"/>
      <c r="C246" s="10"/>
      <c r="D246" s="25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26"/>
      <c r="P246" s="24" t="str">
        <f aca="false">IF(K246="","",IFERROR(ABS(K246-L246)/IF(ISNUMBER(SEARCH("JPY",E246)),0.01,IF(ISNUMBER(SEARCH("XAU",E246)),0.01,IF(OR(ISNUMBER(SEARCH("30",E246)),ISNUMBER(SEARCH("500",E246)),ISNUMBER(SEARCH("100",E246))),1,0.0001))),0))</f>
        <v/>
      </c>
      <c r="Q246" s="27" t="str">
        <f aca="false">IF(K246="","",SETTINGS!$B$6*O246)</f>
        <v/>
      </c>
      <c r="R246" s="24" t="str">
        <f aca="false">IF(K246="","",IFERROR(Q246/(P246*IF(ISNUMBER(SEARCH("JPY",E246)),9.09,IF(ISNUMBER(SEARCH("XAU",E246)),1,IF(OR(ISNUMBER(SEARCH("30",E246)),ISNUMBER(SEARCH("500",E246)),ISNUMBER(SEARCH("100",E246))),1,10)))),0))</f>
        <v/>
      </c>
      <c r="S246" s="10"/>
      <c r="T246" s="28"/>
      <c r="U246" s="27" t="str">
        <f aca="false">IF(OR(S246="",T246=0),"",IFERROR((S246-K246)*IF(F246="Sell",-1,1)*R246*T246*IF(ISNUMBER(SEARCH("JPY",E246)),1000,IF(ISNUMBER(SEARCH("XAU",E246)),100,IF(OR(ISNUMBER(SEARCH("30",E246)),ISNUMBER(SEARCH("500",E246)),ISNUMBER(SEARCH("100",E246))),100,100000))),0))</f>
        <v/>
      </c>
      <c r="V246" s="10"/>
      <c r="W246" s="28"/>
      <c r="X246" s="27" t="str">
        <f aca="false">IF(OR(V246="",W246=0),"",IFERROR((V246-K246)*IF(F246="Sell",-1,1)*R246*W246*IF(ISNUMBER(SEARCH("JPY",E246)),1000,IF(ISNUMBER(SEARCH("XAU",E246)),100,IF(OR(ISNUMBER(SEARCH("30",E246)),ISNUMBER(SEARCH("500",E246)),ISNUMBER(SEARCH("100",E246))),100,100000))),0))</f>
        <v/>
      </c>
      <c r="Y246" s="10"/>
      <c r="Z246" s="28"/>
      <c r="AA246" s="27" t="str">
        <f aca="false">IF(OR(Y246="",Z246=0),"",IFERROR((Y246-K246)*IF(F246="Sell",-1,1)*R246*Z246*IF(ISNUMBER(SEARCH("JPY",E246)),1000,IF(ISNUMBER(SEARCH("XAU",E246)),100,IF(OR(ISNUMBER(SEARCH("30",E246)),ISNUMBER(SEARCH("500",E246)),ISNUMBER(SEARCH("100",E246))),100,100000))),0))</f>
        <v/>
      </c>
      <c r="AB246" s="10"/>
      <c r="AC246" s="29" t="str">
        <f aca="false">IF(K246="","",1-IFERROR(T246,0)-IFERROR(W246,0)-IFERROR(Z246,0))</f>
        <v/>
      </c>
      <c r="AD246" s="30" t="str">
        <f aca="false">IF(AB246="","",IFERROR((IFERROR(S246*T246,0)+IFERROR(V246*W246,0)+IFERROR(Y246*Z246,0)+AB246*AC246)/(IFERROR(T246,0)+IFERROR(W246,0)+IFERROR(Z246,0)+AC246),AB246))</f>
        <v/>
      </c>
      <c r="AE246" s="27" t="str">
        <f aca="false">IF(AB246="","",IF(U246="",0,U246)+IF(X246="",0,X246)+IF(AA246="",0,AA246)+IFERROR((AB246-K246)*IF(F246="Sell",-1,1)*R246*AC246*IF(ISNUMBER(SEARCH("JPY",E246)),1000,IF(ISNUMBER(SEARCH("XAU",E246)),100,IF(OR(ISNUMBER(SEARCH("30",E246)),ISNUMBER(SEARCH("500",E246)),ISNUMBER(SEARCH("100",E246))),100,100000))),0))</f>
        <v/>
      </c>
      <c r="AF246" s="31" t="str">
        <f aca="false">IF(OR(K246="",M246="",L246=""),"",IFERROR(ABS(M246-K246)/ABS(K246-L246),0))</f>
        <v/>
      </c>
      <c r="AG246" s="31" t="str">
        <f aca="false">IF(OR(AE246="",AE246=0,Q246=0,Q246=""),"",IFERROR(AE246/Q246,0))</f>
        <v/>
      </c>
      <c r="AH246" s="32" t="str">
        <f aca="false">IF(AB246="","Open",IF(AG246="","Open",IF(AG246&gt;0.1,"Win",IF(AG246&lt;-0.1,"Loss","Breakeven"))))</f>
        <v>Open</v>
      </c>
      <c r="AI246" s="33" t="str">
        <f aca="false">IF(OR(B246="",D246=""),"",D246-B246)</f>
        <v/>
      </c>
      <c r="AJ246" s="24" t="str">
        <f aca="false">IF(AD246="","",IFERROR((AD246-K246)*IF(F246="Sell",-1,1)/IF(ISNUMBER(SEARCH("JPY",E246)),0.01,IF(ISNUMBER(SEARCH("XAU",E246)),0.01,IF(OR(ISNUMBER(SEARCH("30",E246)),ISNUMBER(SEARCH("500",E246)),ISNUMBER(SEARCH("100",E246))),1,0.0001))),0))</f>
        <v/>
      </c>
      <c r="AK246" s="10"/>
      <c r="AL246" s="10"/>
      <c r="AM246" s="10"/>
      <c r="AN246" s="10"/>
      <c r="AO246" s="27" t="str">
        <f aca="false">IF(AE246="","",IFERROR(IF(AO245="",SETTINGS!$B$6,AO245),SETTINGS!$B$6)+IF(AE246="",0,AE246))</f>
        <v/>
      </c>
      <c r="AP246" s="2"/>
    </row>
    <row r="247" customFormat="false" ht="15" hidden="false" customHeight="false" outlineLevel="0" collapsed="false">
      <c r="A247" s="24" t="str">
        <f aca="false">IF(B247="","",ROW()-3)</f>
        <v/>
      </c>
      <c r="B247" s="34"/>
      <c r="C247" s="12"/>
      <c r="D247" s="34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35"/>
      <c r="P247" s="24" t="str">
        <f aca="false">IF(K247="","",IFERROR(ABS(K247-L247)/IF(ISNUMBER(SEARCH("JPY",E247)),0.01,IF(ISNUMBER(SEARCH("XAU",E247)),0.01,IF(OR(ISNUMBER(SEARCH("30",E247)),ISNUMBER(SEARCH("500",E247)),ISNUMBER(SEARCH("100",E247))),1,0.0001))),0))</f>
        <v/>
      </c>
      <c r="Q247" s="27" t="str">
        <f aca="false">IF(K247="","",SETTINGS!$B$6*O247)</f>
        <v/>
      </c>
      <c r="R247" s="24" t="str">
        <f aca="false">IF(K247="","",IFERROR(Q247/(P247*IF(ISNUMBER(SEARCH("JPY",E247)),9.09,IF(ISNUMBER(SEARCH("XAU",E247)),1,IF(OR(ISNUMBER(SEARCH("30",E247)),ISNUMBER(SEARCH("500",E247)),ISNUMBER(SEARCH("100",E247))),1,10)))),0))</f>
        <v/>
      </c>
      <c r="S247" s="12"/>
      <c r="T247" s="36"/>
      <c r="U247" s="27" t="str">
        <f aca="false">IF(OR(S247="",T247=0),"",IFERROR((S247-K247)*IF(F247="Sell",-1,1)*R247*T247*IF(ISNUMBER(SEARCH("JPY",E247)),1000,IF(ISNUMBER(SEARCH("XAU",E247)),100,IF(OR(ISNUMBER(SEARCH("30",E247)),ISNUMBER(SEARCH("500",E247)),ISNUMBER(SEARCH("100",E247))),100,100000))),0))</f>
        <v/>
      </c>
      <c r="V247" s="12"/>
      <c r="W247" s="36"/>
      <c r="X247" s="27" t="str">
        <f aca="false">IF(OR(V247="",W247=0),"",IFERROR((V247-K247)*IF(F247="Sell",-1,1)*R247*W247*IF(ISNUMBER(SEARCH("JPY",E247)),1000,IF(ISNUMBER(SEARCH("XAU",E247)),100,IF(OR(ISNUMBER(SEARCH("30",E247)),ISNUMBER(SEARCH("500",E247)),ISNUMBER(SEARCH("100",E247))),100,100000))),0))</f>
        <v/>
      </c>
      <c r="Y247" s="12"/>
      <c r="Z247" s="36"/>
      <c r="AA247" s="27" t="str">
        <f aca="false">IF(OR(Y247="",Z247=0),"",IFERROR((Y247-K247)*IF(F247="Sell",-1,1)*R247*Z247*IF(ISNUMBER(SEARCH("JPY",E247)),1000,IF(ISNUMBER(SEARCH("XAU",E247)),100,IF(OR(ISNUMBER(SEARCH("30",E247)),ISNUMBER(SEARCH("500",E247)),ISNUMBER(SEARCH("100",E247))),100,100000))),0))</f>
        <v/>
      </c>
      <c r="AB247" s="12"/>
      <c r="AC247" s="29" t="str">
        <f aca="false">IF(K247="","",1-IFERROR(T247,0)-IFERROR(W247,0)-IFERROR(Z247,0))</f>
        <v/>
      </c>
      <c r="AD247" s="30" t="str">
        <f aca="false">IF(AB247="","",IFERROR((IFERROR(S247*T247,0)+IFERROR(V247*W247,0)+IFERROR(Y247*Z247,0)+AB247*AC247)/(IFERROR(T247,0)+IFERROR(W247,0)+IFERROR(Z247,0)+AC247),AB247))</f>
        <v/>
      </c>
      <c r="AE247" s="27" t="str">
        <f aca="false">IF(AB247="","",IF(U247="",0,U247)+IF(X247="",0,X247)+IF(AA247="",0,AA247)+IFERROR((AB247-K247)*IF(F247="Sell",-1,1)*R247*AC247*IF(ISNUMBER(SEARCH("JPY",E247)),1000,IF(ISNUMBER(SEARCH("XAU",E247)),100,IF(OR(ISNUMBER(SEARCH("30",E247)),ISNUMBER(SEARCH("500",E247)),ISNUMBER(SEARCH("100",E247))),100,100000))),0))</f>
        <v/>
      </c>
      <c r="AF247" s="31" t="str">
        <f aca="false">IF(OR(K247="",M247="",L247=""),"",IFERROR(ABS(M247-K247)/ABS(K247-L247),0))</f>
        <v/>
      </c>
      <c r="AG247" s="31" t="str">
        <f aca="false">IF(OR(AE247="",AE247=0,Q247=0,Q247=""),"",IFERROR(AE247/Q247,0))</f>
        <v/>
      </c>
      <c r="AH247" s="32" t="str">
        <f aca="false">IF(AB247="","Open",IF(AG247="","Open",IF(AG247&gt;0.1,"Win",IF(AG247&lt;-0.1,"Loss","Breakeven"))))</f>
        <v>Open</v>
      </c>
      <c r="AI247" s="33" t="str">
        <f aca="false">IF(OR(B247="",D247=""),"",D247-B247)</f>
        <v/>
      </c>
      <c r="AJ247" s="24" t="str">
        <f aca="false">IF(AD247="","",IFERROR((AD247-K247)*IF(F247="Sell",-1,1)/IF(ISNUMBER(SEARCH("JPY",E247)),0.01,IF(ISNUMBER(SEARCH("XAU",E247)),0.01,IF(OR(ISNUMBER(SEARCH("30",E247)),ISNUMBER(SEARCH("500",E247)),ISNUMBER(SEARCH("100",E247))),1,0.0001))),0))</f>
        <v/>
      </c>
      <c r="AK247" s="12"/>
      <c r="AL247" s="12"/>
      <c r="AM247" s="12"/>
      <c r="AN247" s="12"/>
      <c r="AO247" s="27" t="str">
        <f aca="false">IF(AE247="","",IFERROR(IF(AO246="",SETTINGS!$B$6,AO246),SETTINGS!$B$6)+IF(AE247="",0,AE247))</f>
        <v/>
      </c>
      <c r="AP247" s="2"/>
    </row>
    <row r="248" customFormat="false" ht="15" hidden="false" customHeight="false" outlineLevel="0" collapsed="false">
      <c r="A248" s="24" t="str">
        <f aca="false">IF(B248="","",ROW()-3)</f>
        <v/>
      </c>
      <c r="B248" s="25"/>
      <c r="C248" s="10"/>
      <c r="D248" s="25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26"/>
      <c r="P248" s="24" t="str">
        <f aca="false">IF(K248="","",IFERROR(ABS(K248-L248)/IF(ISNUMBER(SEARCH("JPY",E248)),0.01,IF(ISNUMBER(SEARCH("XAU",E248)),0.01,IF(OR(ISNUMBER(SEARCH("30",E248)),ISNUMBER(SEARCH("500",E248)),ISNUMBER(SEARCH("100",E248))),1,0.0001))),0))</f>
        <v/>
      </c>
      <c r="Q248" s="27" t="str">
        <f aca="false">IF(K248="","",SETTINGS!$B$6*O248)</f>
        <v/>
      </c>
      <c r="R248" s="24" t="str">
        <f aca="false">IF(K248="","",IFERROR(Q248/(P248*IF(ISNUMBER(SEARCH("JPY",E248)),9.09,IF(ISNUMBER(SEARCH("XAU",E248)),1,IF(OR(ISNUMBER(SEARCH("30",E248)),ISNUMBER(SEARCH("500",E248)),ISNUMBER(SEARCH("100",E248))),1,10)))),0))</f>
        <v/>
      </c>
      <c r="S248" s="10"/>
      <c r="T248" s="28"/>
      <c r="U248" s="27" t="str">
        <f aca="false">IF(OR(S248="",T248=0),"",IFERROR((S248-K248)*IF(F248="Sell",-1,1)*R248*T248*IF(ISNUMBER(SEARCH("JPY",E248)),1000,IF(ISNUMBER(SEARCH("XAU",E248)),100,IF(OR(ISNUMBER(SEARCH("30",E248)),ISNUMBER(SEARCH("500",E248)),ISNUMBER(SEARCH("100",E248))),100,100000))),0))</f>
        <v/>
      </c>
      <c r="V248" s="10"/>
      <c r="W248" s="28"/>
      <c r="X248" s="27" t="str">
        <f aca="false">IF(OR(V248="",W248=0),"",IFERROR((V248-K248)*IF(F248="Sell",-1,1)*R248*W248*IF(ISNUMBER(SEARCH("JPY",E248)),1000,IF(ISNUMBER(SEARCH("XAU",E248)),100,IF(OR(ISNUMBER(SEARCH("30",E248)),ISNUMBER(SEARCH("500",E248)),ISNUMBER(SEARCH("100",E248))),100,100000))),0))</f>
        <v/>
      </c>
      <c r="Y248" s="10"/>
      <c r="Z248" s="28"/>
      <c r="AA248" s="27" t="str">
        <f aca="false">IF(OR(Y248="",Z248=0),"",IFERROR((Y248-K248)*IF(F248="Sell",-1,1)*R248*Z248*IF(ISNUMBER(SEARCH("JPY",E248)),1000,IF(ISNUMBER(SEARCH("XAU",E248)),100,IF(OR(ISNUMBER(SEARCH("30",E248)),ISNUMBER(SEARCH("500",E248)),ISNUMBER(SEARCH("100",E248))),100,100000))),0))</f>
        <v/>
      </c>
      <c r="AB248" s="10"/>
      <c r="AC248" s="29" t="str">
        <f aca="false">IF(K248="","",1-IFERROR(T248,0)-IFERROR(W248,0)-IFERROR(Z248,0))</f>
        <v/>
      </c>
      <c r="AD248" s="30" t="str">
        <f aca="false">IF(AB248="","",IFERROR((IFERROR(S248*T248,0)+IFERROR(V248*W248,0)+IFERROR(Y248*Z248,0)+AB248*AC248)/(IFERROR(T248,0)+IFERROR(W248,0)+IFERROR(Z248,0)+AC248),AB248))</f>
        <v/>
      </c>
      <c r="AE248" s="27" t="str">
        <f aca="false">IF(AB248="","",IF(U248="",0,U248)+IF(X248="",0,X248)+IF(AA248="",0,AA248)+IFERROR((AB248-K248)*IF(F248="Sell",-1,1)*R248*AC248*IF(ISNUMBER(SEARCH("JPY",E248)),1000,IF(ISNUMBER(SEARCH("XAU",E248)),100,IF(OR(ISNUMBER(SEARCH("30",E248)),ISNUMBER(SEARCH("500",E248)),ISNUMBER(SEARCH("100",E248))),100,100000))),0))</f>
        <v/>
      </c>
      <c r="AF248" s="31" t="str">
        <f aca="false">IF(OR(K248="",M248="",L248=""),"",IFERROR(ABS(M248-K248)/ABS(K248-L248),0))</f>
        <v/>
      </c>
      <c r="AG248" s="31" t="str">
        <f aca="false">IF(OR(AE248="",AE248=0,Q248=0,Q248=""),"",IFERROR(AE248/Q248,0))</f>
        <v/>
      </c>
      <c r="AH248" s="32" t="str">
        <f aca="false">IF(AB248="","Open",IF(AG248="","Open",IF(AG248&gt;0.1,"Win",IF(AG248&lt;-0.1,"Loss","Breakeven"))))</f>
        <v>Open</v>
      </c>
      <c r="AI248" s="33" t="str">
        <f aca="false">IF(OR(B248="",D248=""),"",D248-B248)</f>
        <v/>
      </c>
      <c r="AJ248" s="24" t="str">
        <f aca="false">IF(AD248="","",IFERROR((AD248-K248)*IF(F248="Sell",-1,1)/IF(ISNUMBER(SEARCH("JPY",E248)),0.01,IF(ISNUMBER(SEARCH("XAU",E248)),0.01,IF(OR(ISNUMBER(SEARCH("30",E248)),ISNUMBER(SEARCH("500",E248)),ISNUMBER(SEARCH("100",E248))),1,0.0001))),0))</f>
        <v/>
      </c>
      <c r="AK248" s="10"/>
      <c r="AL248" s="10"/>
      <c r="AM248" s="10"/>
      <c r="AN248" s="10"/>
      <c r="AO248" s="27" t="str">
        <f aca="false">IF(AE248="","",IFERROR(IF(AO247="",SETTINGS!$B$6,AO247),SETTINGS!$B$6)+IF(AE248="",0,AE248))</f>
        <v/>
      </c>
      <c r="AP248" s="2"/>
    </row>
    <row r="249" customFormat="false" ht="15" hidden="false" customHeight="false" outlineLevel="0" collapsed="false">
      <c r="A249" s="24" t="str">
        <f aca="false">IF(B249="","",ROW()-3)</f>
        <v/>
      </c>
      <c r="B249" s="34"/>
      <c r="C249" s="12"/>
      <c r="D249" s="34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35"/>
      <c r="P249" s="24" t="str">
        <f aca="false">IF(K249="","",IFERROR(ABS(K249-L249)/IF(ISNUMBER(SEARCH("JPY",E249)),0.01,IF(ISNUMBER(SEARCH("XAU",E249)),0.01,IF(OR(ISNUMBER(SEARCH("30",E249)),ISNUMBER(SEARCH("500",E249)),ISNUMBER(SEARCH("100",E249))),1,0.0001))),0))</f>
        <v/>
      </c>
      <c r="Q249" s="27" t="str">
        <f aca="false">IF(K249="","",SETTINGS!$B$6*O249)</f>
        <v/>
      </c>
      <c r="R249" s="24" t="str">
        <f aca="false">IF(K249="","",IFERROR(Q249/(P249*IF(ISNUMBER(SEARCH("JPY",E249)),9.09,IF(ISNUMBER(SEARCH("XAU",E249)),1,IF(OR(ISNUMBER(SEARCH("30",E249)),ISNUMBER(SEARCH("500",E249)),ISNUMBER(SEARCH("100",E249))),1,10)))),0))</f>
        <v/>
      </c>
      <c r="S249" s="12"/>
      <c r="T249" s="36"/>
      <c r="U249" s="27" t="str">
        <f aca="false">IF(OR(S249="",T249=0),"",IFERROR((S249-K249)*IF(F249="Sell",-1,1)*R249*T249*IF(ISNUMBER(SEARCH("JPY",E249)),1000,IF(ISNUMBER(SEARCH("XAU",E249)),100,IF(OR(ISNUMBER(SEARCH("30",E249)),ISNUMBER(SEARCH("500",E249)),ISNUMBER(SEARCH("100",E249))),100,100000))),0))</f>
        <v/>
      </c>
      <c r="V249" s="12"/>
      <c r="W249" s="36"/>
      <c r="X249" s="27" t="str">
        <f aca="false">IF(OR(V249="",W249=0),"",IFERROR((V249-K249)*IF(F249="Sell",-1,1)*R249*W249*IF(ISNUMBER(SEARCH("JPY",E249)),1000,IF(ISNUMBER(SEARCH("XAU",E249)),100,IF(OR(ISNUMBER(SEARCH("30",E249)),ISNUMBER(SEARCH("500",E249)),ISNUMBER(SEARCH("100",E249))),100,100000))),0))</f>
        <v/>
      </c>
      <c r="Y249" s="12"/>
      <c r="Z249" s="36"/>
      <c r="AA249" s="27" t="str">
        <f aca="false">IF(OR(Y249="",Z249=0),"",IFERROR((Y249-K249)*IF(F249="Sell",-1,1)*R249*Z249*IF(ISNUMBER(SEARCH("JPY",E249)),1000,IF(ISNUMBER(SEARCH("XAU",E249)),100,IF(OR(ISNUMBER(SEARCH("30",E249)),ISNUMBER(SEARCH("500",E249)),ISNUMBER(SEARCH("100",E249))),100,100000))),0))</f>
        <v/>
      </c>
      <c r="AB249" s="12"/>
      <c r="AC249" s="29" t="str">
        <f aca="false">IF(K249="","",1-IFERROR(T249,0)-IFERROR(W249,0)-IFERROR(Z249,0))</f>
        <v/>
      </c>
      <c r="AD249" s="30" t="str">
        <f aca="false">IF(AB249="","",IFERROR((IFERROR(S249*T249,0)+IFERROR(V249*W249,0)+IFERROR(Y249*Z249,0)+AB249*AC249)/(IFERROR(T249,0)+IFERROR(W249,0)+IFERROR(Z249,0)+AC249),AB249))</f>
        <v/>
      </c>
      <c r="AE249" s="27" t="str">
        <f aca="false">IF(AB249="","",IF(U249="",0,U249)+IF(X249="",0,X249)+IF(AA249="",0,AA249)+IFERROR((AB249-K249)*IF(F249="Sell",-1,1)*R249*AC249*IF(ISNUMBER(SEARCH("JPY",E249)),1000,IF(ISNUMBER(SEARCH("XAU",E249)),100,IF(OR(ISNUMBER(SEARCH("30",E249)),ISNUMBER(SEARCH("500",E249)),ISNUMBER(SEARCH("100",E249))),100,100000))),0))</f>
        <v/>
      </c>
      <c r="AF249" s="31" t="str">
        <f aca="false">IF(OR(K249="",M249="",L249=""),"",IFERROR(ABS(M249-K249)/ABS(K249-L249),0))</f>
        <v/>
      </c>
      <c r="AG249" s="31" t="str">
        <f aca="false">IF(OR(AE249="",AE249=0,Q249=0,Q249=""),"",IFERROR(AE249/Q249,0))</f>
        <v/>
      </c>
      <c r="AH249" s="32" t="str">
        <f aca="false">IF(AB249="","Open",IF(AG249="","Open",IF(AG249&gt;0.1,"Win",IF(AG249&lt;-0.1,"Loss","Breakeven"))))</f>
        <v>Open</v>
      </c>
      <c r="AI249" s="33" t="str">
        <f aca="false">IF(OR(B249="",D249=""),"",D249-B249)</f>
        <v/>
      </c>
      <c r="AJ249" s="24" t="str">
        <f aca="false">IF(AD249="","",IFERROR((AD249-K249)*IF(F249="Sell",-1,1)/IF(ISNUMBER(SEARCH("JPY",E249)),0.01,IF(ISNUMBER(SEARCH("XAU",E249)),0.01,IF(OR(ISNUMBER(SEARCH("30",E249)),ISNUMBER(SEARCH("500",E249)),ISNUMBER(SEARCH("100",E249))),1,0.0001))),0))</f>
        <v/>
      </c>
      <c r="AK249" s="12"/>
      <c r="AL249" s="12"/>
      <c r="AM249" s="12"/>
      <c r="AN249" s="12"/>
      <c r="AO249" s="27" t="str">
        <f aca="false">IF(AE249="","",IFERROR(IF(AO248="",SETTINGS!$B$6,AO248),SETTINGS!$B$6)+IF(AE249="",0,AE249))</f>
        <v/>
      </c>
      <c r="AP249" s="2"/>
    </row>
    <row r="250" customFormat="false" ht="15" hidden="false" customHeight="false" outlineLevel="0" collapsed="false">
      <c r="A250" s="24" t="str">
        <f aca="false">IF(B250="","",ROW()-3)</f>
        <v/>
      </c>
      <c r="B250" s="25"/>
      <c r="C250" s="10"/>
      <c r="D250" s="25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26"/>
      <c r="P250" s="24" t="str">
        <f aca="false">IF(K250="","",IFERROR(ABS(K250-L250)/IF(ISNUMBER(SEARCH("JPY",E250)),0.01,IF(ISNUMBER(SEARCH("XAU",E250)),0.01,IF(OR(ISNUMBER(SEARCH("30",E250)),ISNUMBER(SEARCH("500",E250)),ISNUMBER(SEARCH("100",E250))),1,0.0001))),0))</f>
        <v/>
      </c>
      <c r="Q250" s="27" t="str">
        <f aca="false">IF(K250="","",SETTINGS!$B$6*O250)</f>
        <v/>
      </c>
      <c r="R250" s="24" t="str">
        <f aca="false">IF(K250="","",IFERROR(Q250/(P250*IF(ISNUMBER(SEARCH("JPY",E250)),9.09,IF(ISNUMBER(SEARCH("XAU",E250)),1,IF(OR(ISNUMBER(SEARCH("30",E250)),ISNUMBER(SEARCH("500",E250)),ISNUMBER(SEARCH("100",E250))),1,10)))),0))</f>
        <v/>
      </c>
      <c r="S250" s="10"/>
      <c r="T250" s="28"/>
      <c r="U250" s="27" t="str">
        <f aca="false">IF(OR(S250="",T250=0),"",IFERROR((S250-K250)*IF(F250="Sell",-1,1)*R250*T250*IF(ISNUMBER(SEARCH("JPY",E250)),1000,IF(ISNUMBER(SEARCH("XAU",E250)),100,IF(OR(ISNUMBER(SEARCH("30",E250)),ISNUMBER(SEARCH("500",E250)),ISNUMBER(SEARCH("100",E250))),100,100000))),0))</f>
        <v/>
      </c>
      <c r="V250" s="10"/>
      <c r="W250" s="28"/>
      <c r="X250" s="27" t="str">
        <f aca="false">IF(OR(V250="",W250=0),"",IFERROR((V250-K250)*IF(F250="Sell",-1,1)*R250*W250*IF(ISNUMBER(SEARCH("JPY",E250)),1000,IF(ISNUMBER(SEARCH("XAU",E250)),100,IF(OR(ISNUMBER(SEARCH("30",E250)),ISNUMBER(SEARCH("500",E250)),ISNUMBER(SEARCH("100",E250))),100,100000))),0))</f>
        <v/>
      </c>
      <c r="Y250" s="10"/>
      <c r="Z250" s="28"/>
      <c r="AA250" s="27" t="str">
        <f aca="false">IF(OR(Y250="",Z250=0),"",IFERROR((Y250-K250)*IF(F250="Sell",-1,1)*R250*Z250*IF(ISNUMBER(SEARCH("JPY",E250)),1000,IF(ISNUMBER(SEARCH("XAU",E250)),100,IF(OR(ISNUMBER(SEARCH("30",E250)),ISNUMBER(SEARCH("500",E250)),ISNUMBER(SEARCH("100",E250))),100,100000))),0))</f>
        <v/>
      </c>
      <c r="AB250" s="10"/>
      <c r="AC250" s="29" t="str">
        <f aca="false">IF(K250="","",1-IFERROR(T250,0)-IFERROR(W250,0)-IFERROR(Z250,0))</f>
        <v/>
      </c>
      <c r="AD250" s="30" t="str">
        <f aca="false">IF(AB250="","",IFERROR((IFERROR(S250*T250,0)+IFERROR(V250*W250,0)+IFERROR(Y250*Z250,0)+AB250*AC250)/(IFERROR(T250,0)+IFERROR(W250,0)+IFERROR(Z250,0)+AC250),AB250))</f>
        <v/>
      </c>
      <c r="AE250" s="27" t="str">
        <f aca="false">IF(AB250="","",IF(U250="",0,U250)+IF(X250="",0,X250)+IF(AA250="",0,AA250)+IFERROR((AB250-K250)*IF(F250="Sell",-1,1)*R250*AC250*IF(ISNUMBER(SEARCH("JPY",E250)),1000,IF(ISNUMBER(SEARCH("XAU",E250)),100,IF(OR(ISNUMBER(SEARCH("30",E250)),ISNUMBER(SEARCH("500",E250)),ISNUMBER(SEARCH("100",E250))),100,100000))),0))</f>
        <v/>
      </c>
      <c r="AF250" s="31" t="str">
        <f aca="false">IF(OR(K250="",M250="",L250=""),"",IFERROR(ABS(M250-K250)/ABS(K250-L250),0))</f>
        <v/>
      </c>
      <c r="AG250" s="31" t="str">
        <f aca="false">IF(OR(AE250="",AE250=0,Q250=0,Q250=""),"",IFERROR(AE250/Q250,0))</f>
        <v/>
      </c>
      <c r="AH250" s="32" t="str">
        <f aca="false">IF(AB250="","Open",IF(AG250="","Open",IF(AG250&gt;0.1,"Win",IF(AG250&lt;-0.1,"Loss","Breakeven"))))</f>
        <v>Open</v>
      </c>
      <c r="AI250" s="33" t="str">
        <f aca="false">IF(OR(B250="",D250=""),"",D250-B250)</f>
        <v/>
      </c>
      <c r="AJ250" s="24" t="str">
        <f aca="false">IF(AD250="","",IFERROR((AD250-K250)*IF(F250="Sell",-1,1)/IF(ISNUMBER(SEARCH("JPY",E250)),0.01,IF(ISNUMBER(SEARCH("XAU",E250)),0.01,IF(OR(ISNUMBER(SEARCH("30",E250)),ISNUMBER(SEARCH("500",E250)),ISNUMBER(SEARCH("100",E250))),1,0.0001))),0))</f>
        <v/>
      </c>
      <c r="AK250" s="10"/>
      <c r="AL250" s="10"/>
      <c r="AM250" s="10"/>
      <c r="AN250" s="10"/>
      <c r="AO250" s="27" t="str">
        <f aca="false">IF(AE250="","",IFERROR(IF(AO249="",SETTINGS!$B$6,AO249),SETTINGS!$B$6)+IF(AE250="",0,AE250))</f>
        <v/>
      </c>
      <c r="AP250" s="2"/>
    </row>
    <row r="251" customFormat="false" ht="15" hidden="false" customHeight="false" outlineLevel="0" collapsed="false">
      <c r="A251" s="24" t="str">
        <f aca="false">IF(B251="","",ROW()-3)</f>
        <v/>
      </c>
      <c r="B251" s="34"/>
      <c r="C251" s="12"/>
      <c r="D251" s="34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35"/>
      <c r="P251" s="24" t="str">
        <f aca="false">IF(K251="","",IFERROR(ABS(K251-L251)/IF(ISNUMBER(SEARCH("JPY",E251)),0.01,IF(ISNUMBER(SEARCH("XAU",E251)),0.01,IF(OR(ISNUMBER(SEARCH("30",E251)),ISNUMBER(SEARCH("500",E251)),ISNUMBER(SEARCH("100",E251))),1,0.0001))),0))</f>
        <v/>
      </c>
      <c r="Q251" s="27" t="str">
        <f aca="false">IF(K251="","",SETTINGS!$B$6*O251)</f>
        <v/>
      </c>
      <c r="R251" s="24" t="str">
        <f aca="false">IF(K251="","",IFERROR(Q251/(P251*IF(ISNUMBER(SEARCH("JPY",E251)),9.09,IF(ISNUMBER(SEARCH("XAU",E251)),1,IF(OR(ISNUMBER(SEARCH("30",E251)),ISNUMBER(SEARCH("500",E251)),ISNUMBER(SEARCH("100",E251))),1,10)))),0))</f>
        <v/>
      </c>
      <c r="S251" s="12"/>
      <c r="T251" s="36"/>
      <c r="U251" s="27" t="str">
        <f aca="false">IF(OR(S251="",T251=0),"",IFERROR((S251-K251)*IF(F251="Sell",-1,1)*R251*T251*IF(ISNUMBER(SEARCH("JPY",E251)),1000,IF(ISNUMBER(SEARCH("XAU",E251)),100,IF(OR(ISNUMBER(SEARCH("30",E251)),ISNUMBER(SEARCH("500",E251)),ISNUMBER(SEARCH("100",E251))),100,100000))),0))</f>
        <v/>
      </c>
      <c r="V251" s="12"/>
      <c r="W251" s="36"/>
      <c r="X251" s="27" t="str">
        <f aca="false">IF(OR(V251="",W251=0),"",IFERROR((V251-K251)*IF(F251="Sell",-1,1)*R251*W251*IF(ISNUMBER(SEARCH("JPY",E251)),1000,IF(ISNUMBER(SEARCH("XAU",E251)),100,IF(OR(ISNUMBER(SEARCH("30",E251)),ISNUMBER(SEARCH("500",E251)),ISNUMBER(SEARCH("100",E251))),100,100000))),0))</f>
        <v/>
      </c>
      <c r="Y251" s="12"/>
      <c r="Z251" s="36"/>
      <c r="AA251" s="27" t="str">
        <f aca="false">IF(OR(Y251="",Z251=0),"",IFERROR((Y251-K251)*IF(F251="Sell",-1,1)*R251*Z251*IF(ISNUMBER(SEARCH("JPY",E251)),1000,IF(ISNUMBER(SEARCH("XAU",E251)),100,IF(OR(ISNUMBER(SEARCH("30",E251)),ISNUMBER(SEARCH("500",E251)),ISNUMBER(SEARCH("100",E251))),100,100000))),0))</f>
        <v/>
      </c>
      <c r="AB251" s="12"/>
      <c r="AC251" s="29" t="str">
        <f aca="false">IF(K251="","",1-IFERROR(T251,0)-IFERROR(W251,0)-IFERROR(Z251,0))</f>
        <v/>
      </c>
      <c r="AD251" s="30" t="str">
        <f aca="false">IF(AB251="","",IFERROR((IFERROR(S251*T251,0)+IFERROR(V251*W251,0)+IFERROR(Y251*Z251,0)+AB251*AC251)/(IFERROR(T251,0)+IFERROR(W251,0)+IFERROR(Z251,0)+AC251),AB251))</f>
        <v/>
      </c>
      <c r="AE251" s="27" t="str">
        <f aca="false">IF(AB251="","",IF(U251="",0,U251)+IF(X251="",0,X251)+IF(AA251="",0,AA251)+IFERROR((AB251-K251)*IF(F251="Sell",-1,1)*R251*AC251*IF(ISNUMBER(SEARCH("JPY",E251)),1000,IF(ISNUMBER(SEARCH("XAU",E251)),100,IF(OR(ISNUMBER(SEARCH("30",E251)),ISNUMBER(SEARCH("500",E251)),ISNUMBER(SEARCH("100",E251))),100,100000))),0))</f>
        <v/>
      </c>
      <c r="AF251" s="31" t="str">
        <f aca="false">IF(OR(K251="",M251="",L251=""),"",IFERROR(ABS(M251-K251)/ABS(K251-L251),0))</f>
        <v/>
      </c>
      <c r="AG251" s="31" t="str">
        <f aca="false">IF(OR(AE251="",AE251=0,Q251=0,Q251=""),"",IFERROR(AE251/Q251,0))</f>
        <v/>
      </c>
      <c r="AH251" s="32" t="str">
        <f aca="false">IF(AB251="","Open",IF(AG251="","Open",IF(AG251&gt;0.1,"Win",IF(AG251&lt;-0.1,"Loss","Breakeven"))))</f>
        <v>Open</v>
      </c>
      <c r="AI251" s="33" t="str">
        <f aca="false">IF(OR(B251="",D251=""),"",D251-B251)</f>
        <v/>
      </c>
      <c r="AJ251" s="24" t="str">
        <f aca="false">IF(AD251="","",IFERROR((AD251-K251)*IF(F251="Sell",-1,1)/IF(ISNUMBER(SEARCH("JPY",E251)),0.01,IF(ISNUMBER(SEARCH("XAU",E251)),0.01,IF(OR(ISNUMBER(SEARCH("30",E251)),ISNUMBER(SEARCH("500",E251)),ISNUMBER(SEARCH("100",E251))),1,0.0001))),0))</f>
        <v/>
      </c>
      <c r="AK251" s="12"/>
      <c r="AL251" s="12"/>
      <c r="AM251" s="12"/>
      <c r="AN251" s="12"/>
      <c r="AO251" s="27" t="str">
        <f aca="false">IF(AE251="","",IFERROR(IF(AO250="",SETTINGS!$B$6,AO250),SETTINGS!$B$6)+IF(AE251="",0,AE251))</f>
        <v/>
      </c>
      <c r="AP251" s="2"/>
    </row>
    <row r="252" customFormat="false" ht="15" hidden="false" customHeight="false" outlineLevel="0" collapsed="false">
      <c r="A252" s="24" t="str">
        <f aca="false">IF(B252="","",ROW()-3)</f>
        <v/>
      </c>
      <c r="B252" s="25"/>
      <c r="C252" s="10"/>
      <c r="D252" s="25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26"/>
      <c r="P252" s="24" t="str">
        <f aca="false">IF(K252="","",IFERROR(ABS(K252-L252)/IF(ISNUMBER(SEARCH("JPY",E252)),0.01,IF(ISNUMBER(SEARCH("XAU",E252)),0.01,IF(OR(ISNUMBER(SEARCH("30",E252)),ISNUMBER(SEARCH("500",E252)),ISNUMBER(SEARCH("100",E252))),1,0.0001))),0))</f>
        <v/>
      </c>
      <c r="Q252" s="27" t="str">
        <f aca="false">IF(K252="","",SETTINGS!$B$6*O252)</f>
        <v/>
      </c>
      <c r="R252" s="24" t="str">
        <f aca="false">IF(K252="","",IFERROR(Q252/(P252*IF(ISNUMBER(SEARCH("JPY",E252)),9.09,IF(ISNUMBER(SEARCH("XAU",E252)),1,IF(OR(ISNUMBER(SEARCH("30",E252)),ISNUMBER(SEARCH("500",E252)),ISNUMBER(SEARCH("100",E252))),1,10)))),0))</f>
        <v/>
      </c>
      <c r="S252" s="10"/>
      <c r="T252" s="28"/>
      <c r="U252" s="27" t="str">
        <f aca="false">IF(OR(S252="",T252=0),"",IFERROR((S252-K252)*IF(F252="Sell",-1,1)*R252*T252*IF(ISNUMBER(SEARCH("JPY",E252)),1000,IF(ISNUMBER(SEARCH("XAU",E252)),100,IF(OR(ISNUMBER(SEARCH("30",E252)),ISNUMBER(SEARCH("500",E252)),ISNUMBER(SEARCH("100",E252))),100,100000))),0))</f>
        <v/>
      </c>
      <c r="V252" s="10"/>
      <c r="W252" s="28"/>
      <c r="X252" s="27" t="str">
        <f aca="false">IF(OR(V252="",W252=0),"",IFERROR((V252-K252)*IF(F252="Sell",-1,1)*R252*W252*IF(ISNUMBER(SEARCH("JPY",E252)),1000,IF(ISNUMBER(SEARCH("XAU",E252)),100,IF(OR(ISNUMBER(SEARCH("30",E252)),ISNUMBER(SEARCH("500",E252)),ISNUMBER(SEARCH("100",E252))),100,100000))),0))</f>
        <v/>
      </c>
      <c r="Y252" s="10"/>
      <c r="Z252" s="28"/>
      <c r="AA252" s="27" t="str">
        <f aca="false">IF(OR(Y252="",Z252=0),"",IFERROR((Y252-K252)*IF(F252="Sell",-1,1)*R252*Z252*IF(ISNUMBER(SEARCH("JPY",E252)),1000,IF(ISNUMBER(SEARCH("XAU",E252)),100,IF(OR(ISNUMBER(SEARCH("30",E252)),ISNUMBER(SEARCH("500",E252)),ISNUMBER(SEARCH("100",E252))),100,100000))),0))</f>
        <v/>
      </c>
      <c r="AB252" s="10"/>
      <c r="AC252" s="29" t="str">
        <f aca="false">IF(K252="","",1-IFERROR(T252,0)-IFERROR(W252,0)-IFERROR(Z252,0))</f>
        <v/>
      </c>
      <c r="AD252" s="30" t="str">
        <f aca="false">IF(AB252="","",IFERROR((IFERROR(S252*T252,0)+IFERROR(V252*W252,0)+IFERROR(Y252*Z252,0)+AB252*AC252)/(IFERROR(T252,0)+IFERROR(W252,0)+IFERROR(Z252,0)+AC252),AB252))</f>
        <v/>
      </c>
      <c r="AE252" s="27" t="str">
        <f aca="false">IF(AB252="","",IF(U252="",0,U252)+IF(X252="",0,X252)+IF(AA252="",0,AA252)+IFERROR((AB252-K252)*IF(F252="Sell",-1,1)*R252*AC252*IF(ISNUMBER(SEARCH("JPY",E252)),1000,IF(ISNUMBER(SEARCH("XAU",E252)),100,IF(OR(ISNUMBER(SEARCH("30",E252)),ISNUMBER(SEARCH("500",E252)),ISNUMBER(SEARCH("100",E252))),100,100000))),0))</f>
        <v/>
      </c>
      <c r="AF252" s="31" t="str">
        <f aca="false">IF(OR(K252="",M252="",L252=""),"",IFERROR(ABS(M252-K252)/ABS(K252-L252),0))</f>
        <v/>
      </c>
      <c r="AG252" s="31" t="str">
        <f aca="false">IF(OR(AE252="",AE252=0,Q252=0,Q252=""),"",IFERROR(AE252/Q252,0))</f>
        <v/>
      </c>
      <c r="AH252" s="32" t="str">
        <f aca="false">IF(AB252="","Open",IF(AG252="","Open",IF(AG252&gt;0.1,"Win",IF(AG252&lt;-0.1,"Loss","Breakeven"))))</f>
        <v>Open</v>
      </c>
      <c r="AI252" s="33" t="str">
        <f aca="false">IF(OR(B252="",D252=""),"",D252-B252)</f>
        <v/>
      </c>
      <c r="AJ252" s="24" t="str">
        <f aca="false">IF(AD252="","",IFERROR((AD252-K252)*IF(F252="Sell",-1,1)/IF(ISNUMBER(SEARCH("JPY",E252)),0.01,IF(ISNUMBER(SEARCH("XAU",E252)),0.01,IF(OR(ISNUMBER(SEARCH("30",E252)),ISNUMBER(SEARCH("500",E252)),ISNUMBER(SEARCH("100",E252))),1,0.0001))),0))</f>
        <v/>
      </c>
      <c r="AK252" s="10"/>
      <c r="AL252" s="10"/>
      <c r="AM252" s="10"/>
      <c r="AN252" s="10"/>
      <c r="AO252" s="27" t="str">
        <f aca="false">IF(AE252="","",IFERROR(IF(AO251="",SETTINGS!$B$6,AO251),SETTINGS!$B$6)+IF(AE252="",0,AE252))</f>
        <v/>
      </c>
      <c r="AP252" s="2"/>
    </row>
    <row r="253" customFormat="false" ht="15" hidden="false" customHeight="false" outlineLevel="0" collapsed="false">
      <c r="A253" s="24" t="str">
        <f aca="false">IF(B253="","",ROW()-3)</f>
        <v/>
      </c>
      <c r="B253" s="34"/>
      <c r="C253" s="12"/>
      <c r="D253" s="34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35"/>
      <c r="P253" s="24" t="str">
        <f aca="false">IF(K253="","",IFERROR(ABS(K253-L253)/IF(ISNUMBER(SEARCH("JPY",E253)),0.01,IF(ISNUMBER(SEARCH("XAU",E253)),0.01,IF(OR(ISNUMBER(SEARCH("30",E253)),ISNUMBER(SEARCH("500",E253)),ISNUMBER(SEARCH("100",E253))),1,0.0001))),0))</f>
        <v/>
      </c>
      <c r="Q253" s="27" t="str">
        <f aca="false">IF(K253="","",SETTINGS!$B$6*O253)</f>
        <v/>
      </c>
      <c r="R253" s="24" t="str">
        <f aca="false">IF(K253="","",IFERROR(Q253/(P253*IF(ISNUMBER(SEARCH("JPY",E253)),9.09,IF(ISNUMBER(SEARCH("XAU",E253)),1,IF(OR(ISNUMBER(SEARCH("30",E253)),ISNUMBER(SEARCH("500",E253)),ISNUMBER(SEARCH("100",E253))),1,10)))),0))</f>
        <v/>
      </c>
      <c r="S253" s="12"/>
      <c r="T253" s="36"/>
      <c r="U253" s="27" t="str">
        <f aca="false">IF(OR(S253="",T253=0),"",IFERROR((S253-K253)*IF(F253="Sell",-1,1)*R253*T253*IF(ISNUMBER(SEARCH("JPY",E253)),1000,IF(ISNUMBER(SEARCH("XAU",E253)),100,IF(OR(ISNUMBER(SEARCH("30",E253)),ISNUMBER(SEARCH("500",E253)),ISNUMBER(SEARCH("100",E253))),100,100000))),0))</f>
        <v/>
      </c>
      <c r="V253" s="12"/>
      <c r="W253" s="36"/>
      <c r="X253" s="27" t="str">
        <f aca="false">IF(OR(V253="",W253=0),"",IFERROR((V253-K253)*IF(F253="Sell",-1,1)*R253*W253*IF(ISNUMBER(SEARCH("JPY",E253)),1000,IF(ISNUMBER(SEARCH("XAU",E253)),100,IF(OR(ISNUMBER(SEARCH("30",E253)),ISNUMBER(SEARCH("500",E253)),ISNUMBER(SEARCH("100",E253))),100,100000))),0))</f>
        <v/>
      </c>
      <c r="Y253" s="12"/>
      <c r="Z253" s="36"/>
      <c r="AA253" s="27" t="str">
        <f aca="false">IF(OR(Y253="",Z253=0),"",IFERROR((Y253-K253)*IF(F253="Sell",-1,1)*R253*Z253*IF(ISNUMBER(SEARCH("JPY",E253)),1000,IF(ISNUMBER(SEARCH("XAU",E253)),100,IF(OR(ISNUMBER(SEARCH("30",E253)),ISNUMBER(SEARCH("500",E253)),ISNUMBER(SEARCH("100",E253))),100,100000))),0))</f>
        <v/>
      </c>
      <c r="AB253" s="12"/>
      <c r="AC253" s="29" t="str">
        <f aca="false">IF(K253="","",1-IFERROR(T253,0)-IFERROR(W253,0)-IFERROR(Z253,0))</f>
        <v/>
      </c>
      <c r="AD253" s="30" t="str">
        <f aca="false">IF(AB253="","",IFERROR((IFERROR(S253*T253,0)+IFERROR(V253*W253,0)+IFERROR(Y253*Z253,0)+AB253*AC253)/(IFERROR(T253,0)+IFERROR(W253,0)+IFERROR(Z253,0)+AC253),AB253))</f>
        <v/>
      </c>
      <c r="AE253" s="27" t="str">
        <f aca="false">IF(AB253="","",IF(U253="",0,U253)+IF(X253="",0,X253)+IF(AA253="",0,AA253)+IFERROR((AB253-K253)*IF(F253="Sell",-1,1)*R253*AC253*IF(ISNUMBER(SEARCH("JPY",E253)),1000,IF(ISNUMBER(SEARCH("XAU",E253)),100,IF(OR(ISNUMBER(SEARCH("30",E253)),ISNUMBER(SEARCH("500",E253)),ISNUMBER(SEARCH("100",E253))),100,100000))),0))</f>
        <v/>
      </c>
      <c r="AF253" s="31" t="str">
        <f aca="false">IF(OR(K253="",M253="",L253=""),"",IFERROR(ABS(M253-K253)/ABS(K253-L253),0))</f>
        <v/>
      </c>
      <c r="AG253" s="31" t="str">
        <f aca="false">IF(OR(AE253="",AE253=0,Q253=0,Q253=""),"",IFERROR(AE253/Q253,0))</f>
        <v/>
      </c>
      <c r="AH253" s="32" t="str">
        <f aca="false">IF(AB253="","Open",IF(AG253="","Open",IF(AG253&gt;0.1,"Win",IF(AG253&lt;-0.1,"Loss","Breakeven"))))</f>
        <v>Open</v>
      </c>
      <c r="AI253" s="33" t="str">
        <f aca="false">IF(OR(B253="",D253=""),"",D253-B253)</f>
        <v/>
      </c>
      <c r="AJ253" s="24" t="str">
        <f aca="false">IF(AD253="","",IFERROR((AD253-K253)*IF(F253="Sell",-1,1)/IF(ISNUMBER(SEARCH("JPY",E253)),0.01,IF(ISNUMBER(SEARCH("XAU",E253)),0.01,IF(OR(ISNUMBER(SEARCH("30",E253)),ISNUMBER(SEARCH("500",E253)),ISNUMBER(SEARCH("100",E253))),1,0.0001))),0))</f>
        <v/>
      </c>
      <c r="AK253" s="12"/>
      <c r="AL253" s="12"/>
      <c r="AM253" s="12"/>
      <c r="AN253" s="12"/>
      <c r="AO253" s="27" t="str">
        <f aca="false">IF(AE253="","",IFERROR(IF(AO252="",SETTINGS!$B$6,AO252),SETTINGS!$B$6)+IF(AE253="",0,AE253))</f>
        <v/>
      </c>
      <c r="AP253" s="2"/>
    </row>
    <row r="254" customFormat="false" ht="15" hidden="false" customHeight="false" outlineLevel="0" collapsed="false">
      <c r="A254" s="24" t="str">
        <f aca="false">IF(B254="","",ROW()-3)</f>
        <v/>
      </c>
      <c r="B254" s="25"/>
      <c r="C254" s="10"/>
      <c r="D254" s="25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26"/>
      <c r="P254" s="24" t="str">
        <f aca="false">IF(K254="","",IFERROR(ABS(K254-L254)/IF(ISNUMBER(SEARCH("JPY",E254)),0.01,IF(ISNUMBER(SEARCH("XAU",E254)),0.01,IF(OR(ISNUMBER(SEARCH("30",E254)),ISNUMBER(SEARCH("500",E254)),ISNUMBER(SEARCH("100",E254))),1,0.0001))),0))</f>
        <v/>
      </c>
      <c r="Q254" s="27" t="str">
        <f aca="false">IF(K254="","",SETTINGS!$B$6*O254)</f>
        <v/>
      </c>
      <c r="R254" s="24" t="str">
        <f aca="false">IF(K254="","",IFERROR(Q254/(P254*IF(ISNUMBER(SEARCH("JPY",E254)),9.09,IF(ISNUMBER(SEARCH("XAU",E254)),1,IF(OR(ISNUMBER(SEARCH("30",E254)),ISNUMBER(SEARCH("500",E254)),ISNUMBER(SEARCH("100",E254))),1,10)))),0))</f>
        <v/>
      </c>
      <c r="S254" s="10"/>
      <c r="T254" s="28"/>
      <c r="U254" s="27" t="str">
        <f aca="false">IF(OR(S254="",T254=0),"",IFERROR((S254-K254)*IF(F254="Sell",-1,1)*R254*T254*IF(ISNUMBER(SEARCH("JPY",E254)),1000,IF(ISNUMBER(SEARCH("XAU",E254)),100,IF(OR(ISNUMBER(SEARCH("30",E254)),ISNUMBER(SEARCH("500",E254)),ISNUMBER(SEARCH("100",E254))),100,100000))),0))</f>
        <v/>
      </c>
      <c r="V254" s="10"/>
      <c r="W254" s="28"/>
      <c r="X254" s="27" t="str">
        <f aca="false">IF(OR(V254="",W254=0),"",IFERROR((V254-K254)*IF(F254="Sell",-1,1)*R254*W254*IF(ISNUMBER(SEARCH("JPY",E254)),1000,IF(ISNUMBER(SEARCH("XAU",E254)),100,IF(OR(ISNUMBER(SEARCH("30",E254)),ISNUMBER(SEARCH("500",E254)),ISNUMBER(SEARCH("100",E254))),100,100000))),0))</f>
        <v/>
      </c>
      <c r="Y254" s="10"/>
      <c r="Z254" s="28"/>
      <c r="AA254" s="27" t="str">
        <f aca="false">IF(OR(Y254="",Z254=0),"",IFERROR((Y254-K254)*IF(F254="Sell",-1,1)*R254*Z254*IF(ISNUMBER(SEARCH("JPY",E254)),1000,IF(ISNUMBER(SEARCH("XAU",E254)),100,IF(OR(ISNUMBER(SEARCH("30",E254)),ISNUMBER(SEARCH("500",E254)),ISNUMBER(SEARCH("100",E254))),100,100000))),0))</f>
        <v/>
      </c>
      <c r="AB254" s="10"/>
      <c r="AC254" s="29" t="str">
        <f aca="false">IF(K254="","",1-IFERROR(T254,0)-IFERROR(W254,0)-IFERROR(Z254,0))</f>
        <v/>
      </c>
      <c r="AD254" s="30" t="str">
        <f aca="false">IF(AB254="","",IFERROR((IFERROR(S254*T254,0)+IFERROR(V254*W254,0)+IFERROR(Y254*Z254,0)+AB254*AC254)/(IFERROR(T254,0)+IFERROR(W254,0)+IFERROR(Z254,0)+AC254),AB254))</f>
        <v/>
      </c>
      <c r="AE254" s="27" t="str">
        <f aca="false">IF(AB254="","",IF(U254="",0,U254)+IF(X254="",0,X254)+IF(AA254="",0,AA254)+IFERROR((AB254-K254)*IF(F254="Sell",-1,1)*R254*AC254*IF(ISNUMBER(SEARCH("JPY",E254)),1000,IF(ISNUMBER(SEARCH("XAU",E254)),100,IF(OR(ISNUMBER(SEARCH("30",E254)),ISNUMBER(SEARCH("500",E254)),ISNUMBER(SEARCH("100",E254))),100,100000))),0))</f>
        <v/>
      </c>
      <c r="AF254" s="31" t="str">
        <f aca="false">IF(OR(K254="",M254="",L254=""),"",IFERROR(ABS(M254-K254)/ABS(K254-L254),0))</f>
        <v/>
      </c>
      <c r="AG254" s="31" t="str">
        <f aca="false">IF(OR(AE254="",AE254=0,Q254=0,Q254=""),"",IFERROR(AE254/Q254,0))</f>
        <v/>
      </c>
      <c r="AH254" s="32" t="str">
        <f aca="false">IF(AB254="","Open",IF(AG254="","Open",IF(AG254&gt;0.1,"Win",IF(AG254&lt;-0.1,"Loss","Breakeven"))))</f>
        <v>Open</v>
      </c>
      <c r="AI254" s="33" t="str">
        <f aca="false">IF(OR(B254="",D254=""),"",D254-B254)</f>
        <v/>
      </c>
      <c r="AJ254" s="24" t="str">
        <f aca="false">IF(AD254="","",IFERROR((AD254-K254)*IF(F254="Sell",-1,1)/IF(ISNUMBER(SEARCH("JPY",E254)),0.01,IF(ISNUMBER(SEARCH("XAU",E254)),0.01,IF(OR(ISNUMBER(SEARCH("30",E254)),ISNUMBER(SEARCH("500",E254)),ISNUMBER(SEARCH("100",E254))),1,0.0001))),0))</f>
        <v/>
      </c>
      <c r="AK254" s="10"/>
      <c r="AL254" s="10"/>
      <c r="AM254" s="10"/>
      <c r="AN254" s="10"/>
      <c r="AO254" s="27" t="str">
        <f aca="false">IF(AE254="","",IFERROR(IF(AO253="",SETTINGS!$B$6,AO253),SETTINGS!$B$6)+IF(AE254="",0,AE254))</f>
        <v/>
      </c>
      <c r="AP254" s="2"/>
    </row>
    <row r="255" customFormat="false" ht="15" hidden="false" customHeight="false" outlineLevel="0" collapsed="false">
      <c r="A255" s="24" t="str">
        <f aca="false">IF(B255="","",ROW()-3)</f>
        <v/>
      </c>
      <c r="B255" s="34"/>
      <c r="C255" s="12"/>
      <c r="D255" s="34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35"/>
      <c r="P255" s="24" t="str">
        <f aca="false">IF(K255="","",IFERROR(ABS(K255-L255)/IF(ISNUMBER(SEARCH("JPY",E255)),0.01,IF(ISNUMBER(SEARCH("XAU",E255)),0.01,IF(OR(ISNUMBER(SEARCH("30",E255)),ISNUMBER(SEARCH("500",E255)),ISNUMBER(SEARCH("100",E255))),1,0.0001))),0))</f>
        <v/>
      </c>
      <c r="Q255" s="27" t="str">
        <f aca="false">IF(K255="","",SETTINGS!$B$6*O255)</f>
        <v/>
      </c>
      <c r="R255" s="24" t="str">
        <f aca="false">IF(K255="","",IFERROR(Q255/(P255*IF(ISNUMBER(SEARCH("JPY",E255)),9.09,IF(ISNUMBER(SEARCH("XAU",E255)),1,IF(OR(ISNUMBER(SEARCH("30",E255)),ISNUMBER(SEARCH("500",E255)),ISNUMBER(SEARCH("100",E255))),1,10)))),0))</f>
        <v/>
      </c>
      <c r="S255" s="12"/>
      <c r="T255" s="36"/>
      <c r="U255" s="27" t="str">
        <f aca="false">IF(OR(S255="",T255=0),"",IFERROR((S255-K255)*IF(F255="Sell",-1,1)*R255*T255*IF(ISNUMBER(SEARCH("JPY",E255)),1000,IF(ISNUMBER(SEARCH("XAU",E255)),100,IF(OR(ISNUMBER(SEARCH("30",E255)),ISNUMBER(SEARCH("500",E255)),ISNUMBER(SEARCH("100",E255))),100,100000))),0))</f>
        <v/>
      </c>
      <c r="V255" s="12"/>
      <c r="W255" s="36"/>
      <c r="X255" s="27" t="str">
        <f aca="false">IF(OR(V255="",W255=0),"",IFERROR((V255-K255)*IF(F255="Sell",-1,1)*R255*W255*IF(ISNUMBER(SEARCH("JPY",E255)),1000,IF(ISNUMBER(SEARCH("XAU",E255)),100,IF(OR(ISNUMBER(SEARCH("30",E255)),ISNUMBER(SEARCH("500",E255)),ISNUMBER(SEARCH("100",E255))),100,100000))),0))</f>
        <v/>
      </c>
      <c r="Y255" s="12"/>
      <c r="Z255" s="36"/>
      <c r="AA255" s="27" t="str">
        <f aca="false">IF(OR(Y255="",Z255=0),"",IFERROR((Y255-K255)*IF(F255="Sell",-1,1)*R255*Z255*IF(ISNUMBER(SEARCH("JPY",E255)),1000,IF(ISNUMBER(SEARCH("XAU",E255)),100,IF(OR(ISNUMBER(SEARCH("30",E255)),ISNUMBER(SEARCH("500",E255)),ISNUMBER(SEARCH("100",E255))),100,100000))),0))</f>
        <v/>
      </c>
      <c r="AB255" s="12"/>
      <c r="AC255" s="29" t="str">
        <f aca="false">IF(K255="","",1-IFERROR(T255,0)-IFERROR(W255,0)-IFERROR(Z255,0))</f>
        <v/>
      </c>
      <c r="AD255" s="30" t="str">
        <f aca="false">IF(AB255="","",IFERROR((IFERROR(S255*T255,0)+IFERROR(V255*W255,0)+IFERROR(Y255*Z255,0)+AB255*AC255)/(IFERROR(T255,0)+IFERROR(W255,0)+IFERROR(Z255,0)+AC255),AB255))</f>
        <v/>
      </c>
      <c r="AE255" s="27" t="str">
        <f aca="false">IF(AB255="","",IF(U255="",0,U255)+IF(X255="",0,X255)+IF(AA255="",0,AA255)+IFERROR((AB255-K255)*IF(F255="Sell",-1,1)*R255*AC255*IF(ISNUMBER(SEARCH("JPY",E255)),1000,IF(ISNUMBER(SEARCH("XAU",E255)),100,IF(OR(ISNUMBER(SEARCH("30",E255)),ISNUMBER(SEARCH("500",E255)),ISNUMBER(SEARCH("100",E255))),100,100000))),0))</f>
        <v/>
      </c>
      <c r="AF255" s="31" t="str">
        <f aca="false">IF(OR(K255="",M255="",L255=""),"",IFERROR(ABS(M255-K255)/ABS(K255-L255),0))</f>
        <v/>
      </c>
      <c r="AG255" s="31" t="str">
        <f aca="false">IF(OR(AE255="",AE255=0,Q255=0,Q255=""),"",IFERROR(AE255/Q255,0))</f>
        <v/>
      </c>
      <c r="AH255" s="32" t="str">
        <f aca="false">IF(AB255="","Open",IF(AG255="","Open",IF(AG255&gt;0.1,"Win",IF(AG255&lt;-0.1,"Loss","Breakeven"))))</f>
        <v>Open</v>
      </c>
      <c r="AI255" s="33" t="str">
        <f aca="false">IF(OR(B255="",D255=""),"",D255-B255)</f>
        <v/>
      </c>
      <c r="AJ255" s="24" t="str">
        <f aca="false">IF(AD255="","",IFERROR((AD255-K255)*IF(F255="Sell",-1,1)/IF(ISNUMBER(SEARCH("JPY",E255)),0.01,IF(ISNUMBER(SEARCH("XAU",E255)),0.01,IF(OR(ISNUMBER(SEARCH("30",E255)),ISNUMBER(SEARCH("500",E255)),ISNUMBER(SEARCH("100",E255))),1,0.0001))),0))</f>
        <v/>
      </c>
      <c r="AK255" s="12"/>
      <c r="AL255" s="12"/>
      <c r="AM255" s="12"/>
      <c r="AN255" s="12"/>
      <c r="AO255" s="27" t="str">
        <f aca="false">IF(AE255="","",IFERROR(IF(AO254="",SETTINGS!$B$6,AO254),SETTINGS!$B$6)+IF(AE255="",0,AE255))</f>
        <v/>
      </c>
      <c r="AP255" s="2"/>
    </row>
    <row r="256" customFormat="false" ht="15" hidden="false" customHeight="false" outlineLevel="0" collapsed="false">
      <c r="A256" s="24" t="str">
        <f aca="false">IF(B256="","",ROW()-3)</f>
        <v/>
      </c>
      <c r="B256" s="25"/>
      <c r="C256" s="10"/>
      <c r="D256" s="25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26"/>
      <c r="P256" s="24" t="str">
        <f aca="false">IF(K256="","",IFERROR(ABS(K256-L256)/IF(ISNUMBER(SEARCH("JPY",E256)),0.01,IF(ISNUMBER(SEARCH("XAU",E256)),0.01,IF(OR(ISNUMBER(SEARCH("30",E256)),ISNUMBER(SEARCH("500",E256)),ISNUMBER(SEARCH("100",E256))),1,0.0001))),0))</f>
        <v/>
      </c>
      <c r="Q256" s="27" t="str">
        <f aca="false">IF(K256="","",SETTINGS!$B$6*O256)</f>
        <v/>
      </c>
      <c r="R256" s="24" t="str">
        <f aca="false">IF(K256="","",IFERROR(Q256/(P256*IF(ISNUMBER(SEARCH("JPY",E256)),9.09,IF(ISNUMBER(SEARCH("XAU",E256)),1,IF(OR(ISNUMBER(SEARCH("30",E256)),ISNUMBER(SEARCH("500",E256)),ISNUMBER(SEARCH("100",E256))),1,10)))),0))</f>
        <v/>
      </c>
      <c r="S256" s="10"/>
      <c r="T256" s="28"/>
      <c r="U256" s="27" t="str">
        <f aca="false">IF(OR(S256="",T256=0),"",IFERROR((S256-K256)*IF(F256="Sell",-1,1)*R256*T256*IF(ISNUMBER(SEARCH("JPY",E256)),1000,IF(ISNUMBER(SEARCH("XAU",E256)),100,IF(OR(ISNUMBER(SEARCH("30",E256)),ISNUMBER(SEARCH("500",E256)),ISNUMBER(SEARCH("100",E256))),100,100000))),0))</f>
        <v/>
      </c>
      <c r="V256" s="10"/>
      <c r="W256" s="28"/>
      <c r="X256" s="27" t="str">
        <f aca="false">IF(OR(V256="",W256=0),"",IFERROR((V256-K256)*IF(F256="Sell",-1,1)*R256*W256*IF(ISNUMBER(SEARCH("JPY",E256)),1000,IF(ISNUMBER(SEARCH("XAU",E256)),100,IF(OR(ISNUMBER(SEARCH("30",E256)),ISNUMBER(SEARCH("500",E256)),ISNUMBER(SEARCH("100",E256))),100,100000))),0))</f>
        <v/>
      </c>
      <c r="Y256" s="10"/>
      <c r="Z256" s="28"/>
      <c r="AA256" s="27" t="str">
        <f aca="false">IF(OR(Y256="",Z256=0),"",IFERROR((Y256-K256)*IF(F256="Sell",-1,1)*R256*Z256*IF(ISNUMBER(SEARCH("JPY",E256)),1000,IF(ISNUMBER(SEARCH("XAU",E256)),100,IF(OR(ISNUMBER(SEARCH("30",E256)),ISNUMBER(SEARCH("500",E256)),ISNUMBER(SEARCH("100",E256))),100,100000))),0))</f>
        <v/>
      </c>
      <c r="AB256" s="10"/>
      <c r="AC256" s="29" t="str">
        <f aca="false">IF(K256="","",1-IFERROR(T256,0)-IFERROR(W256,0)-IFERROR(Z256,0))</f>
        <v/>
      </c>
      <c r="AD256" s="30" t="str">
        <f aca="false">IF(AB256="","",IFERROR((IFERROR(S256*T256,0)+IFERROR(V256*W256,0)+IFERROR(Y256*Z256,0)+AB256*AC256)/(IFERROR(T256,0)+IFERROR(W256,0)+IFERROR(Z256,0)+AC256),AB256))</f>
        <v/>
      </c>
      <c r="AE256" s="27" t="str">
        <f aca="false">IF(AB256="","",IF(U256="",0,U256)+IF(X256="",0,X256)+IF(AA256="",0,AA256)+IFERROR((AB256-K256)*IF(F256="Sell",-1,1)*R256*AC256*IF(ISNUMBER(SEARCH("JPY",E256)),1000,IF(ISNUMBER(SEARCH("XAU",E256)),100,IF(OR(ISNUMBER(SEARCH("30",E256)),ISNUMBER(SEARCH("500",E256)),ISNUMBER(SEARCH("100",E256))),100,100000))),0))</f>
        <v/>
      </c>
      <c r="AF256" s="31" t="str">
        <f aca="false">IF(OR(K256="",M256="",L256=""),"",IFERROR(ABS(M256-K256)/ABS(K256-L256),0))</f>
        <v/>
      </c>
      <c r="AG256" s="31" t="str">
        <f aca="false">IF(OR(AE256="",AE256=0,Q256=0,Q256=""),"",IFERROR(AE256/Q256,0))</f>
        <v/>
      </c>
      <c r="AH256" s="32" t="str">
        <f aca="false">IF(AB256="","Open",IF(AG256="","Open",IF(AG256&gt;0.1,"Win",IF(AG256&lt;-0.1,"Loss","Breakeven"))))</f>
        <v>Open</v>
      </c>
      <c r="AI256" s="33" t="str">
        <f aca="false">IF(OR(B256="",D256=""),"",D256-B256)</f>
        <v/>
      </c>
      <c r="AJ256" s="24" t="str">
        <f aca="false">IF(AD256="","",IFERROR((AD256-K256)*IF(F256="Sell",-1,1)/IF(ISNUMBER(SEARCH("JPY",E256)),0.01,IF(ISNUMBER(SEARCH("XAU",E256)),0.01,IF(OR(ISNUMBER(SEARCH("30",E256)),ISNUMBER(SEARCH("500",E256)),ISNUMBER(SEARCH("100",E256))),1,0.0001))),0))</f>
        <v/>
      </c>
      <c r="AK256" s="10"/>
      <c r="AL256" s="10"/>
      <c r="AM256" s="10"/>
      <c r="AN256" s="10"/>
      <c r="AO256" s="27" t="str">
        <f aca="false">IF(AE256="","",IFERROR(IF(AO255="",SETTINGS!$B$6,AO255),SETTINGS!$B$6)+IF(AE256="",0,AE256))</f>
        <v/>
      </c>
      <c r="AP256" s="2"/>
    </row>
    <row r="257" customFormat="false" ht="15" hidden="false" customHeight="false" outlineLevel="0" collapsed="false">
      <c r="A257" s="24" t="str">
        <f aca="false">IF(B257="","",ROW()-3)</f>
        <v/>
      </c>
      <c r="B257" s="34"/>
      <c r="C257" s="12"/>
      <c r="D257" s="34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35"/>
      <c r="P257" s="24" t="str">
        <f aca="false">IF(K257="","",IFERROR(ABS(K257-L257)/IF(ISNUMBER(SEARCH("JPY",E257)),0.01,IF(ISNUMBER(SEARCH("XAU",E257)),0.01,IF(OR(ISNUMBER(SEARCH("30",E257)),ISNUMBER(SEARCH("500",E257)),ISNUMBER(SEARCH("100",E257))),1,0.0001))),0))</f>
        <v/>
      </c>
      <c r="Q257" s="27" t="str">
        <f aca="false">IF(K257="","",SETTINGS!$B$6*O257)</f>
        <v/>
      </c>
      <c r="R257" s="24" t="str">
        <f aca="false">IF(K257="","",IFERROR(Q257/(P257*IF(ISNUMBER(SEARCH("JPY",E257)),9.09,IF(ISNUMBER(SEARCH("XAU",E257)),1,IF(OR(ISNUMBER(SEARCH("30",E257)),ISNUMBER(SEARCH("500",E257)),ISNUMBER(SEARCH("100",E257))),1,10)))),0))</f>
        <v/>
      </c>
      <c r="S257" s="12"/>
      <c r="T257" s="36"/>
      <c r="U257" s="27" t="str">
        <f aca="false">IF(OR(S257="",T257=0),"",IFERROR((S257-K257)*IF(F257="Sell",-1,1)*R257*T257*IF(ISNUMBER(SEARCH("JPY",E257)),1000,IF(ISNUMBER(SEARCH("XAU",E257)),100,IF(OR(ISNUMBER(SEARCH("30",E257)),ISNUMBER(SEARCH("500",E257)),ISNUMBER(SEARCH("100",E257))),100,100000))),0))</f>
        <v/>
      </c>
      <c r="V257" s="12"/>
      <c r="W257" s="36"/>
      <c r="X257" s="27" t="str">
        <f aca="false">IF(OR(V257="",W257=0),"",IFERROR((V257-K257)*IF(F257="Sell",-1,1)*R257*W257*IF(ISNUMBER(SEARCH("JPY",E257)),1000,IF(ISNUMBER(SEARCH("XAU",E257)),100,IF(OR(ISNUMBER(SEARCH("30",E257)),ISNUMBER(SEARCH("500",E257)),ISNUMBER(SEARCH("100",E257))),100,100000))),0))</f>
        <v/>
      </c>
      <c r="Y257" s="12"/>
      <c r="Z257" s="36"/>
      <c r="AA257" s="27" t="str">
        <f aca="false">IF(OR(Y257="",Z257=0),"",IFERROR((Y257-K257)*IF(F257="Sell",-1,1)*R257*Z257*IF(ISNUMBER(SEARCH("JPY",E257)),1000,IF(ISNUMBER(SEARCH("XAU",E257)),100,IF(OR(ISNUMBER(SEARCH("30",E257)),ISNUMBER(SEARCH("500",E257)),ISNUMBER(SEARCH("100",E257))),100,100000))),0))</f>
        <v/>
      </c>
      <c r="AB257" s="12"/>
      <c r="AC257" s="29" t="str">
        <f aca="false">IF(K257="","",1-IFERROR(T257,0)-IFERROR(W257,0)-IFERROR(Z257,0))</f>
        <v/>
      </c>
      <c r="AD257" s="30" t="str">
        <f aca="false">IF(AB257="","",IFERROR((IFERROR(S257*T257,0)+IFERROR(V257*W257,0)+IFERROR(Y257*Z257,0)+AB257*AC257)/(IFERROR(T257,0)+IFERROR(W257,0)+IFERROR(Z257,0)+AC257),AB257))</f>
        <v/>
      </c>
      <c r="AE257" s="27" t="str">
        <f aca="false">IF(AB257="","",IF(U257="",0,U257)+IF(X257="",0,X257)+IF(AA257="",0,AA257)+IFERROR((AB257-K257)*IF(F257="Sell",-1,1)*R257*AC257*IF(ISNUMBER(SEARCH("JPY",E257)),1000,IF(ISNUMBER(SEARCH("XAU",E257)),100,IF(OR(ISNUMBER(SEARCH("30",E257)),ISNUMBER(SEARCH("500",E257)),ISNUMBER(SEARCH("100",E257))),100,100000))),0))</f>
        <v/>
      </c>
      <c r="AF257" s="31" t="str">
        <f aca="false">IF(OR(K257="",M257="",L257=""),"",IFERROR(ABS(M257-K257)/ABS(K257-L257),0))</f>
        <v/>
      </c>
      <c r="AG257" s="31" t="str">
        <f aca="false">IF(OR(AE257="",AE257=0,Q257=0,Q257=""),"",IFERROR(AE257/Q257,0))</f>
        <v/>
      </c>
      <c r="AH257" s="32" t="str">
        <f aca="false">IF(AB257="","Open",IF(AG257="","Open",IF(AG257&gt;0.1,"Win",IF(AG257&lt;-0.1,"Loss","Breakeven"))))</f>
        <v>Open</v>
      </c>
      <c r="AI257" s="33" t="str">
        <f aca="false">IF(OR(B257="",D257=""),"",D257-B257)</f>
        <v/>
      </c>
      <c r="AJ257" s="24" t="str">
        <f aca="false">IF(AD257="","",IFERROR((AD257-K257)*IF(F257="Sell",-1,1)/IF(ISNUMBER(SEARCH("JPY",E257)),0.01,IF(ISNUMBER(SEARCH("XAU",E257)),0.01,IF(OR(ISNUMBER(SEARCH("30",E257)),ISNUMBER(SEARCH("500",E257)),ISNUMBER(SEARCH("100",E257))),1,0.0001))),0))</f>
        <v/>
      </c>
      <c r="AK257" s="12"/>
      <c r="AL257" s="12"/>
      <c r="AM257" s="12"/>
      <c r="AN257" s="12"/>
      <c r="AO257" s="27" t="str">
        <f aca="false">IF(AE257="","",IFERROR(IF(AO256="",SETTINGS!$B$6,AO256),SETTINGS!$B$6)+IF(AE257="",0,AE257))</f>
        <v/>
      </c>
      <c r="AP257" s="2"/>
    </row>
    <row r="258" customFormat="false" ht="15" hidden="false" customHeight="false" outlineLevel="0" collapsed="false">
      <c r="A258" s="24" t="str">
        <f aca="false">IF(B258="","",ROW()-3)</f>
        <v/>
      </c>
      <c r="B258" s="25"/>
      <c r="C258" s="10"/>
      <c r="D258" s="25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26"/>
      <c r="P258" s="24" t="str">
        <f aca="false">IF(K258="","",IFERROR(ABS(K258-L258)/IF(ISNUMBER(SEARCH("JPY",E258)),0.01,IF(ISNUMBER(SEARCH("XAU",E258)),0.01,IF(OR(ISNUMBER(SEARCH("30",E258)),ISNUMBER(SEARCH("500",E258)),ISNUMBER(SEARCH("100",E258))),1,0.0001))),0))</f>
        <v/>
      </c>
      <c r="Q258" s="27" t="str">
        <f aca="false">IF(K258="","",SETTINGS!$B$6*O258)</f>
        <v/>
      </c>
      <c r="R258" s="24" t="str">
        <f aca="false">IF(K258="","",IFERROR(Q258/(P258*IF(ISNUMBER(SEARCH("JPY",E258)),9.09,IF(ISNUMBER(SEARCH("XAU",E258)),1,IF(OR(ISNUMBER(SEARCH("30",E258)),ISNUMBER(SEARCH("500",E258)),ISNUMBER(SEARCH("100",E258))),1,10)))),0))</f>
        <v/>
      </c>
      <c r="S258" s="10"/>
      <c r="T258" s="28"/>
      <c r="U258" s="27" t="str">
        <f aca="false">IF(OR(S258="",T258=0),"",IFERROR((S258-K258)*IF(F258="Sell",-1,1)*R258*T258*IF(ISNUMBER(SEARCH("JPY",E258)),1000,IF(ISNUMBER(SEARCH("XAU",E258)),100,IF(OR(ISNUMBER(SEARCH("30",E258)),ISNUMBER(SEARCH("500",E258)),ISNUMBER(SEARCH("100",E258))),100,100000))),0))</f>
        <v/>
      </c>
      <c r="V258" s="10"/>
      <c r="W258" s="28"/>
      <c r="X258" s="27" t="str">
        <f aca="false">IF(OR(V258="",W258=0),"",IFERROR((V258-K258)*IF(F258="Sell",-1,1)*R258*W258*IF(ISNUMBER(SEARCH("JPY",E258)),1000,IF(ISNUMBER(SEARCH("XAU",E258)),100,IF(OR(ISNUMBER(SEARCH("30",E258)),ISNUMBER(SEARCH("500",E258)),ISNUMBER(SEARCH("100",E258))),100,100000))),0))</f>
        <v/>
      </c>
      <c r="Y258" s="10"/>
      <c r="Z258" s="28"/>
      <c r="AA258" s="27" t="str">
        <f aca="false">IF(OR(Y258="",Z258=0),"",IFERROR((Y258-K258)*IF(F258="Sell",-1,1)*R258*Z258*IF(ISNUMBER(SEARCH("JPY",E258)),1000,IF(ISNUMBER(SEARCH("XAU",E258)),100,IF(OR(ISNUMBER(SEARCH("30",E258)),ISNUMBER(SEARCH("500",E258)),ISNUMBER(SEARCH("100",E258))),100,100000))),0))</f>
        <v/>
      </c>
      <c r="AB258" s="10"/>
      <c r="AC258" s="29" t="str">
        <f aca="false">IF(K258="","",1-IFERROR(T258,0)-IFERROR(W258,0)-IFERROR(Z258,0))</f>
        <v/>
      </c>
      <c r="AD258" s="30" t="str">
        <f aca="false">IF(AB258="","",IFERROR((IFERROR(S258*T258,0)+IFERROR(V258*W258,0)+IFERROR(Y258*Z258,0)+AB258*AC258)/(IFERROR(T258,0)+IFERROR(W258,0)+IFERROR(Z258,0)+AC258),AB258))</f>
        <v/>
      </c>
      <c r="AE258" s="27" t="str">
        <f aca="false">IF(AB258="","",IF(U258="",0,U258)+IF(X258="",0,X258)+IF(AA258="",0,AA258)+IFERROR((AB258-K258)*IF(F258="Sell",-1,1)*R258*AC258*IF(ISNUMBER(SEARCH("JPY",E258)),1000,IF(ISNUMBER(SEARCH("XAU",E258)),100,IF(OR(ISNUMBER(SEARCH("30",E258)),ISNUMBER(SEARCH("500",E258)),ISNUMBER(SEARCH("100",E258))),100,100000))),0))</f>
        <v/>
      </c>
      <c r="AF258" s="31" t="str">
        <f aca="false">IF(OR(K258="",M258="",L258=""),"",IFERROR(ABS(M258-K258)/ABS(K258-L258),0))</f>
        <v/>
      </c>
      <c r="AG258" s="31" t="str">
        <f aca="false">IF(OR(AE258="",AE258=0,Q258=0,Q258=""),"",IFERROR(AE258/Q258,0))</f>
        <v/>
      </c>
      <c r="AH258" s="32" t="str">
        <f aca="false">IF(AB258="","Open",IF(AG258="","Open",IF(AG258&gt;0.1,"Win",IF(AG258&lt;-0.1,"Loss","Breakeven"))))</f>
        <v>Open</v>
      </c>
      <c r="AI258" s="33" t="str">
        <f aca="false">IF(OR(B258="",D258=""),"",D258-B258)</f>
        <v/>
      </c>
      <c r="AJ258" s="24" t="str">
        <f aca="false">IF(AD258="","",IFERROR((AD258-K258)*IF(F258="Sell",-1,1)/IF(ISNUMBER(SEARCH("JPY",E258)),0.01,IF(ISNUMBER(SEARCH("XAU",E258)),0.01,IF(OR(ISNUMBER(SEARCH("30",E258)),ISNUMBER(SEARCH("500",E258)),ISNUMBER(SEARCH("100",E258))),1,0.0001))),0))</f>
        <v/>
      </c>
      <c r="AK258" s="10"/>
      <c r="AL258" s="10"/>
      <c r="AM258" s="10"/>
      <c r="AN258" s="10"/>
      <c r="AO258" s="27" t="str">
        <f aca="false">IF(AE258="","",IFERROR(IF(AO257="",SETTINGS!$B$6,AO257),SETTINGS!$B$6)+IF(AE258="",0,AE258))</f>
        <v/>
      </c>
      <c r="AP258" s="2"/>
    </row>
    <row r="259" customFormat="false" ht="15" hidden="false" customHeight="false" outlineLevel="0" collapsed="false">
      <c r="A259" s="24" t="str">
        <f aca="false">IF(B259="","",ROW()-3)</f>
        <v/>
      </c>
      <c r="B259" s="34"/>
      <c r="C259" s="12"/>
      <c r="D259" s="34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35"/>
      <c r="P259" s="24" t="str">
        <f aca="false">IF(K259="","",IFERROR(ABS(K259-L259)/IF(ISNUMBER(SEARCH("JPY",E259)),0.01,IF(ISNUMBER(SEARCH("XAU",E259)),0.01,IF(OR(ISNUMBER(SEARCH("30",E259)),ISNUMBER(SEARCH("500",E259)),ISNUMBER(SEARCH("100",E259))),1,0.0001))),0))</f>
        <v/>
      </c>
      <c r="Q259" s="27" t="str">
        <f aca="false">IF(K259="","",SETTINGS!$B$6*O259)</f>
        <v/>
      </c>
      <c r="R259" s="24" t="str">
        <f aca="false">IF(K259="","",IFERROR(Q259/(P259*IF(ISNUMBER(SEARCH("JPY",E259)),9.09,IF(ISNUMBER(SEARCH("XAU",E259)),1,IF(OR(ISNUMBER(SEARCH("30",E259)),ISNUMBER(SEARCH("500",E259)),ISNUMBER(SEARCH("100",E259))),1,10)))),0))</f>
        <v/>
      </c>
      <c r="S259" s="12"/>
      <c r="T259" s="36"/>
      <c r="U259" s="27" t="str">
        <f aca="false">IF(OR(S259="",T259=0),"",IFERROR((S259-K259)*IF(F259="Sell",-1,1)*R259*T259*IF(ISNUMBER(SEARCH("JPY",E259)),1000,IF(ISNUMBER(SEARCH("XAU",E259)),100,IF(OR(ISNUMBER(SEARCH("30",E259)),ISNUMBER(SEARCH("500",E259)),ISNUMBER(SEARCH("100",E259))),100,100000))),0))</f>
        <v/>
      </c>
      <c r="V259" s="12"/>
      <c r="W259" s="36"/>
      <c r="X259" s="27" t="str">
        <f aca="false">IF(OR(V259="",W259=0),"",IFERROR((V259-K259)*IF(F259="Sell",-1,1)*R259*W259*IF(ISNUMBER(SEARCH("JPY",E259)),1000,IF(ISNUMBER(SEARCH("XAU",E259)),100,IF(OR(ISNUMBER(SEARCH("30",E259)),ISNUMBER(SEARCH("500",E259)),ISNUMBER(SEARCH("100",E259))),100,100000))),0))</f>
        <v/>
      </c>
      <c r="Y259" s="12"/>
      <c r="Z259" s="36"/>
      <c r="AA259" s="27" t="str">
        <f aca="false">IF(OR(Y259="",Z259=0),"",IFERROR((Y259-K259)*IF(F259="Sell",-1,1)*R259*Z259*IF(ISNUMBER(SEARCH("JPY",E259)),1000,IF(ISNUMBER(SEARCH("XAU",E259)),100,IF(OR(ISNUMBER(SEARCH("30",E259)),ISNUMBER(SEARCH("500",E259)),ISNUMBER(SEARCH("100",E259))),100,100000))),0))</f>
        <v/>
      </c>
      <c r="AB259" s="12"/>
      <c r="AC259" s="29" t="str">
        <f aca="false">IF(K259="","",1-IFERROR(T259,0)-IFERROR(W259,0)-IFERROR(Z259,0))</f>
        <v/>
      </c>
      <c r="AD259" s="30" t="str">
        <f aca="false">IF(AB259="","",IFERROR((IFERROR(S259*T259,0)+IFERROR(V259*W259,0)+IFERROR(Y259*Z259,0)+AB259*AC259)/(IFERROR(T259,0)+IFERROR(W259,0)+IFERROR(Z259,0)+AC259),AB259))</f>
        <v/>
      </c>
      <c r="AE259" s="27" t="str">
        <f aca="false">IF(AB259="","",IF(U259="",0,U259)+IF(X259="",0,X259)+IF(AA259="",0,AA259)+IFERROR((AB259-K259)*IF(F259="Sell",-1,1)*R259*AC259*IF(ISNUMBER(SEARCH("JPY",E259)),1000,IF(ISNUMBER(SEARCH("XAU",E259)),100,IF(OR(ISNUMBER(SEARCH("30",E259)),ISNUMBER(SEARCH("500",E259)),ISNUMBER(SEARCH("100",E259))),100,100000))),0))</f>
        <v/>
      </c>
      <c r="AF259" s="31" t="str">
        <f aca="false">IF(OR(K259="",M259="",L259=""),"",IFERROR(ABS(M259-K259)/ABS(K259-L259),0))</f>
        <v/>
      </c>
      <c r="AG259" s="31" t="str">
        <f aca="false">IF(OR(AE259="",AE259=0,Q259=0,Q259=""),"",IFERROR(AE259/Q259,0))</f>
        <v/>
      </c>
      <c r="AH259" s="32" t="str">
        <f aca="false">IF(AB259="","Open",IF(AG259="","Open",IF(AG259&gt;0.1,"Win",IF(AG259&lt;-0.1,"Loss","Breakeven"))))</f>
        <v>Open</v>
      </c>
      <c r="AI259" s="33" t="str">
        <f aca="false">IF(OR(B259="",D259=""),"",D259-B259)</f>
        <v/>
      </c>
      <c r="AJ259" s="24" t="str">
        <f aca="false">IF(AD259="","",IFERROR((AD259-K259)*IF(F259="Sell",-1,1)/IF(ISNUMBER(SEARCH("JPY",E259)),0.01,IF(ISNUMBER(SEARCH("XAU",E259)),0.01,IF(OR(ISNUMBER(SEARCH("30",E259)),ISNUMBER(SEARCH("500",E259)),ISNUMBER(SEARCH("100",E259))),1,0.0001))),0))</f>
        <v/>
      </c>
      <c r="AK259" s="12"/>
      <c r="AL259" s="12"/>
      <c r="AM259" s="12"/>
      <c r="AN259" s="12"/>
      <c r="AO259" s="27" t="str">
        <f aca="false">IF(AE259="","",IFERROR(IF(AO258="",SETTINGS!$B$6,AO258),SETTINGS!$B$6)+IF(AE259="",0,AE259))</f>
        <v/>
      </c>
      <c r="AP259" s="2"/>
    </row>
    <row r="260" customFormat="false" ht="15" hidden="false" customHeight="false" outlineLevel="0" collapsed="false">
      <c r="A260" s="24" t="str">
        <f aca="false">IF(B260="","",ROW()-3)</f>
        <v/>
      </c>
      <c r="B260" s="25"/>
      <c r="C260" s="10"/>
      <c r="D260" s="25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26"/>
      <c r="P260" s="24" t="str">
        <f aca="false">IF(K260="","",IFERROR(ABS(K260-L260)/IF(ISNUMBER(SEARCH("JPY",E260)),0.01,IF(ISNUMBER(SEARCH("XAU",E260)),0.01,IF(OR(ISNUMBER(SEARCH("30",E260)),ISNUMBER(SEARCH("500",E260)),ISNUMBER(SEARCH("100",E260))),1,0.0001))),0))</f>
        <v/>
      </c>
      <c r="Q260" s="27" t="str">
        <f aca="false">IF(K260="","",SETTINGS!$B$6*O260)</f>
        <v/>
      </c>
      <c r="R260" s="24" t="str">
        <f aca="false">IF(K260="","",IFERROR(Q260/(P260*IF(ISNUMBER(SEARCH("JPY",E260)),9.09,IF(ISNUMBER(SEARCH("XAU",E260)),1,IF(OR(ISNUMBER(SEARCH("30",E260)),ISNUMBER(SEARCH("500",E260)),ISNUMBER(SEARCH("100",E260))),1,10)))),0))</f>
        <v/>
      </c>
      <c r="S260" s="10"/>
      <c r="T260" s="28"/>
      <c r="U260" s="27" t="str">
        <f aca="false">IF(OR(S260="",T260=0),"",IFERROR((S260-K260)*IF(F260="Sell",-1,1)*R260*T260*IF(ISNUMBER(SEARCH("JPY",E260)),1000,IF(ISNUMBER(SEARCH("XAU",E260)),100,IF(OR(ISNUMBER(SEARCH("30",E260)),ISNUMBER(SEARCH("500",E260)),ISNUMBER(SEARCH("100",E260))),100,100000))),0))</f>
        <v/>
      </c>
      <c r="V260" s="10"/>
      <c r="W260" s="28"/>
      <c r="X260" s="27" t="str">
        <f aca="false">IF(OR(V260="",W260=0),"",IFERROR((V260-K260)*IF(F260="Sell",-1,1)*R260*W260*IF(ISNUMBER(SEARCH("JPY",E260)),1000,IF(ISNUMBER(SEARCH("XAU",E260)),100,IF(OR(ISNUMBER(SEARCH("30",E260)),ISNUMBER(SEARCH("500",E260)),ISNUMBER(SEARCH("100",E260))),100,100000))),0))</f>
        <v/>
      </c>
      <c r="Y260" s="10"/>
      <c r="Z260" s="28"/>
      <c r="AA260" s="27" t="str">
        <f aca="false">IF(OR(Y260="",Z260=0),"",IFERROR((Y260-K260)*IF(F260="Sell",-1,1)*R260*Z260*IF(ISNUMBER(SEARCH("JPY",E260)),1000,IF(ISNUMBER(SEARCH("XAU",E260)),100,IF(OR(ISNUMBER(SEARCH("30",E260)),ISNUMBER(SEARCH("500",E260)),ISNUMBER(SEARCH("100",E260))),100,100000))),0))</f>
        <v/>
      </c>
      <c r="AB260" s="10"/>
      <c r="AC260" s="29" t="str">
        <f aca="false">IF(K260="","",1-IFERROR(T260,0)-IFERROR(W260,0)-IFERROR(Z260,0))</f>
        <v/>
      </c>
      <c r="AD260" s="30" t="str">
        <f aca="false">IF(AB260="","",IFERROR((IFERROR(S260*T260,0)+IFERROR(V260*W260,0)+IFERROR(Y260*Z260,0)+AB260*AC260)/(IFERROR(T260,0)+IFERROR(W260,0)+IFERROR(Z260,0)+AC260),AB260))</f>
        <v/>
      </c>
      <c r="AE260" s="27" t="str">
        <f aca="false">IF(AB260="","",IF(U260="",0,U260)+IF(X260="",0,X260)+IF(AA260="",0,AA260)+IFERROR((AB260-K260)*IF(F260="Sell",-1,1)*R260*AC260*IF(ISNUMBER(SEARCH("JPY",E260)),1000,IF(ISNUMBER(SEARCH("XAU",E260)),100,IF(OR(ISNUMBER(SEARCH("30",E260)),ISNUMBER(SEARCH("500",E260)),ISNUMBER(SEARCH("100",E260))),100,100000))),0))</f>
        <v/>
      </c>
      <c r="AF260" s="31" t="str">
        <f aca="false">IF(OR(K260="",M260="",L260=""),"",IFERROR(ABS(M260-K260)/ABS(K260-L260),0))</f>
        <v/>
      </c>
      <c r="AG260" s="31" t="str">
        <f aca="false">IF(OR(AE260="",AE260=0,Q260=0,Q260=""),"",IFERROR(AE260/Q260,0))</f>
        <v/>
      </c>
      <c r="AH260" s="32" t="str">
        <f aca="false">IF(AB260="","Open",IF(AG260="","Open",IF(AG260&gt;0.1,"Win",IF(AG260&lt;-0.1,"Loss","Breakeven"))))</f>
        <v>Open</v>
      </c>
      <c r="AI260" s="33" t="str">
        <f aca="false">IF(OR(B260="",D260=""),"",D260-B260)</f>
        <v/>
      </c>
      <c r="AJ260" s="24" t="str">
        <f aca="false">IF(AD260="","",IFERROR((AD260-K260)*IF(F260="Sell",-1,1)/IF(ISNUMBER(SEARCH("JPY",E260)),0.01,IF(ISNUMBER(SEARCH("XAU",E260)),0.01,IF(OR(ISNUMBER(SEARCH("30",E260)),ISNUMBER(SEARCH("500",E260)),ISNUMBER(SEARCH("100",E260))),1,0.0001))),0))</f>
        <v/>
      </c>
      <c r="AK260" s="10"/>
      <c r="AL260" s="10"/>
      <c r="AM260" s="10"/>
      <c r="AN260" s="10"/>
      <c r="AO260" s="27" t="str">
        <f aca="false">IF(AE260="","",IFERROR(IF(AO259="",SETTINGS!$B$6,AO259),SETTINGS!$B$6)+IF(AE260="",0,AE260))</f>
        <v/>
      </c>
      <c r="AP260" s="2"/>
    </row>
    <row r="261" customFormat="false" ht="15" hidden="false" customHeight="false" outlineLevel="0" collapsed="false">
      <c r="A261" s="24" t="str">
        <f aca="false">IF(B261="","",ROW()-3)</f>
        <v/>
      </c>
      <c r="B261" s="34"/>
      <c r="C261" s="12"/>
      <c r="D261" s="34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35"/>
      <c r="P261" s="24" t="str">
        <f aca="false">IF(K261="","",IFERROR(ABS(K261-L261)/IF(ISNUMBER(SEARCH("JPY",E261)),0.01,IF(ISNUMBER(SEARCH("XAU",E261)),0.01,IF(OR(ISNUMBER(SEARCH("30",E261)),ISNUMBER(SEARCH("500",E261)),ISNUMBER(SEARCH("100",E261))),1,0.0001))),0))</f>
        <v/>
      </c>
      <c r="Q261" s="27" t="str">
        <f aca="false">IF(K261="","",SETTINGS!$B$6*O261)</f>
        <v/>
      </c>
      <c r="R261" s="24" t="str">
        <f aca="false">IF(K261="","",IFERROR(Q261/(P261*IF(ISNUMBER(SEARCH("JPY",E261)),9.09,IF(ISNUMBER(SEARCH("XAU",E261)),1,IF(OR(ISNUMBER(SEARCH("30",E261)),ISNUMBER(SEARCH("500",E261)),ISNUMBER(SEARCH("100",E261))),1,10)))),0))</f>
        <v/>
      </c>
      <c r="S261" s="12"/>
      <c r="T261" s="36"/>
      <c r="U261" s="27" t="str">
        <f aca="false">IF(OR(S261="",T261=0),"",IFERROR((S261-K261)*IF(F261="Sell",-1,1)*R261*T261*IF(ISNUMBER(SEARCH("JPY",E261)),1000,IF(ISNUMBER(SEARCH("XAU",E261)),100,IF(OR(ISNUMBER(SEARCH("30",E261)),ISNUMBER(SEARCH("500",E261)),ISNUMBER(SEARCH("100",E261))),100,100000))),0))</f>
        <v/>
      </c>
      <c r="V261" s="12"/>
      <c r="W261" s="36"/>
      <c r="X261" s="27" t="str">
        <f aca="false">IF(OR(V261="",W261=0),"",IFERROR((V261-K261)*IF(F261="Sell",-1,1)*R261*W261*IF(ISNUMBER(SEARCH("JPY",E261)),1000,IF(ISNUMBER(SEARCH("XAU",E261)),100,IF(OR(ISNUMBER(SEARCH("30",E261)),ISNUMBER(SEARCH("500",E261)),ISNUMBER(SEARCH("100",E261))),100,100000))),0))</f>
        <v/>
      </c>
      <c r="Y261" s="12"/>
      <c r="Z261" s="36"/>
      <c r="AA261" s="27" t="str">
        <f aca="false">IF(OR(Y261="",Z261=0),"",IFERROR((Y261-K261)*IF(F261="Sell",-1,1)*R261*Z261*IF(ISNUMBER(SEARCH("JPY",E261)),1000,IF(ISNUMBER(SEARCH("XAU",E261)),100,IF(OR(ISNUMBER(SEARCH("30",E261)),ISNUMBER(SEARCH("500",E261)),ISNUMBER(SEARCH("100",E261))),100,100000))),0))</f>
        <v/>
      </c>
      <c r="AB261" s="12"/>
      <c r="AC261" s="29" t="str">
        <f aca="false">IF(K261="","",1-IFERROR(T261,0)-IFERROR(W261,0)-IFERROR(Z261,0))</f>
        <v/>
      </c>
      <c r="AD261" s="30" t="str">
        <f aca="false">IF(AB261="","",IFERROR((IFERROR(S261*T261,0)+IFERROR(V261*W261,0)+IFERROR(Y261*Z261,0)+AB261*AC261)/(IFERROR(T261,0)+IFERROR(W261,0)+IFERROR(Z261,0)+AC261),AB261))</f>
        <v/>
      </c>
      <c r="AE261" s="27" t="str">
        <f aca="false">IF(AB261="","",IF(U261="",0,U261)+IF(X261="",0,X261)+IF(AA261="",0,AA261)+IFERROR((AB261-K261)*IF(F261="Sell",-1,1)*R261*AC261*IF(ISNUMBER(SEARCH("JPY",E261)),1000,IF(ISNUMBER(SEARCH("XAU",E261)),100,IF(OR(ISNUMBER(SEARCH("30",E261)),ISNUMBER(SEARCH("500",E261)),ISNUMBER(SEARCH("100",E261))),100,100000))),0))</f>
        <v/>
      </c>
      <c r="AF261" s="31" t="str">
        <f aca="false">IF(OR(K261="",M261="",L261=""),"",IFERROR(ABS(M261-K261)/ABS(K261-L261),0))</f>
        <v/>
      </c>
      <c r="AG261" s="31" t="str">
        <f aca="false">IF(OR(AE261="",AE261=0,Q261=0,Q261=""),"",IFERROR(AE261/Q261,0))</f>
        <v/>
      </c>
      <c r="AH261" s="32" t="str">
        <f aca="false">IF(AB261="","Open",IF(AG261="","Open",IF(AG261&gt;0.1,"Win",IF(AG261&lt;-0.1,"Loss","Breakeven"))))</f>
        <v>Open</v>
      </c>
      <c r="AI261" s="33" t="str">
        <f aca="false">IF(OR(B261="",D261=""),"",D261-B261)</f>
        <v/>
      </c>
      <c r="AJ261" s="24" t="str">
        <f aca="false">IF(AD261="","",IFERROR((AD261-K261)*IF(F261="Sell",-1,1)/IF(ISNUMBER(SEARCH("JPY",E261)),0.01,IF(ISNUMBER(SEARCH("XAU",E261)),0.01,IF(OR(ISNUMBER(SEARCH("30",E261)),ISNUMBER(SEARCH("500",E261)),ISNUMBER(SEARCH("100",E261))),1,0.0001))),0))</f>
        <v/>
      </c>
      <c r="AK261" s="12"/>
      <c r="AL261" s="12"/>
      <c r="AM261" s="12"/>
      <c r="AN261" s="12"/>
      <c r="AO261" s="27" t="str">
        <f aca="false">IF(AE261="","",IFERROR(IF(AO260="",SETTINGS!$B$6,AO260),SETTINGS!$B$6)+IF(AE261="",0,AE261))</f>
        <v/>
      </c>
      <c r="AP261" s="2"/>
    </row>
    <row r="262" customFormat="false" ht="15" hidden="false" customHeight="false" outlineLevel="0" collapsed="false">
      <c r="A262" s="24" t="str">
        <f aca="false">IF(B262="","",ROW()-3)</f>
        <v/>
      </c>
      <c r="B262" s="25"/>
      <c r="C262" s="10"/>
      <c r="D262" s="25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6"/>
      <c r="P262" s="24" t="str">
        <f aca="false">IF(K262="","",IFERROR(ABS(K262-L262)/IF(ISNUMBER(SEARCH("JPY",E262)),0.01,IF(ISNUMBER(SEARCH("XAU",E262)),0.01,IF(OR(ISNUMBER(SEARCH("30",E262)),ISNUMBER(SEARCH("500",E262)),ISNUMBER(SEARCH("100",E262))),1,0.0001))),0))</f>
        <v/>
      </c>
      <c r="Q262" s="27" t="str">
        <f aca="false">IF(K262="","",SETTINGS!$B$6*O262)</f>
        <v/>
      </c>
      <c r="R262" s="24" t="str">
        <f aca="false">IF(K262="","",IFERROR(Q262/(P262*IF(ISNUMBER(SEARCH("JPY",E262)),9.09,IF(ISNUMBER(SEARCH("XAU",E262)),1,IF(OR(ISNUMBER(SEARCH("30",E262)),ISNUMBER(SEARCH("500",E262)),ISNUMBER(SEARCH("100",E262))),1,10)))),0))</f>
        <v/>
      </c>
      <c r="S262" s="10"/>
      <c r="T262" s="28"/>
      <c r="U262" s="27" t="str">
        <f aca="false">IF(OR(S262="",T262=0),"",IFERROR((S262-K262)*IF(F262="Sell",-1,1)*R262*T262*IF(ISNUMBER(SEARCH("JPY",E262)),1000,IF(ISNUMBER(SEARCH("XAU",E262)),100,IF(OR(ISNUMBER(SEARCH("30",E262)),ISNUMBER(SEARCH("500",E262)),ISNUMBER(SEARCH("100",E262))),100,100000))),0))</f>
        <v/>
      </c>
      <c r="V262" s="10"/>
      <c r="W262" s="28"/>
      <c r="X262" s="27" t="str">
        <f aca="false">IF(OR(V262="",W262=0),"",IFERROR((V262-K262)*IF(F262="Sell",-1,1)*R262*W262*IF(ISNUMBER(SEARCH("JPY",E262)),1000,IF(ISNUMBER(SEARCH("XAU",E262)),100,IF(OR(ISNUMBER(SEARCH("30",E262)),ISNUMBER(SEARCH("500",E262)),ISNUMBER(SEARCH("100",E262))),100,100000))),0))</f>
        <v/>
      </c>
      <c r="Y262" s="10"/>
      <c r="Z262" s="28"/>
      <c r="AA262" s="27" t="str">
        <f aca="false">IF(OR(Y262="",Z262=0),"",IFERROR((Y262-K262)*IF(F262="Sell",-1,1)*R262*Z262*IF(ISNUMBER(SEARCH("JPY",E262)),1000,IF(ISNUMBER(SEARCH("XAU",E262)),100,IF(OR(ISNUMBER(SEARCH("30",E262)),ISNUMBER(SEARCH("500",E262)),ISNUMBER(SEARCH("100",E262))),100,100000))),0))</f>
        <v/>
      </c>
      <c r="AB262" s="10"/>
      <c r="AC262" s="29" t="str">
        <f aca="false">IF(K262="","",1-IFERROR(T262,0)-IFERROR(W262,0)-IFERROR(Z262,0))</f>
        <v/>
      </c>
      <c r="AD262" s="30" t="str">
        <f aca="false">IF(AB262="","",IFERROR((IFERROR(S262*T262,0)+IFERROR(V262*W262,0)+IFERROR(Y262*Z262,0)+AB262*AC262)/(IFERROR(T262,0)+IFERROR(W262,0)+IFERROR(Z262,0)+AC262),AB262))</f>
        <v/>
      </c>
      <c r="AE262" s="27" t="str">
        <f aca="false">IF(AB262="","",IF(U262="",0,U262)+IF(X262="",0,X262)+IF(AA262="",0,AA262)+IFERROR((AB262-K262)*IF(F262="Sell",-1,1)*R262*AC262*IF(ISNUMBER(SEARCH("JPY",E262)),1000,IF(ISNUMBER(SEARCH("XAU",E262)),100,IF(OR(ISNUMBER(SEARCH("30",E262)),ISNUMBER(SEARCH("500",E262)),ISNUMBER(SEARCH("100",E262))),100,100000))),0))</f>
        <v/>
      </c>
      <c r="AF262" s="31" t="str">
        <f aca="false">IF(OR(K262="",M262="",L262=""),"",IFERROR(ABS(M262-K262)/ABS(K262-L262),0))</f>
        <v/>
      </c>
      <c r="AG262" s="31" t="str">
        <f aca="false">IF(OR(AE262="",AE262=0,Q262=0,Q262=""),"",IFERROR(AE262/Q262,0))</f>
        <v/>
      </c>
      <c r="AH262" s="32" t="str">
        <f aca="false">IF(AB262="","Open",IF(AG262="","Open",IF(AG262&gt;0.1,"Win",IF(AG262&lt;-0.1,"Loss","Breakeven"))))</f>
        <v>Open</v>
      </c>
      <c r="AI262" s="33" t="str">
        <f aca="false">IF(OR(B262="",D262=""),"",D262-B262)</f>
        <v/>
      </c>
      <c r="AJ262" s="24" t="str">
        <f aca="false">IF(AD262="","",IFERROR((AD262-K262)*IF(F262="Sell",-1,1)/IF(ISNUMBER(SEARCH("JPY",E262)),0.01,IF(ISNUMBER(SEARCH("XAU",E262)),0.01,IF(OR(ISNUMBER(SEARCH("30",E262)),ISNUMBER(SEARCH("500",E262)),ISNUMBER(SEARCH("100",E262))),1,0.0001))),0))</f>
        <v/>
      </c>
      <c r="AK262" s="10"/>
      <c r="AL262" s="10"/>
      <c r="AM262" s="10"/>
      <c r="AN262" s="10"/>
      <c r="AO262" s="27" t="str">
        <f aca="false">IF(AE262="","",IFERROR(IF(AO261="",SETTINGS!$B$6,AO261),SETTINGS!$B$6)+IF(AE262="",0,AE262))</f>
        <v/>
      </c>
      <c r="AP262" s="2"/>
    </row>
    <row r="263" customFormat="false" ht="15" hidden="false" customHeight="false" outlineLevel="0" collapsed="false">
      <c r="A263" s="24" t="str">
        <f aca="false">IF(B263="","",ROW()-3)</f>
        <v/>
      </c>
      <c r="B263" s="34"/>
      <c r="C263" s="12"/>
      <c r="D263" s="34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35"/>
      <c r="P263" s="24" t="str">
        <f aca="false">IF(K263="","",IFERROR(ABS(K263-L263)/IF(ISNUMBER(SEARCH("JPY",E263)),0.01,IF(ISNUMBER(SEARCH("XAU",E263)),0.01,IF(OR(ISNUMBER(SEARCH("30",E263)),ISNUMBER(SEARCH("500",E263)),ISNUMBER(SEARCH("100",E263))),1,0.0001))),0))</f>
        <v/>
      </c>
      <c r="Q263" s="27" t="str">
        <f aca="false">IF(K263="","",SETTINGS!$B$6*O263)</f>
        <v/>
      </c>
      <c r="R263" s="24" t="str">
        <f aca="false">IF(K263="","",IFERROR(Q263/(P263*IF(ISNUMBER(SEARCH("JPY",E263)),9.09,IF(ISNUMBER(SEARCH("XAU",E263)),1,IF(OR(ISNUMBER(SEARCH("30",E263)),ISNUMBER(SEARCH("500",E263)),ISNUMBER(SEARCH("100",E263))),1,10)))),0))</f>
        <v/>
      </c>
      <c r="S263" s="12"/>
      <c r="T263" s="36"/>
      <c r="U263" s="27" t="str">
        <f aca="false">IF(OR(S263="",T263=0),"",IFERROR((S263-K263)*IF(F263="Sell",-1,1)*R263*T263*IF(ISNUMBER(SEARCH("JPY",E263)),1000,IF(ISNUMBER(SEARCH("XAU",E263)),100,IF(OR(ISNUMBER(SEARCH("30",E263)),ISNUMBER(SEARCH("500",E263)),ISNUMBER(SEARCH("100",E263))),100,100000))),0))</f>
        <v/>
      </c>
      <c r="V263" s="12"/>
      <c r="W263" s="36"/>
      <c r="X263" s="27" t="str">
        <f aca="false">IF(OR(V263="",W263=0),"",IFERROR((V263-K263)*IF(F263="Sell",-1,1)*R263*W263*IF(ISNUMBER(SEARCH("JPY",E263)),1000,IF(ISNUMBER(SEARCH("XAU",E263)),100,IF(OR(ISNUMBER(SEARCH("30",E263)),ISNUMBER(SEARCH("500",E263)),ISNUMBER(SEARCH("100",E263))),100,100000))),0))</f>
        <v/>
      </c>
      <c r="Y263" s="12"/>
      <c r="Z263" s="36"/>
      <c r="AA263" s="27" t="str">
        <f aca="false">IF(OR(Y263="",Z263=0),"",IFERROR((Y263-K263)*IF(F263="Sell",-1,1)*R263*Z263*IF(ISNUMBER(SEARCH("JPY",E263)),1000,IF(ISNUMBER(SEARCH("XAU",E263)),100,IF(OR(ISNUMBER(SEARCH("30",E263)),ISNUMBER(SEARCH("500",E263)),ISNUMBER(SEARCH("100",E263))),100,100000))),0))</f>
        <v/>
      </c>
      <c r="AB263" s="12"/>
      <c r="AC263" s="29" t="str">
        <f aca="false">IF(K263="","",1-IFERROR(T263,0)-IFERROR(W263,0)-IFERROR(Z263,0))</f>
        <v/>
      </c>
      <c r="AD263" s="30" t="str">
        <f aca="false">IF(AB263="","",IFERROR((IFERROR(S263*T263,0)+IFERROR(V263*W263,0)+IFERROR(Y263*Z263,0)+AB263*AC263)/(IFERROR(T263,0)+IFERROR(W263,0)+IFERROR(Z263,0)+AC263),AB263))</f>
        <v/>
      </c>
      <c r="AE263" s="27" t="str">
        <f aca="false">IF(AB263="","",IF(U263="",0,U263)+IF(X263="",0,X263)+IF(AA263="",0,AA263)+IFERROR((AB263-K263)*IF(F263="Sell",-1,1)*R263*AC263*IF(ISNUMBER(SEARCH("JPY",E263)),1000,IF(ISNUMBER(SEARCH("XAU",E263)),100,IF(OR(ISNUMBER(SEARCH("30",E263)),ISNUMBER(SEARCH("500",E263)),ISNUMBER(SEARCH("100",E263))),100,100000))),0))</f>
        <v/>
      </c>
      <c r="AF263" s="31" t="str">
        <f aca="false">IF(OR(K263="",M263="",L263=""),"",IFERROR(ABS(M263-K263)/ABS(K263-L263),0))</f>
        <v/>
      </c>
      <c r="AG263" s="31" t="str">
        <f aca="false">IF(OR(AE263="",AE263=0,Q263=0,Q263=""),"",IFERROR(AE263/Q263,0))</f>
        <v/>
      </c>
      <c r="AH263" s="32" t="str">
        <f aca="false">IF(AB263="","Open",IF(AG263="","Open",IF(AG263&gt;0.1,"Win",IF(AG263&lt;-0.1,"Loss","Breakeven"))))</f>
        <v>Open</v>
      </c>
      <c r="AI263" s="33" t="str">
        <f aca="false">IF(OR(B263="",D263=""),"",D263-B263)</f>
        <v/>
      </c>
      <c r="AJ263" s="24" t="str">
        <f aca="false">IF(AD263="","",IFERROR((AD263-K263)*IF(F263="Sell",-1,1)/IF(ISNUMBER(SEARCH("JPY",E263)),0.01,IF(ISNUMBER(SEARCH("XAU",E263)),0.01,IF(OR(ISNUMBER(SEARCH("30",E263)),ISNUMBER(SEARCH("500",E263)),ISNUMBER(SEARCH("100",E263))),1,0.0001))),0))</f>
        <v/>
      </c>
      <c r="AK263" s="12"/>
      <c r="AL263" s="12"/>
      <c r="AM263" s="12"/>
      <c r="AN263" s="12"/>
      <c r="AO263" s="27" t="str">
        <f aca="false">IF(AE263="","",IFERROR(IF(AO262="",SETTINGS!$B$6,AO262),SETTINGS!$B$6)+IF(AE263="",0,AE263))</f>
        <v/>
      </c>
      <c r="AP263" s="2"/>
    </row>
    <row r="264" customFormat="false" ht="15" hidden="false" customHeight="false" outlineLevel="0" collapsed="false">
      <c r="A264" s="24" t="str">
        <f aca="false">IF(B264="","",ROW()-3)</f>
        <v/>
      </c>
      <c r="B264" s="25"/>
      <c r="C264" s="10"/>
      <c r="D264" s="25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26"/>
      <c r="P264" s="24" t="str">
        <f aca="false">IF(K264="","",IFERROR(ABS(K264-L264)/IF(ISNUMBER(SEARCH("JPY",E264)),0.01,IF(ISNUMBER(SEARCH("XAU",E264)),0.01,IF(OR(ISNUMBER(SEARCH("30",E264)),ISNUMBER(SEARCH("500",E264)),ISNUMBER(SEARCH("100",E264))),1,0.0001))),0))</f>
        <v/>
      </c>
      <c r="Q264" s="27" t="str">
        <f aca="false">IF(K264="","",SETTINGS!$B$6*O264)</f>
        <v/>
      </c>
      <c r="R264" s="24" t="str">
        <f aca="false">IF(K264="","",IFERROR(Q264/(P264*IF(ISNUMBER(SEARCH("JPY",E264)),9.09,IF(ISNUMBER(SEARCH("XAU",E264)),1,IF(OR(ISNUMBER(SEARCH("30",E264)),ISNUMBER(SEARCH("500",E264)),ISNUMBER(SEARCH("100",E264))),1,10)))),0))</f>
        <v/>
      </c>
      <c r="S264" s="10"/>
      <c r="T264" s="28"/>
      <c r="U264" s="27" t="str">
        <f aca="false">IF(OR(S264="",T264=0),"",IFERROR((S264-K264)*IF(F264="Sell",-1,1)*R264*T264*IF(ISNUMBER(SEARCH("JPY",E264)),1000,IF(ISNUMBER(SEARCH("XAU",E264)),100,IF(OR(ISNUMBER(SEARCH("30",E264)),ISNUMBER(SEARCH("500",E264)),ISNUMBER(SEARCH("100",E264))),100,100000))),0))</f>
        <v/>
      </c>
      <c r="V264" s="10"/>
      <c r="W264" s="28"/>
      <c r="X264" s="27" t="str">
        <f aca="false">IF(OR(V264="",W264=0),"",IFERROR((V264-K264)*IF(F264="Sell",-1,1)*R264*W264*IF(ISNUMBER(SEARCH("JPY",E264)),1000,IF(ISNUMBER(SEARCH("XAU",E264)),100,IF(OR(ISNUMBER(SEARCH("30",E264)),ISNUMBER(SEARCH("500",E264)),ISNUMBER(SEARCH("100",E264))),100,100000))),0))</f>
        <v/>
      </c>
      <c r="Y264" s="10"/>
      <c r="Z264" s="28"/>
      <c r="AA264" s="27" t="str">
        <f aca="false">IF(OR(Y264="",Z264=0),"",IFERROR((Y264-K264)*IF(F264="Sell",-1,1)*R264*Z264*IF(ISNUMBER(SEARCH("JPY",E264)),1000,IF(ISNUMBER(SEARCH("XAU",E264)),100,IF(OR(ISNUMBER(SEARCH("30",E264)),ISNUMBER(SEARCH("500",E264)),ISNUMBER(SEARCH("100",E264))),100,100000))),0))</f>
        <v/>
      </c>
      <c r="AB264" s="10"/>
      <c r="AC264" s="29" t="str">
        <f aca="false">IF(K264="","",1-IFERROR(T264,0)-IFERROR(W264,0)-IFERROR(Z264,0))</f>
        <v/>
      </c>
      <c r="AD264" s="30" t="str">
        <f aca="false">IF(AB264="","",IFERROR((IFERROR(S264*T264,0)+IFERROR(V264*W264,0)+IFERROR(Y264*Z264,0)+AB264*AC264)/(IFERROR(T264,0)+IFERROR(W264,0)+IFERROR(Z264,0)+AC264),AB264))</f>
        <v/>
      </c>
      <c r="AE264" s="27" t="str">
        <f aca="false">IF(AB264="","",IF(U264="",0,U264)+IF(X264="",0,X264)+IF(AA264="",0,AA264)+IFERROR((AB264-K264)*IF(F264="Sell",-1,1)*R264*AC264*IF(ISNUMBER(SEARCH("JPY",E264)),1000,IF(ISNUMBER(SEARCH("XAU",E264)),100,IF(OR(ISNUMBER(SEARCH("30",E264)),ISNUMBER(SEARCH("500",E264)),ISNUMBER(SEARCH("100",E264))),100,100000))),0))</f>
        <v/>
      </c>
      <c r="AF264" s="31" t="str">
        <f aca="false">IF(OR(K264="",M264="",L264=""),"",IFERROR(ABS(M264-K264)/ABS(K264-L264),0))</f>
        <v/>
      </c>
      <c r="AG264" s="31" t="str">
        <f aca="false">IF(OR(AE264="",AE264=0,Q264=0,Q264=""),"",IFERROR(AE264/Q264,0))</f>
        <v/>
      </c>
      <c r="AH264" s="32" t="str">
        <f aca="false">IF(AB264="","Open",IF(AG264="","Open",IF(AG264&gt;0.1,"Win",IF(AG264&lt;-0.1,"Loss","Breakeven"))))</f>
        <v>Open</v>
      </c>
      <c r="AI264" s="33" t="str">
        <f aca="false">IF(OR(B264="",D264=""),"",D264-B264)</f>
        <v/>
      </c>
      <c r="AJ264" s="24" t="str">
        <f aca="false">IF(AD264="","",IFERROR((AD264-K264)*IF(F264="Sell",-1,1)/IF(ISNUMBER(SEARCH("JPY",E264)),0.01,IF(ISNUMBER(SEARCH("XAU",E264)),0.01,IF(OR(ISNUMBER(SEARCH("30",E264)),ISNUMBER(SEARCH("500",E264)),ISNUMBER(SEARCH("100",E264))),1,0.0001))),0))</f>
        <v/>
      </c>
      <c r="AK264" s="10"/>
      <c r="AL264" s="10"/>
      <c r="AM264" s="10"/>
      <c r="AN264" s="10"/>
      <c r="AO264" s="27" t="str">
        <f aca="false">IF(AE264="","",IFERROR(IF(AO263="",SETTINGS!$B$6,AO263),SETTINGS!$B$6)+IF(AE264="",0,AE264))</f>
        <v/>
      </c>
      <c r="AP264" s="2"/>
    </row>
    <row r="265" customFormat="false" ht="15" hidden="false" customHeight="false" outlineLevel="0" collapsed="false">
      <c r="A265" s="24" t="str">
        <f aca="false">IF(B265="","",ROW()-3)</f>
        <v/>
      </c>
      <c r="B265" s="34"/>
      <c r="C265" s="12"/>
      <c r="D265" s="34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35"/>
      <c r="P265" s="24" t="str">
        <f aca="false">IF(K265="","",IFERROR(ABS(K265-L265)/IF(ISNUMBER(SEARCH("JPY",E265)),0.01,IF(ISNUMBER(SEARCH("XAU",E265)),0.01,IF(OR(ISNUMBER(SEARCH("30",E265)),ISNUMBER(SEARCH("500",E265)),ISNUMBER(SEARCH("100",E265))),1,0.0001))),0))</f>
        <v/>
      </c>
      <c r="Q265" s="27" t="str">
        <f aca="false">IF(K265="","",SETTINGS!$B$6*O265)</f>
        <v/>
      </c>
      <c r="R265" s="24" t="str">
        <f aca="false">IF(K265="","",IFERROR(Q265/(P265*IF(ISNUMBER(SEARCH("JPY",E265)),9.09,IF(ISNUMBER(SEARCH("XAU",E265)),1,IF(OR(ISNUMBER(SEARCH("30",E265)),ISNUMBER(SEARCH("500",E265)),ISNUMBER(SEARCH("100",E265))),1,10)))),0))</f>
        <v/>
      </c>
      <c r="S265" s="12"/>
      <c r="T265" s="36"/>
      <c r="U265" s="27" t="str">
        <f aca="false">IF(OR(S265="",T265=0),"",IFERROR((S265-K265)*IF(F265="Sell",-1,1)*R265*T265*IF(ISNUMBER(SEARCH("JPY",E265)),1000,IF(ISNUMBER(SEARCH("XAU",E265)),100,IF(OR(ISNUMBER(SEARCH("30",E265)),ISNUMBER(SEARCH("500",E265)),ISNUMBER(SEARCH("100",E265))),100,100000))),0))</f>
        <v/>
      </c>
      <c r="V265" s="12"/>
      <c r="W265" s="36"/>
      <c r="X265" s="27" t="str">
        <f aca="false">IF(OR(V265="",W265=0),"",IFERROR((V265-K265)*IF(F265="Sell",-1,1)*R265*W265*IF(ISNUMBER(SEARCH("JPY",E265)),1000,IF(ISNUMBER(SEARCH("XAU",E265)),100,IF(OR(ISNUMBER(SEARCH("30",E265)),ISNUMBER(SEARCH("500",E265)),ISNUMBER(SEARCH("100",E265))),100,100000))),0))</f>
        <v/>
      </c>
      <c r="Y265" s="12"/>
      <c r="Z265" s="36"/>
      <c r="AA265" s="27" t="str">
        <f aca="false">IF(OR(Y265="",Z265=0),"",IFERROR((Y265-K265)*IF(F265="Sell",-1,1)*R265*Z265*IF(ISNUMBER(SEARCH("JPY",E265)),1000,IF(ISNUMBER(SEARCH("XAU",E265)),100,IF(OR(ISNUMBER(SEARCH("30",E265)),ISNUMBER(SEARCH("500",E265)),ISNUMBER(SEARCH("100",E265))),100,100000))),0))</f>
        <v/>
      </c>
      <c r="AB265" s="12"/>
      <c r="AC265" s="29" t="str">
        <f aca="false">IF(K265="","",1-IFERROR(T265,0)-IFERROR(W265,0)-IFERROR(Z265,0))</f>
        <v/>
      </c>
      <c r="AD265" s="30" t="str">
        <f aca="false">IF(AB265="","",IFERROR((IFERROR(S265*T265,0)+IFERROR(V265*W265,0)+IFERROR(Y265*Z265,0)+AB265*AC265)/(IFERROR(T265,0)+IFERROR(W265,0)+IFERROR(Z265,0)+AC265),AB265))</f>
        <v/>
      </c>
      <c r="AE265" s="27" t="str">
        <f aca="false">IF(AB265="","",IF(U265="",0,U265)+IF(X265="",0,X265)+IF(AA265="",0,AA265)+IFERROR((AB265-K265)*IF(F265="Sell",-1,1)*R265*AC265*IF(ISNUMBER(SEARCH("JPY",E265)),1000,IF(ISNUMBER(SEARCH("XAU",E265)),100,IF(OR(ISNUMBER(SEARCH("30",E265)),ISNUMBER(SEARCH("500",E265)),ISNUMBER(SEARCH("100",E265))),100,100000))),0))</f>
        <v/>
      </c>
      <c r="AF265" s="31" t="str">
        <f aca="false">IF(OR(K265="",M265="",L265=""),"",IFERROR(ABS(M265-K265)/ABS(K265-L265),0))</f>
        <v/>
      </c>
      <c r="AG265" s="31" t="str">
        <f aca="false">IF(OR(AE265="",AE265=0,Q265=0,Q265=""),"",IFERROR(AE265/Q265,0))</f>
        <v/>
      </c>
      <c r="AH265" s="32" t="str">
        <f aca="false">IF(AB265="","Open",IF(AG265="","Open",IF(AG265&gt;0.1,"Win",IF(AG265&lt;-0.1,"Loss","Breakeven"))))</f>
        <v>Open</v>
      </c>
      <c r="AI265" s="33" t="str">
        <f aca="false">IF(OR(B265="",D265=""),"",D265-B265)</f>
        <v/>
      </c>
      <c r="AJ265" s="24" t="str">
        <f aca="false">IF(AD265="","",IFERROR((AD265-K265)*IF(F265="Sell",-1,1)/IF(ISNUMBER(SEARCH("JPY",E265)),0.01,IF(ISNUMBER(SEARCH("XAU",E265)),0.01,IF(OR(ISNUMBER(SEARCH("30",E265)),ISNUMBER(SEARCH("500",E265)),ISNUMBER(SEARCH("100",E265))),1,0.0001))),0))</f>
        <v/>
      </c>
      <c r="AK265" s="12"/>
      <c r="AL265" s="12"/>
      <c r="AM265" s="12"/>
      <c r="AN265" s="12"/>
      <c r="AO265" s="27" t="str">
        <f aca="false">IF(AE265="","",IFERROR(IF(AO264="",SETTINGS!$B$6,AO264),SETTINGS!$B$6)+IF(AE265="",0,AE265))</f>
        <v/>
      </c>
      <c r="AP265" s="2"/>
    </row>
    <row r="266" customFormat="false" ht="15" hidden="false" customHeight="false" outlineLevel="0" collapsed="false">
      <c r="A266" s="24" t="str">
        <f aca="false">IF(B266="","",ROW()-3)</f>
        <v/>
      </c>
      <c r="B266" s="25"/>
      <c r="C266" s="10"/>
      <c r="D266" s="25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26"/>
      <c r="P266" s="24" t="str">
        <f aca="false">IF(K266="","",IFERROR(ABS(K266-L266)/IF(ISNUMBER(SEARCH("JPY",E266)),0.01,IF(ISNUMBER(SEARCH("XAU",E266)),0.01,IF(OR(ISNUMBER(SEARCH("30",E266)),ISNUMBER(SEARCH("500",E266)),ISNUMBER(SEARCH("100",E266))),1,0.0001))),0))</f>
        <v/>
      </c>
      <c r="Q266" s="27" t="str">
        <f aca="false">IF(K266="","",SETTINGS!$B$6*O266)</f>
        <v/>
      </c>
      <c r="R266" s="24" t="str">
        <f aca="false">IF(K266="","",IFERROR(Q266/(P266*IF(ISNUMBER(SEARCH("JPY",E266)),9.09,IF(ISNUMBER(SEARCH("XAU",E266)),1,IF(OR(ISNUMBER(SEARCH("30",E266)),ISNUMBER(SEARCH("500",E266)),ISNUMBER(SEARCH("100",E266))),1,10)))),0))</f>
        <v/>
      </c>
      <c r="S266" s="10"/>
      <c r="T266" s="28"/>
      <c r="U266" s="27" t="str">
        <f aca="false">IF(OR(S266="",T266=0),"",IFERROR((S266-K266)*IF(F266="Sell",-1,1)*R266*T266*IF(ISNUMBER(SEARCH("JPY",E266)),1000,IF(ISNUMBER(SEARCH("XAU",E266)),100,IF(OR(ISNUMBER(SEARCH("30",E266)),ISNUMBER(SEARCH("500",E266)),ISNUMBER(SEARCH("100",E266))),100,100000))),0))</f>
        <v/>
      </c>
      <c r="V266" s="10"/>
      <c r="W266" s="28"/>
      <c r="X266" s="27" t="str">
        <f aca="false">IF(OR(V266="",W266=0),"",IFERROR((V266-K266)*IF(F266="Sell",-1,1)*R266*W266*IF(ISNUMBER(SEARCH("JPY",E266)),1000,IF(ISNUMBER(SEARCH("XAU",E266)),100,IF(OR(ISNUMBER(SEARCH("30",E266)),ISNUMBER(SEARCH("500",E266)),ISNUMBER(SEARCH("100",E266))),100,100000))),0))</f>
        <v/>
      </c>
      <c r="Y266" s="10"/>
      <c r="Z266" s="28"/>
      <c r="AA266" s="27" t="str">
        <f aca="false">IF(OR(Y266="",Z266=0),"",IFERROR((Y266-K266)*IF(F266="Sell",-1,1)*R266*Z266*IF(ISNUMBER(SEARCH("JPY",E266)),1000,IF(ISNUMBER(SEARCH("XAU",E266)),100,IF(OR(ISNUMBER(SEARCH("30",E266)),ISNUMBER(SEARCH("500",E266)),ISNUMBER(SEARCH("100",E266))),100,100000))),0))</f>
        <v/>
      </c>
      <c r="AB266" s="10"/>
      <c r="AC266" s="29" t="str">
        <f aca="false">IF(K266="","",1-IFERROR(T266,0)-IFERROR(W266,0)-IFERROR(Z266,0))</f>
        <v/>
      </c>
      <c r="AD266" s="30" t="str">
        <f aca="false">IF(AB266="","",IFERROR((IFERROR(S266*T266,0)+IFERROR(V266*W266,0)+IFERROR(Y266*Z266,0)+AB266*AC266)/(IFERROR(T266,0)+IFERROR(W266,0)+IFERROR(Z266,0)+AC266),AB266))</f>
        <v/>
      </c>
      <c r="AE266" s="27" t="str">
        <f aca="false">IF(AB266="","",IF(U266="",0,U266)+IF(X266="",0,X266)+IF(AA266="",0,AA266)+IFERROR((AB266-K266)*IF(F266="Sell",-1,1)*R266*AC266*IF(ISNUMBER(SEARCH("JPY",E266)),1000,IF(ISNUMBER(SEARCH("XAU",E266)),100,IF(OR(ISNUMBER(SEARCH("30",E266)),ISNUMBER(SEARCH("500",E266)),ISNUMBER(SEARCH("100",E266))),100,100000))),0))</f>
        <v/>
      </c>
      <c r="AF266" s="31" t="str">
        <f aca="false">IF(OR(K266="",M266="",L266=""),"",IFERROR(ABS(M266-K266)/ABS(K266-L266),0))</f>
        <v/>
      </c>
      <c r="AG266" s="31" t="str">
        <f aca="false">IF(OR(AE266="",AE266=0,Q266=0,Q266=""),"",IFERROR(AE266/Q266,0))</f>
        <v/>
      </c>
      <c r="AH266" s="32" t="str">
        <f aca="false">IF(AB266="","Open",IF(AG266="","Open",IF(AG266&gt;0.1,"Win",IF(AG266&lt;-0.1,"Loss","Breakeven"))))</f>
        <v>Open</v>
      </c>
      <c r="AI266" s="33" t="str">
        <f aca="false">IF(OR(B266="",D266=""),"",D266-B266)</f>
        <v/>
      </c>
      <c r="AJ266" s="24" t="str">
        <f aca="false">IF(AD266="","",IFERROR((AD266-K266)*IF(F266="Sell",-1,1)/IF(ISNUMBER(SEARCH("JPY",E266)),0.01,IF(ISNUMBER(SEARCH("XAU",E266)),0.01,IF(OR(ISNUMBER(SEARCH("30",E266)),ISNUMBER(SEARCH("500",E266)),ISNUMBER(SEARCH("100",E266))),1,0.0001))),0))</f>
        <v/>
      </c>
      <c r="AK266" s="10"/>
      <c r="AL266" s="10"/>
      <c r="AM266" s="10"/>
      <c r="AN266" s="10"/>
      <c r="AO266" s="27" t="str">
        <f aca="false">IF(AE266="","",IFERROR(IF(AO265="",SETTINGS!$B$6,AO265),SETTINGS!$B$6)+IF(AE266="",0,AE266))</f>
        <v/>
      </c>
      <c r="AP266" s="2"/>
    </row>
    <row r="267" customFormat="false" ht="15" hidden="false" customHeight="false" outlineLevel="0" collapsed="false">
      <c r="A267" s="24" t="str">
        <f aca="false">IF(B267="","",ROW()-3)</f>
        <v/>
      </c>
      <c r="B267" s="34"/>
      <c r="C267" s="12"/>
      <c r="D267" s="34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35"/>
      <c r="P267" s="24" t="str">
        <f aca="false">IF(K267="","",IFERROR(ABS(K267-L267)/IF(ISNUMBER(SEARCH("JPY",E267)),0.01,IF(ISNUMBER(SEARCH("XAU",E267)),0.01,IF(OR(ISNUMBER(SEARCH("30",E267)),ISNUMBER(SEARCH("500",E267)),ISNUMBER(SEARCH("100",E267))),1,0.0001))),0))</f>
        <v/>
      </c>
      <c r="Q267" s="27" t="str">
        <f aca="false">IF(K267="","",SETTINGS!$B$6*O267)</f>
        <v/>
      </c>
      <c r="R267" s="24" t="str">
        <f aca="false">IF(K267="","",IFERROR(Q267/(P267*IF(ISNUMBER(SEARCH("JPY",E267)),9.09,IF(ISNUMBER(SEARCH("XAU",E267)),1,IF(OR(ISNUMBER(SEARCH("30",E267)),ISNUMBER(SEARCH("500",E267)),ISNUMBER(SEARCH("100",E267))),1,10)))),0))</f>
        <v/>
      </c>
      <c r="S267" s="12"/>
      <c r="T267" s="36"/>
      <c r="U267" s="27" t="str">
        <f aca="false">IF(OR(S267="",T267=0),"",IFERROR((S267-K267)*IF(F267="Sell",-1,1)*R267*T267*IF(ISNUMBER(SEARCH("JPY",E267)),1000,IF(ISNUMBER(SEARCH("XAU",E267)),100,IF(OR(ISNUMBER(SEARCH("30",E267)),ISNUMBER(SEARCH("500",E267)),ISNUMBER(SEARCH("100",E267))),100,100000))),0))</f>
        <v/>
      </c>
      <c r="V267" s="12"/>
      <c r="W267" s="36"/>
      <c r="X267" s="27" t="str">
        <f aca="false">IF(OR(V267="",W267=0),"",IFERROR((V267-K267)*IF(F267="Sell",-1,1)*R267*W267*IF(ISNUMBER(SEARCH("JPY",E267)),1000,IF(ISNUMBER(SEARCH("XAU",E267)),100,IF(OR(ISNUMBER(SEARCH("30",E267)),ISNUMBER(SEARCH("500",E267)),ISNUMBER(SEARCH("100",E267))),100,100000))),0))</f>
        <v/>
      </c>
      <c r="Y267" s="12"/>
      <c r="Z267" s="36"/>
      <c r="AA267" s="27" t="str">
        <f aca="false">IF(OR(Y267="",Z267=0),"",IFERROR((Y267-K267)*IF(F267="Sell",-1,1)*R267*Z267*IF(ISNUMBER(SEARCH("JPY",E267)),1000,IF(ISNUMBER(SEARCH("XAU",E267)),100,IF(OR(ISNUMBER(SEARCH("30",E267)),ISNUMBER(SEARCH("500",E267)),ISNUMBER(SEARCH("100",E267))),100,100000))),0))</f>
        <v/>
      </c>
      <c r="AB267" s="12"/>
      <c r="AC267" s="29" t="str">
        <f aca="false">IF(K267="","",1-IFERROR(T267,0)-IFERROR(W267,0)-IFERROR(Z267,0))</f>
        <v/>
      </c>
      <c r="AD267" s="30" t="str">
        <f aca="false">IF(AB267="","",IFERROR((IFERROR(S267*T267,0)+IFERROR(V267*W267,0)+IFERROR(Y267*Z267,0)+AB267*AC267)/(IFERROR(T267,0)+IFERROR(W267,0)+IFERROR(Z267,0)+AC267),AB267))</f>
        <v/>
      </c>
      <c r="AE267" s="27" t="str">
        <f aca="false">IF(AB267="","",IF(U267="",0,U267)+IF(X267="",0,X267)+IF(AA267="",0,AA267)+IFERROR((AB267-K267)*IF(F267="Sell",-1,1)*R267*AC267*IF(ISNUMBER(SEARCH("JPY",E267)),1000,IF(ISNUMBER(SEARCH("XAU",E267)),100,IF(OR(ISNUMBER(SEARCH("30",E267)),ISNUMBER(SEARCH("500",E267)),ISNUMBER(SEARCH("100",E267))),100,100000))),0))</f>
        <v/>
      </c>
      <c r="AF267" s="31" t="str">
        <f aca="false">IF(OR(K267="",M267="",L267=""),"",IFERROR(ABS(M267-K267)/ABS(K267-L267),0))</f>
        <v/>
      </c>
      <c r="AG267" s="31" t="str">
        <f aca="false">IF(OR(AE267="",AE267=0,Q267=0,Q267=""),"",IFERROR(AE267/Q267,0))</f>
        <v/>
      </c>
      <c r="AH267" s="32" t="str">
        <f aca="false">IF(AB267="","Open",IF(AG267="","Open",IF(AG267&gt;0.1,"Win",IF(AG267&lt;-0.1,"Loss","Breakeven"))))</f>
        <v>Open</v>
      </c>
      <c r="AI267" s="33" t="str">
        <f aca="false">IF(OR(B267="",D267=""),"",D267-B267)</f>
        <v/>
      </c>
      <c r="AJ267" s="24" t="str">
        <f aca="false">IF(AD267="","",IFERROR((AD267-K267)*IF(F267="Sell",-1,1)/IF(ISNUMBER(SEARCH("JPY",E267)),0.01,IF(ISNUMBER(SEARCH("XAU",E267)),0.01,IF(OR(ISNUMBER(SEARCH("30",E267)),ISNUMBER(SEARCH("500",E267)),ISNUMBER(SEARCH("100",E267))),1,0.0001))),0))</f>
        <v/>
      </c>
      <c r="AK267" s="12"/>
      <c r="AL267" s="12"/>
      <c r="AM267" s="12"/>
      <c r="AN267" s="12"/>
      <c r="AO267" s="27" t="str">
        <f aca="false">IF(AE267="","",IFERROR(IF(AO266="",SETTINGS!$B$6,AO266),SETTINGS!$B$6)+IF(AE267="",0,AE267))</f>
        <v/>
      </c>
      <c r="AP267" s="2"/>
    </row>
    <row r="268" customFormat="false" ht="15" hidden="false" customHeight="false" outlineLevel="0" collapsed="false">
      <c r="A268" s="24" t="str">
        <f aca="false">IF(B268="","",ROW()-3)</f>
        <v/>
      </c>
      <c r="B268" s="25"/>
      <c r="C268" s="10"/>
      <c r="D268" s="25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26"/>
      <c r="P268" s="24" t="str">
        <f aca="false">IF(K268="","",IFERROR(ABS(K268-L268)/IF(ISNUMBER(SEARCH("JPY",E268)),0.01,IF(ISNUMBER(SEARCH("XAU",E268)),0.01,IF(OR(ISNUMBER(SEARCH("30",E268)),ISNUMBER(SEARCH("500",E268)),ISNUMBER(SEARCH("100",E268))),1,0.0001))),0))</f>
        <v/>
      </c>
      <c r="Q268" s="27" t="str">
        <f aca="false">IF(K268="","",SETTINGS!$B$6*O268)</f>
        <v/>
      </c>
      <c r="R268" s="24" t="str">
        <f aca="false">IF(K268="","",IFERROR(Q268/(P268*IF(ISNUMBER(SEARCH("JPY",E268)),9.09,IF(ISNUMBER(SEARCH("XAU",E268)),1,IF(OR(ISNUMBER(SEARCH("30",E268)),ISNUMBER(SEARCH("500",E268)),ISNUMBER(SEARCH("100",E268))),1,10)))),0))</f>
        <v/>
      </c>
      <c r="S268" s="10"/>
      <c r="T268" s="28"/>
      <c r="U268" s="27" t="str">
        <f aca="false">IF(OR(S268="",T268=0),"",IFERROR((S268-K268)*IF(F268="Sell",-1,1)*R268*T268*IF(ISNUMBER(SEARCH("JPY",E268)),1000,IF(ISNUMBER(SEARCH("XAU",E268)),100,IF(OR(ISNUMBER(SEARCH("30",E268)),ISNUMBER(SEARCH("500",E268)),ISNUMBER(SEARCH("100",E268))),100,100000))),0))</f>
        <v/>
      </c>
      <c r="V268" s="10"/>
      <c r="W268" s="28"/>
      <c r="X268" s="27" t="str">
        <f aca="false">IF(OR(V268="",W268=0),"",IFERROR((V268-K268)*IF(F268="Sell",-1,1)*R268*W268*IF(ISNUMBER(SEARCH("JPY",E268)),1000,IF(ISNUMBER(SEARCH("XAU",E268)),100,IF(OR(ISNUMBER(SEARCH("30",E268)),ISNUMBER(SEARCH("500",E268)),ISNUMBER(SEARCH("100",E268))),100,100000))),0))</f>
        <v/>
      </c>
      <c r="Y268" s="10"/>
      <c r="Z268" s="28"/>
      <c r="AA268" s="27" t="str">
        <f aca="false">IF(OR(Y268="",Z268=0),"",IFERROR((Y268-K268)*IF(F268="Sell",-1,1)*R268*Z268*IF(ISNUMBER(SEARCH("JPY",E268)),1000,IF(ISNUMBER(SEARCH("XAU",E268)),100,IF(OR(ISNUMBER(SEARCH("30",E268)),ISNUMBER(SEARCH("500",E268)),ISNUMBER(SEARCH("100",E268))),100,100000))),0))</f>
        <v/>
      </c>
      <c r="AB268" s="10"/>
      <c r="AC268" s="29" t="str">
        <f aca="false">IF(K268="","",1-IFERROR(T268,0)-IFERROR(W268,0)-IFERROR(Z268,0))</f>
        <v/>
      </c>
      <c r="AD268" s="30" t="str">
        <f aca="false">IF(AB268="","",IFERROR((IFERROR(S268*T268,0)+IFERROR(V268*W268,0)+IFERROR(Y268*Z268,0)+AB268*AC268)/(IFERROR(T268,0)+IFERROR(W268,0)+IFERROR(Z268,0)+AC268),AB268))</f>
        <v/>
      </c>
      <c r="AE268" s="27" t="str">
        <f aca="false">IF(AB268="","",IF(U268="",0,U268)+IF(X268="",0,X268)+IF(AA268="",0,AA268)+IFERROR((AB268-K268)*IF(F268="Sell",-1,1)*R268*AC268*IF(ISNUMBER(SEARCH("JPY",E268)),1000,IF(ISNUMBER(SEARCH("XAU",E268)),100,IF(OR(ISNUMBER(SEARCH("30",E268)),ISNUMBER(SEARCH("500",E268)),ISNUMBER(SEARCH("100",E268))),100,100000))),0))</f>
        <v/>
      </c>
      <c r="AF268" s="31" t="str">
        <f aca="false">IF(OR(K268="",M268="",L268=""),"",IFERROR(ABS(M268-K268)/ABS(K268-L268),0))</f>
        <v/>
      </c>
      <c r="AG268" s="31" t="str">
        <f aca="false">IF(OR(AE268="",AE268=0,Q268=0,Q268=""),"",IFERROR(AE268/Q268,0))</f>
        <v/>
      </c>
      <c r="AH268" s="32" t="str">
        <f aca="false">IF(AB268="","Open",IF(AG268="","Open",IF(AG268&gt;0.1,"Win",IF(AG268&lt;-0.1,"Loss","Breakeven"))))</f>
        <v>Open</v>
      </c>
      <c r="AI268" s="33" t="str">
        <f aca="false">IF(OR(B268="",D268=""),"",D268-B268)</f>
        <v/>
      </c>
      <c r="AJ268" s="24" t="str">
        <f aca="false">IF(AD268="","",IFERROR((AD268-K268)*IF(F268="Sell",-1,1)/IF(ISNUMBER(SEARCH("JPY",E268)),0.01,IF(ISNUMBER(SEARCH("XAU",E268)),0.01,IF(OR(ISNUMBER(SEARCH("30",E268)),ISNUMBER(SEARCH("500",E268)),ISNUMBER(SEARCH("100",E268))),1,0.0001))),0))</f>
        <v/>
      </c>
      <c r="AK268" s="10"/>
      <c r="AL268" s="10"/>
      <c r="AM268" s="10"/>
      <c r="AN268" s="10"/>
      <c r="AO268" s="27" t="str">
        <f aca="false">IF(AE268="","",IFERROR(IF(AO267="",SETTINGS!$B$6,AO267),SETTINGS!$B$6)+IF(AE268="",0,AE268))</f>
        <v/>
      </c>
      <c r="AP268" s="2"/>
    </row>
    <row r="269" customFormat="false" ht="15" hidden="false" customHeight="false" outlineLevel="0" collapsed="false">
      <c r="A269" s="24" t="str">
        <f aca="false">IF(B269="","",ROW()-3)</f>
        <v/>
      </c>
      <c r="B269" s="34"/>
      <c r="C269" s="12"/>
      <c r="D269" s="34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35"/>
      <c r="P269" s="24" t="str">
        <f aca="false">IF(K269="","",IFERROR(ABS(K269-L269)/IF(ISNUMBER(SEARCH("JPY",E269)),0.01,IF(ISNUMBER(SEARCH("XAU",E269)),0.01,IF(OR(ISNUMBER(SEARCH("30",E269)),ISNUMBER(SEARCH("500",E269)),ISNUMBER(SEARCH("100",E269))),1,0.0001))),0))</f>
        <v/>
      </c>
      <c r="Q269" s="27" t="str">
        <f aca="false">IF(K269="","",SETTINGS!$B$6*O269)</f>
        <v/>
      </c>
      <c r="R269" s="24" t="str">
        <f aca="false">IF(K269="","",IFERROR(Q269/(P269*IF(ISNUMBER(SEARCH("JPY",E269)),9.09,IF(ISNUMBER(SEARCH("XAU",E269)),1,IF(OR(ISNUMBER(SEARCH("30",E269)),ISNUMBER(SEARCH("500",E269)),ISNUMBER(SEARCH("100",E269))),1,10)))),0))</f>
        <v/>
      </c>
      <c r="S269" s="12"/>
      <c r="T269" s="36"/>
      <c r="U269" s="27" t="str">
        <f aca="false">IF(OR(S269="",T269=0),"",IFERROR((S269-K269)*IF(F269="Sell",-1,1)*R269*T269*IF(ISNUMBER(SEARCH("JPY",E269)),1000,IF(ISNUMBER(SEARCH("XAU",E269)),100,IF(OR(ISNUMBER(SEARCH("30",E269)),ISNUMBER(SEARCH("500",E269)),ISNUMBER(SEARCH("100",E269))),100,100000))),0))</f>
        <v/>
      </c>
      <c r="V269" s="12"/>
      <c r="W269" s="36"/>
      <c r="X269" s="27" t="str">
        <f aca="false">IF(OR(V269="",W269=0),"",IFERROR((V269-K269)*IF(F269="Sell",-1,1)*R269*W269*IF(ISNUMBER(SEARCH("JPY",E269)),1000,IF(ISNUMBER(SEARCH("XAU",E269)),100,IF(OR(ISNUMBER(SEARCH("30",E269)),ISNUMBER(SEARCH("500",E269)),ISNUMBER(SEARCH("100",E269))),100,100000))),0))</f>
        <v/>
      </c>
      <c r="Y269" s="12"/>
      <c r="Z269" s="36"/>
      <c r="AA269" s="27" t="str">
        <f aca="false">IF(OR(Y269="",Z269=0),"",IFERROR((Y269-K269)*IF(F269="Sell",-1,1)*R269*Z269*IF(ISNUMBER(SEARCH("JPY",E269)),1000,IF(ISNUMBER(SEARCH("XAU",E269)),100,IF(OR(ISNUMBER(SEARCH("30",E269)),ISNUMBER(SEARCH("500",E269)),ISNUMBER(SEARCH("100",E269))),100,100000))),0))</f>
        <v/>
      </c>
      <c r="AB269" s="12"/>
      <c r="AC269" s="29" t="str">
        <f aca="false">IF(K269="","",1-IFERROR(T269,0)-IFERROR(W269,0)-IFERROR(Z269,0))</f>
        <v/>
      </c>
      <c r="AD269" s="30" t="str">
        <f aca="false">IF(AB269="","",IFERROR((IFERROR(S269*T269,0)+IFERROR(V269*W269,0)+IFERROR(Y269*Z269,0)+AB269*AC269)/(IFERROR(T269,0)+IFERROR(W269,0)+IFERROR(Z269,0)+AC269),AB269))</f>
        <v/>
      </c>
      <c r="AE269" s="27" t="str">
        <f aca="false">IF(AB269="","",IF(U269="",0,U269)+IF(X269="",0,X269)+IF(AA269="",0,AA269)+IFERROR((AB269-K269)*IF(F269="Sell",-1,1)*R269*AC269*IF(ISNUMBER(SEARCH("JPY",E269)),1000,IF(ISNUMBER(SEARCH("XAU",E269)),100,IF(OR(ISNUMBER(SEARCH("30",E269)),ISNUMBER(SEARCH("500",E269)),ISNUMBER(SEARCH("100",E269))),100,100000))),0))</f>
        <v/>
      </c>
      <c r="AF269" s="31" t="str">
        <f aca="false">IF(OR(K269="",M269="",L269=""),"",IFERROR(ABS(M269-K269)/ABS(K269-L269),0))</f>
        <v/>
      </c>
      <c r="AG269" s="31" t="str">
        <f aca="false">IF(OR(AE269="",AE269=0,Q269=0,Q269=""),"",IFERROR(AE269/Q269,0))</f>
        <v/>
      </c>
      <c r="AH269" s="32" t="str">
        <f aca="false">IF(AB269="","Open",IF(AG269="","Open",IF(AG269&gt;0.1,"Win",IF(AG269&lt;-0.1,"Loss","Breakeven"))))</f>
        <v>Open</v>
      </c>
      <c r="AI269" s="33" t="str">
        <f aca="false">IF(OR(B269="",D269=""),"",D269-B269)</f>
        <v/>
      </c>
      <c r="AJ269" s="24" t="str">
        <f aca="false">IF(AD269="","",IFERROR((AD269-K269)*IF(F269="Sell",-1,1)/IF(ISNUMBER(SEARCH("JPY",E269)),0.01,IF(ISNUMBER(SEARCH("XAU",E269)),0.01,IF(OR(ISNUMBER(SEARCH("30",E269)),ISNUMBER(SEARCH("500",E269)),ISNUMBER(SEARCH("100",E269))),1,0.0001))),0))</f>
        <v/>
      </c>
      <c r="AK269" s="12"/>
      <c r="AL269" s="12"/>
      <c r="AM269" s="12"/>
      <c r="AN269" s="12"/>
      <c r="AO269" s="27" t="str">
        <f aca="false">IF(AE269="","",IFERROR(IF(AO268="",SETTINGS!$B$6,AO268),SETTINGS!$B$6)+IF(AE269="",0,AE269))</f>
        <v/>
      </c>
      <c r="AP269" s="2"/>
    </row>
    <row r="270" customFormat="false" ht="15" hidden="false" customHeight="false" outlineLevel="0" collapsed="false">
      <c r="A270" s="24" t="str">
        <f aca="false">IF(B270="","",ROW()-3)</f>
        <v/>
      </c>
      <c r="B270" s="25"/>
      <c r="C270" s="10"/>
      <c r="D270" s="25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26"/>
      <c r="P270" s="24" t="str">
        <f aca="false">IF(K270="","",IFERROR(ABS(K270-L270)/IF(ISNUMBER(SEARCH("JPY",E270)),0.01,IF(ISNUMBER(SEARCH("XAU",E270)),0.01,IF(OR(ISNUMBER(SEARCH("30",E270)),ISNUMBER(SEARCH("500",E270)),ISNUMBER(SEARCH("100",E270))),1,0.0001))),0))</f>
        <v/>
      </c>
      <c r="Q270" s="27" t="str">
        <f aca="false">IF(K270="","",SETTINGS!$B$6*O270)</f>
        <v/>
      </c>
      <c r="R270" s="24" t="str">
        <f aca="false">IF(K270="","",IFERROR(Q270/(P270*IF(ISNUMBER(SEARCH("JPY",E270)),9.09,IF(ISNUMBER(SEARCH("XAU",E270)),1,IF(OR(ISNUMBER(SEARCH("30",E270)),ISNUMBER(SEARCH("500",E270)),ISNUMBER(SEARCH("100",E270))),1,10)))),0))</f>
        <v/>
      </c>
      <c r="S270" s="10"/>
      <c r="T270" s="28"/>
      <c r="U270" s="27" t="str">
        <f aca="false">IF(OR(S270="",T270=0),"",IFERROR((S270-K270)*IF(F270="Sell",-1,1)*R270*T270*IF(ISNUMBER(SEARCH("JPY",E270)),1000,IF(ISNUMBER(SEARCH("XAU",E270)),100,IF(OR(ISNUMBER(SEARCH("30",E270)),ISNUMBER(SEARCH("500",E270)),ISNUMBER(SEARCH("100",E270))),100,100000))),0))</f>
        <v/>
      </c>
      <c r="V270" s="10"/>
      <c r="W270" s="28"/>
      <c r="X270" s="27" t="str">
        <f aca="false">IF(OR(V270="",W270=0),"",IFERROR((V270-K270)*IF(F270="Sell",-1,1)*R270*W270*IF(ISNUMBER(SEARCH("JPY",E270)),1000,IF(ISNUMBER(SEARCH("XAU",E270)),100,IF(OR(ISNUMBER(SEARCH("30",E270)),ISNUMBER(SEARCH("500",E270)),ISNUMBER(SEARCH("100",E270))),100,100000))),0))</f>
        <v/>
      </c>
      <c r="Y270" s="10"/>
      <c r="Z270" s="28"/>
      <c r="AA270" s="27" t="str">
        <f aca="false">IF(OR(Y270="",Z270=0),"",IFERROR((Y270-K270)*IF(F270="Sell",-1,1)*R270*Z270*IF(ISNUMBER(SEARCH("JPY",E270)),1000,IF(ISNUMBER(SEARCH("XAU",E270)),100,IF(OR(ISNUMBER(SEARCH("30",E270)),ISNUMBER(SEARCH("500",E270)),ISNUMBER(SEARCH("100",E270))),100,100000))),0))</f>
        <v/>
      </c>
      <c r="AB270" s="10"/>
      <c r="AC270" s="29" t="str">
        <f aca="false">IF(K270="","",1-IFERROR(T270,0)-IFERROR(W270,0)-IFERROR(Z270,0))</f>
        <v/>
      </c>
      <c r="AD270" s="30" t="str">
        <f aca="false">IF(AB270="","",IFERROR((IFERROR(S270*T270,0)+IFERROR(V270*W270,0)+IFERROR(Y270*Z270,0)+AB270*AC270)/(IFERROR(T270,0)+IFERROR(W270,0)+IFERROR(Z270,0)+AC270),AB270))</f>
        <v/>
      </c>
      <c r="AE270" s="27" t="str">
        <f aca="false">IF(AB270="","",IF(U270="",0,U270)+IF(X270="",0,X270)+IF(AA270="",0,AA270)+IFERROR((AB270-K270)*IF(F270="Sell",-1,1)*R270*AC270*IF(ISNUMBER(SEARCH("JPY",E270)),1000,IF(ISNUMBER(SEARCH("XAU",E270)),100,IF(OR(ISNUMBER(SEARCH("30",E270)),ISNUMBER(SEARCH("500",E270)),ISNUMBER(SEARCH("100",E270))),100,100000))),0))</f>
        <v/>
      </c>
      <c r="AF270" s="31" t="str">
        <f aca="false">IF(OR(K270="",M270="",L270=""),"",IFERROR(ABS(M270-K270)/ABS(K270-L270),0))</f>
        <v/>
      </c>
      <c r="AG270" s="31" t="str">
        <f aca="false">IF(OR(AE270="",AE270=0,Q270=0,Q270=""),"",IFERROR(AE270/Q270,0))</f>
        <v/>
      </c>
      <c r="AH270" s="32" t="str">
        <f aca="false">IF(AB270="","Open",IF(AG270="","Open",IF(AG270&gt;0.1,"Win",IF(AG270&lt;-0.1,"Loss","Breakeven"))))</f>
        <v>Open</v>
      </c>
      <c r="AI270" s="33" t="str">
        <f aca="false">IF(OR(B270="",D270=""),"",D270-B270)</f>
        <v/>
      </c>
      <c r="AJ270" s="24" t="str">
        <f aca="false">IF(AD270="","",IFERROR((AD270-K270)*IF(F270="Sell",-1,1)/IF(ISNUMBER(SEARCH("JPY",E270)),0.01,IF(ISNUMBER(SEARCH("XAU",E270)),0.01,IF(OR(ISNUMBER(SEARCH("30",E270)),ISNUMBER(SEARCH("500",E270)),ISNUMBER(SEARCH("100",E270))),1,0.0001))),0))</f>
        <v/>
      </c>
      <c r="AK270" s="10"/>
      <c r="AL270" s="10"/>
      <c r="AM270" s="10"/>
      <c r="AN270" s="10"/>
      <c r="AO270" s="27" t="str">
        <f aca="false">IF(AE270="","",IFERROR(IF(AO269="",SETTINGS!$B$6,AO269),SETTINGS!$B$6)+IF(AE270="",0,AE270))</f>
        <v/>
      </c>
      <c r="AP270" s="2"/>
    </row>
    <row r="271" customFormat="false" ht="15" hidden="false" customHeight="false" outlineLevel="0" collapsed="false">
      <c r="A271" s="24" t="str">
        <f aca="false">IF(B271="","",ROW()-3)</f>
        <v/>
      </c>
      <c r="B271" s="34"/>
      <c r="C271" s="12"/>
      <c r="D271" s="34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35"/>
      <c r="P271" s="24" t="str">
        <f aca="false">IF(K271="","",IFERROR(ABS(K271-L271)/IF(ISNUMBER(SEARCH("JPY",E271)),0.01,IF(ISNUMBER(SEARCH("XAU",E271)),0.01,IF(OR(ISNUMBER(SEARCH("30",E271)),ISNUMBER(SEARCH("500",E271)),ISNUMBER(SEARCH("100",E271))),1,0.0001))),0))</f>
        <v/>
      </c>
      <c r="Q271" s="27" t="str">
        <f aca="false">IF(K271="","",SETTINGS!$B$6*O271)</f>
        <v/>
      </c>
      <c r="R271" s="24" t="str">
        <f aca="false">IF(K271="","",IFERROR(Q271/(P271*IF(ISNUMBER(SEARCH("JPY",E271)),9.09,IF(ISNUMBER(SEARCH("XAU",E271)),1,IF(OR(ISNUMBER(SEARCH("30",E271)),ISNUMBER(SEARCH("500",E271)),ISNUMBER(SEARCH("100",E271))),1,10)))),0))</f>
        <v/>
      </c>
      <c r="S271" s="12"/>
      <c r="T271" s="36"/>
      <c r="U271" s="27" t="str">
        <f aca="false">IF(OR(S271="",T271=0),"",IFERROR((S271-K271)*IF(F271="Sell",-1,1)*R271*T271*IF(ISNUMBER(SEARCH("JPY",E271)),1000,IF(ISNUMBER(SEARCH("XAU",E271)),100,IF(OR(ISNUMBER(SEARCH("30",E271)),ISNUMBER(SEARCH("500",E271)),ISNUMBER(SEARCH("100",E271))),100,100000))),0))</f>
        <v/>
      </c>
      <c r="V271" s="12"/>
      <c r="W271" s="36"/>
      <c r="X271" s="27" t="str">
        <f aca="false">IF(OR(V271="",W271=0),"",IFERROR((V271-K271)*IF(F271="Sell",-1,1)*R271*W271*IF(ISNUMBER(SEARCH("JPY",E271)),1000,IF(ISNUMBER(SEARCH("XAU",E271)),100,IF(OR(ISNUMBER(SEARCH("30",E271)),ISNUMBER(SEARCH("500",E271)),ISNUMBER(SEARCH("100",E271))),100,100000))),0))</f>
        <v/>
      </c>
      <c r="Y271" s="12"/>
      <c r="Z271" s="36"/>
      <c r="AA271" s="27" t="str">
        <f aca="false">IF(OR(Y271="",Z271=0),"",IFERROR((Y271-K271)*IF(F271="Sell",-1,1)*R271*Z271*IF(ISNUMBER(SEARCH("JPY",E271)),1000,IF(ISNUMBER(SEARCH("XAU",E271)),100,IF(OR(ISNUMBER(SEARCH("30",E271)),ISNUMBER(SEARCH("500",E271)),ISNUMBER(SEARCH("100",E271))),100,100000))),0))</f>
        <v/>
      </c>
      <c r="AB271" s="12"/>
      <c r="AC271" s="29" t="str">
        <f aca="false">IF(K271="","",1-IFERROR(T271,0)-IFERROR(W271,0)-IFERROR(Z271,0))</f>
        <v/>
      </c>
      <c r="AD271" s="30" t="str">
        <f aca="false">IF(AB271="","",IFERROR((IFERROR(S271*T271,0)+IFERROR(V271*W271,0)+IFERROR(Y271*Z271,0)+AB271*AC271)/(IFERROR(T271,0)+IFERROR(W271,0)+IFERROR(Z271,0)+AC271),AB271))</f>
        <v/>
      </c>
      <c r="AE271" s="27" t="str">
        <f aca="false">IF(AB271="","",IF(U271="",0,U271)+IF(X271="",0,X271)+IF(AA271="",0,AA271)+IFERROR((AB271-K271)*IF(F271="Sell",-1,1)*R271*AC271*IF(ISNUMBER(SEARCH("JPY",E271)),1000,IF(ISNUMBER(SEARCH("XAU",E271)),100,IF(OR(ISNUMBER(SEARCH("30",E271)),ISNUMBER(SEARCH("500",E271)),ISNUMBER(SEARCH("100",E271))),100,100000))),0))</f>
        <v/>
      </c>
      <c r="AF271" s="31" t="str">
        <f aca="false">IF(OR(K271="",M271="",L271=""),"",IFERROR(ABS(M271-K271)/ABS(K271-L271),0))</f>
        <v/>
      </c>
      <c r="AG271" s="31" t="str">
        <f aca="false">IF(OR(AE271="",AE271=0,Q271=0,Q271=""),"",IFERROR(AE271/Q271,0))</f>
        <v/>
      </c>
      <c r="AH271" s="32" t="str">
        <f aca="false">IF(AB271="","Open",IF(AG271="","Open",IF(AG271&gt;0.1,"Win",IF(AG271&lt;-0.1,"Loss","Breakeven"))))</f>
        <v>Open</v>
      </c>
      <c r="AI271" s="33" t="str">
        <f aca="false">IF(OR(B271="",D271=""),"",D271-B271)</f>
        <v/>
      </c>
      <c r="AJ271" s="24" t="str">
        <f aca="false">IF(AD271="","",IFERROR((AD271-K271)*IF(F271="Sell",-1,1)/IF(ISNUMBER(SEARCH("JPY",E271)),0.01,IF(ISNUMBER(SEARCH("XAU",E271)),0.01,IF(OR(ISNUMBER(SEARCH("30",E271)),ISNUMBER(SEARCH("500",E271)),ISNUMBER(SEARCH("100",E271))),1,0.0001))),0))</f>
        <v/>
      </c>
      <c r="AK271" s="12"/>
      <c r="AL271" s="12"/>
      <c r="AM271" s="12"/>
      <c r="AN271" s="12"/>
      <c r="AO271" s="27" t="str">
        <f aca="false">IF(AE271="","",IFERROR(IF(AO270="",SETTINGS!$B$6,AO270),SETTINGS!$B$6)+IF(AE271="",0,AE271))</f>
        <v/>
      </c>
      <c r="AP271" s="2"/>
    </row>
    <row r="272" customFormat="false" ht="15" hidden="false" customHeight="false" outlineLevel="0" collapsed="false">
      <c r="A272" s="24" t="str">
        <f aca="false">IF(B272="","",ROW()-3)</f>
        <v/>
      </c>
      <c r="B272" s="25"/>
      <c r="C272" s="10"/>
      <c r="D272" s="25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26"/>
      <c r="P272" s="24" t="str">
        <f aca="false">IF(K272="","",IFERROR(ABS(K272-L272)/IF(ISNUMBER(SEARCH("JPY",E272)),0.01,IF(ISNUMBER(SEARCH("XAU",E272)),0.01,IF(OR(ISNUMBER(SEARCH("30",E272)),ISNUMBER(SEARCH("500",E272)),ISNUMBER(SEARCH("100",E272))),1,0.0001))),0))</f>
        <v/>
      </c>
      <c r="Q272" s="27" t="str">
        <f aca="false">IF(K272="","",SETTINGS!$B$6*O272)</f>
        <v/>
      </c>
      <c r="R272" s="24" t="str">
        <f aca="false">IF(K272="","",IFERROR(Q272/(P272*IF(ISNUMBER(SEARCH("JPY",E272)),9.09,IF(ISNUMBER(SEARCH("XAU",E272)),1,IF(OR(ISNUMBER(SEARCH("30",E272)),ISNUMBER(SEARCH("500",E272)),ISNUMBER(SEARCH("100",E272))),1,10)))),0))</f>
        <v/>
      </c>
      <c r="S272" s="10"/>
      <c r="T272" s="28"/>
      <c r="U272" s="27" t="str">
        <f aca="false">IF(OR(S272="",T272=0),"",IFERROR((S272-K272)*IF(F272="Sell",-1,1)*R272*T272*IF(ISNUMBER(SEARCH("JPY",E272)),1000,IF(ISNUMBER(SEARCH("XAU",E272)),100,IF(OR(ISNUMBER(SEARCH("30",E272)),ISNUMBER(SEARCH("500",E272)),ISNUMBER(SEARCH("100",E272))),100,100000))),0))</f>
        <v/>
      </c>
      <c r="V272" s="10"/>
      <c r="W272" s="28"/>
      <c r="X272" s="27" t="str">
        <f aca="false">IF(OR(V272="",W272=0),"",IFERROR((V272-K272)*IF(F272="Sell",-1,1)*R272*W272*IF(ISNUMBER(SEARCH("JPY",E272)),1000,IF(ISNUMBER(SEARCH("XAU",E272)),100,IF(OR(ISNUMBER(SEARCH("30",E272)),ISNUMBER(SEARCH("500",E272)),ISNUMBER(SEARCH("100",E272))),100,100000))),0))</f>
        <v/>
      </c>
      <c r="Y272" s="10"/>
      <c r="Z272" s="28"/>
      <c r="AA272" s="27" t="str">
        <f aca="false">IF(OR(Y272="",Z272=0),"",IFERROR((Y272-K272)*IF(F272="Sell",-1,1)*R272*Z272*IF(ISNUMBER(SEARCH("JPY",E272)),1000,IF(ISNUMBER(SEARCH("XAU",E272)),100,IF(OR(ISNUMBER(SEARCH("30",E272)),ISNUMBER(SEARCH("500",E272)),ISNUMBER(SEARCH("100",E272))),100,100000))),0))</f>
        <v/>
      </c>
      <c r="AB272" s="10"/>
      <c r="AC272" s="29" t="str">
        <f aca="false">IF(K272="","",1-IFERROR(T272,0)-IFERROR(W272,0)-IFERROR(Z272,0))</f>
        <v/>
      </c>
      <c r="AD272" s="30" t="str">
        <f aca="false">IF(AB272="","",IFERROR((IFERROR(S272*T272,0)+IFERROR(V272*W272,0)+IFERROR(Y272*Z272,0)+AB272*AC272)/(IFERROR(T272,0)+IFERROR(W272,0)+IFERROR(Z272,0)+AC272),AB272))</f>
        <v/>
      </c>
      <c r="AE272" s="27" t="str">
        <f aca="false">IF(AB272="","",IF(U272="",0,U272)+IF(X272="",0,X272)+IF(AA272="",0,AA272)+IFERROR((AB272-K272)*IF(F272="Sell",-1,1)*R272*AC272*IF(ISNUMBER(SEARCH("JPY",E272)),1000,IF(ISNUMBER(SEARCH("XAU",E272)),100,IF(OR(ISNUMBER(SEARCH("30",E272)),ISNUMBER(SEARCH("500",E272)),ISNUMBER(SEARCH("100",E272))),100,100000))),0))</f>
        <v/>
      </c>
      <c r="AF272" s="31" t="str">
        <f aca="false">IF(OR(K272="",M272="",L272=""),"",IFERROR(ABS(M272-K272)/ABS(K272-L272),0))</f>
        <v/>
      </c>
      <c r="AG272" s="31" t="str">
        <f aca="false">IF(OR(AE272="",AE272=0,Q272=0,Q272=""),"",IFERROR(AE272/Q272,0))</f>
        <v/>
      </c>
      <c r="AH272" s="32" t="str">
        <f aca="false">IF(AB272="","Open",IF(AG272="","Open",IF(AG272&gt;0.1,"Win",IF(AG272&lt;-0.1,"Loss","Breakeven"))))</f>
        <v>Open</v>
      </c>
      <c r="AI272" s="33" t="str">
        <f aca="false">IF(OR(B272="",D272=""),"",D272-B272)</f>
        <v/>
      </c>
      <c r="AJ272" s="24" t="str">
        <f aca="false">IF(AD272="","",IFERROR((AD272-K272)*IF(F272="Sell",-1,1)/IF(ISNUMBER(SEARCH("JPY",E272)),0.01,IF(ISNUMBER(SEARCH("XAU",E272)),0.01,IF(OR(ISNUMBER(SEARCH("30",E272)),ISNUMBER(SEARCH("500",E272)),ISNUMBER(SEARCH("100",E272))),1,0.0001))),0))</f>
        <v/>
      </c>
      <c r="AK272" s="10"/>
      <c r="AL272" s="10"/>
      <c r="AM272" s="10"/>
      <c r="AN272" s="10"/>
      <c r="AO272" s="27" t="str">
        <f aca="false">IF(AE272="","",IFERROR(IF(AO271="",SETTINGS!$B$6,AO271),SETTINGS!$B$6)+IF(AE272="",0,AE272))</f>
        <v/>
      </c>
      <c r="AP272" s="2"/>
    </row>
    <row r="273" customFormat="false" ht="15" hidden="false" customHeight="false" outlineLevel="0" collapsed="false">
      <c r="A273" s="24" t="str">
        <f aca="false">IF(B273="","",ROW()-3)</f>
        <v/>
      </c>
      <c r="B273" s="34"/>
      <c r="C273" s="12"/>
      <c r="D273" s="34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35"/>
      <c r="P273" s="24" t="str">
        <f aca="false">IF(K273="","",IFERROR(ABS(K273-L273)/IF(ISNUMBER(SEARCH("JPY",E273)),0.01,IF(ISNUMBER(SEARCH("XAU",E273)),0.01,IF(OR(ISNUMBER(SEARCH("30",E273)),ISNUMBER(SEARCH("500",E273)),ISNUMBER(SEARCH("100",E273))),1,0.0001))),0))</f>
        <v/>
      </c>
      <c r="Q273" s="27" t="str">
        <f aca="false">IF(K273="","",SETTINGS!$B$6*O273)</f>
        <v/>
      </c>
      <c r="R273" s="24" t="str">
        <f aca="false">IF(K273="","",IFERROR(Q273/(P273*IF(ISNUMBER(SEARCH("JPY",E273)),9.09,IF(ISNUMBER(SEARCH("XAU",E273)),1,IF(OR(ISNUMBER(SEARCH("30",E273)),ISNUMBER(SEARCH("500",E273)),ISNUMBER(SEARCH("100",E273))),1,10)))),0))</f>
        <v/>
      </c>
      <c r="S273" s="12"/>
      <c r="T273" s="36"/>
      <c r="U273" s="27" t="str">
        <f aca="false">IF(OR(S273="",T273=0),"",IFERROR((S273-K273)*IF(F273="Sell",-1,1)*R273*T273*IF(ISNUMBER(SEARCH("JPY",E273)),1000,IF(ISNUMBER(SEARCH("XAU",E273)),100,IF(OR(ISNUMBER(SEARCH("30",E273)),ISNUMBER(SEARCH("500",E273)),ISNUMBER(SEARCH("100",E273))),100,100000))),0))</f>
        <v/>
      </c>
      <c r="V273" s="12"/>
      <c r="W273" s="36"/>
      <c r="X273" s="27" t="str">
        <f aca="false">IF(OR(V273="",W273=0),"",IFERROR((V273-K273)*IF(F273="Sell",-1,1)*R273*W273*IF(ISNUMBER(SEARCH("JPY",E273)),1000,IF(ISNUMBER(SEARCH("XAU",E273)),100,IF(OR(ISNUMBER(SEARCH("30",E273)),ISNUMBER(SEARCH("500",E273)),ISNUMBER(SEARCH("100",E273))),100,100000))),0))</f>
        <v/>
      </c>
      <c r="Y273" s="12"/>
      <c r="Z273" s="36"/>
      <c r="AA273" s="27" t="str">
        <f aca="false">IF(OR(Y273="",Z273=0),"",IFERROR((Y273-K273)*IF(F273="Sell",-1,1)*R273*Z273*IF(ISNUMBER(SEARCH("JPY",E273)),1000,IF(ISNUMBER(SEARCH("XAU",E273)),100,IF(OR(ISNUMBER(SEARCH("30",E273)),ISNUMBER(SEARCH("500",E273)),ISNUMBER(SEARCH("100",E273))),100,100000))),0))</f>
        <v/>
      </c>
      <c r="AB273" s="12"/>
      <c r="AC273" s="29" t="str">
        <f aca="false">IF(K273="","",1-IFERROR(T273,0)-IFERROR(W273,0)-IFERROR(Z273,0))</f>
        <v/>
      </c>
      <c r="AD273" s="30" t="str">
        <f aca="false">IF(AB273="","",IFERROR((IFERROR(S273*T273,0)+IFERROR(V273*W273,0)+IFERROR(Y273*Z273,0)+AB273*AC273)/(IFERROR(T273,0)+IFERROR(W273,0)+IFERROR(Z273,0)+AC273),AB273))</f>
        <v/>
      </c>
      <c r="AE273" s="27" t="str">
        <f aca="false">IF(AB273="","",IF(U273="",0,U273)+IF(X273="",0,X273)+IF(AA273="",0,AA273)+IFERROR((AB273-K273)*IF(F273="Sell",-1,1)*R273*AC273*IF(ISNUMBER(SEARCH("JPY",E273)),1000,IF(ISNUMBER(SEARCH("XAU",E273)),100,IF(OR(ISNUMBER(SEARCH("30",E273)),ISNUMBER(SEARCH("500",E273)),ISNUMBER(SEARCH("100",E273))),100,100000))),0))</f>
        <v/>
      </c>
      <c r="AF273" s="31" t="str">
        <f aca="false">IF(OR(K273="",M273="",L273=""),"",IFERROR(ABS(M273-K273)/ABS(K273-L273),0))</f>
        <v/>
      </c>
      <c r="AG273" s="31" t="str">
        <f aca="false">IF(OR(AE273="",AE273=0,Q273=0,Q273=""),"",IFERROR(AE273/Q273,0))</f>
        <v/>
      </c>
      <c r="AH273" s="32" t="str">
        <f aca="false">IF(AB273="","Open",IF(AG273="","Open",IF(AG273&gt;0.1,"Win",IF(AG273&lt;-0.1,"Loss","Breakeven"))))</f>
        <v>Open</v>
      </c>
      <c r="AI273" s="33" t="str">
        <f aca="false">IF(OR(B273="",D273=""),"",D273-B273)</f>
        <v/>
      </c>
      <c r="AJ273" s="24" t="str">
        <f aca="false">IF(AD273="","",IFERROR((AD273-K273)*IF(F273="Sell",-1,1)/IF(ISNUMBER(SEARCH("JPY",E273)),0.01,IF(ISNUMBER(SEARCH("XAU",E273)),0.01,IF(OR(ISNUMBER(SEARCH("30",E273)),ISNUMBER(SEARCH("500",E273)),ISNUMBER(SEARCH("100",E273))),1,0.0001))),0))</f>
        <v/>
      </c>
      <c r="AK273" s="12"/>
      <c r="AL273" s="12"/>
      <c r="AM273" s="12"/>
      <c r="AN273" s="12"/>
      <c r="AO273" s="27" t="str">
        <f aca="false">IF(AE273="","",IFERROR(IF(AO272="",SETTINGS!$B$6,AO272),SETTINGS!$B$6)+IF(AE273="",0,AE273))</f>
        <v/>
      </c>
      <c r="AP273" s="2"/>
    </row>
    <row r="274" customFormat="false" ht="15" hidden="false" customHeight="false" outlineLevel="0" collapsed="false">
      <c r="A274" s="24" t="str">
        <f aca="false">IF(B274="","",ROW()-3)</f>
        <v/>
      </c>
      <c r="B274" s="25"/>
      <c r="C274" s="10"/>
      <c r="D274" s="25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26"/>
      <c r="P274" s="24" t="str">
        <f aca="false">IF(K274="","",IFERROR(ABS(K274-L274)/IF(ISNUMBER(SEARCH("JPY",E274)),0.01,IF(ISNUMBER(SEARCH("XAU",E274)),0.01,IF(OR(ISNUMBER(SEARCH("30",E274)),ISNUMBER(SEARCH("500",E274)),ISNUMBER(SEARCH("100",E274))),1,0.0001))),0))</f>
        <v/>
      </c>
      <c r="Q274" s="27" t="str">
        <f aca="false">IF(K274="","",SETTINGS!$B$6*O274)</f>
        <v/>
      </c>
      <c r="R274" s="24" t="str">
        <f aca="false">IF(K274="","",IFERROR(Q274/(P274*IF(ISNUMBER(SEARCH("JPY",E274)),9.09,IF(ISNUMBER(SEARCH("XAU",E274)),1,IF(OR(ISNUMBER(SEARCH("30",E274)),ISNUMBER(SEARCH("500",E274)),ISNUMBER(SEARCH("100",E274))),1,10)))),0))</f>
        <v/>
      </c>
      <c r="S274" s="10"/>
      <c r="T274" s="28"/>
      <c r="U274" s="27" t="str">
        <f aca="false">IF(OR(S274="",T274=0),"",IFERROR((S274-K274)*IF(F274="Sell",-1,1)*R274*T274*IF(ISNUMBER(SEARCH("JPY",E274)),1000,IF(ISNUMBER(SEARCH("XAU",E274)),100,IF(OR(ISNUMBER(SEARCH("30",E274)),ISNUMBER(SEARCH("500",E274)),ISNUMBER(SEARCH("100",E274))),100,100000))),0))</f>
        <v/>
      </c>
      <c r="V274" s="10"/>
      <c r="W274" s="28"/>
      <c r="X274" s="27" t="str">
        <f aca="false">IF(OR(V274="",W274=0),"",IFERROR((V274-K274)*IF(F274="Sell",-1,1)*R274*W274*IF(ISNUMBER(SEARCH("JPY",E274)),1000,IF(ISNUMBER(SEARCH("XAU",E274)),100,IF(OR(ISNUMBER(SEARCH("30",E274)),ISNUMBER(SEARCH("500",E274)),ISNUMBER(SEARCH("100",E274))),100,100000))),0))</f>
        <v/>
      </c>
      <c r="Y274" s="10"/>
      <c r="Z274" s="28"/>
      <c r="AA274" s="27" t="str">
        <f aca="false">IF(OR(Y274="",Z274=0),"",IFERROR((Y274-K274)*IF(F274="Sell",-1,1)*R274*Z274*IF(ISNUMBER(SEARCH("JPY",E274)),1000,IF(ISNUMBER(SEARCH("XAU",E274)),100,IF(OR(ISNUMBER(SEARCH("30",E274)),ISNUMBER(SEARCH("500",E274)),ISNUMBER(SEARCH("100",E274))),100,100000))),0))</f>
        <v/>
      </c>
      <c r="AB274" s="10"/>
      <c r="AC274" s="29" t="str">
        <f aca="false">IF(K274="","",1-IFERROR(T274,0)-IFERROR(W274,0)-IFERROR(Z274,0))</f>
        <v/>
      </c>
      <c r="AD274" s="30" t="str">
        <f aca="false">IF(AB274="","",IFERROR((IFERROR(S274*T274,0)+IFERROR(V274*W274,0)+IFERROR(Y274*Z274,0)+AB274*AC274)/(IFERROR(T274,0)+IFERROR(W274,0)+IFERROR(Z274,0)+AC274),AB274))</f>
        <v/>
      </c>
      <c r="AE274" s="27" t="str">
        <f aca="false">IF(AB274="","",IF(U274="",0,U274)+IF(X274="",0,X274)+IF(AA274="",0,AA274)+IFERROR((AB274-K274)*IF(F274="Sell",-1,1)*R274*AC274*IF(ISNUMBER(SEARCH("JPY",E274)),1000,IF(ISNUMBER(SEARCH("XAU",E274)),100,IF(OR(ISNUMBER(SEARCH("30",E274)),ISNUMBER(SEARCH("500",E274)),ISNUMBER(SEARCH("100",E274))),100,100000))),0))</f>
        <v/>
      </c>
      <c r="AF274" s="31" t="str">
        <f aca="false">IF(OR(K274="",M274="",L274=""),"",IFERROR(ABS(M274-K274)/ABS(K274-L274),0))</f>
        <v/>
      </c>
      <c r="AG274" s="31" t="str">
        <f aca="false">IF(OR(AE274="",AE274=0,Q274=0,Q274=""),"",IFERROR(AE274/Q274,0))</f>
        <v/>
      </c>
      <c r="AH274" s="32" t="str">
        <f aca="false">IF(AB274="","Open",IF(AG274="","Open",IF(AG274&gt;0.1,"Win",IF(AG274&lt;-0.1,"Loss","Breakeven"))))</f>
        <v>Open</v>
      </c>
      <c r="AI274" s="33" t="str">
        <f aca="false">IF(OR(B274="",D274=""),"",D274-B274)</f>
        <v/>
      </c>
      <c r="AJ274" s="24" t="str">
        <f aca="false">IF(AD274="","",IFERROR((AD274-K274)*IF(F274="Sell",-1,1)/IF(ISNUMBER(SEARCH("JPY",E274)),0.01,IF(ISNUMBER(SEARCH("XAU",E274)),0.01,IF(OR(ISNUMBER(SEARCH("30",E274)),ISNUMBER(SEARCH("500",E274)),ISNUMBER(SEARCH("100",E274))),1,0.0001))),0))</f>
        <v/>
      </c>
      <c r="AK274" s="10"/>
      <c r="AL274" s="10"/>
      <c r="AM274" s="10"/>
      <c r="AN274" s="10"/>
      <c r="AO274" s="27" t="str">
        <f aca="false">IF(AE274="","",IFERROR(IF(AO273="",SETTINGS!$B$6,AO273),SETTINGS!$B$6)+IF(AE274="",0,AE274))</f>
        <v/>
      </c>
      <c r="AP274" s="2"/>
    </row>
    <row r="275" customFormat="false" ht="15" hidden="false" customHeight="false" outlineLevel="0" collapsed="false">
      <c r="A275" s="24" t="str">
        <f aca="false">IF(B275="","",ROW()-3)</f>
        <v/>
      </c>
      <c r="B275" s="34"/>
      <c r="C275" s="12"/>
      <c r="D275" s="34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35"/>
      <c r="P275" s="24" t="str">
        <f aca="false">IF(K275="","",IFERROR(ABS(K275-L275)/IF(ISNUMBER(SEARCH("JPY",E275)),0.01,IF(ISNUMBER(SEARCH("XAU",E275)),0.01,IF(OR(ISNUMBER(SEARCH("30",E275)),ISNUMBER(SEARCH("500",E275)),ISNUMBER(SEARCH("100",E275))),1,0.0001))),0))</f>
        <v/>
      </c>
      <c r="Q275" s="27" t="str">
        <f aca="false">IF(K275="","",SETTINGS!$B$6*O275)</f>
        <v/>
      </c>
      <c r="R275" s="24" t="str">
        <f aca="false">IF(K275="","",IFERROR(Q275/(P275*IF(ISNUMBER(SEARCH("JPY",E275)),9.09,IF(ISNUMBER(SEARCH("XAU",E275)),1,IF(OR(ISNUMBER(SEARCH("30",E275)),ISNUMBER(SEARCH("500",E275)),ISNUMBER(SEARCH("100",E275))),1,10)))),0))</f>
        <v/>
      </c>
      <c r="S275" s="12"/>
      <c r="T275" s="36"/>
      <c r="U275" s="27" t="str">
        <f aca="false">IF(OR(S275="",T275=0),"",IFERROR((S275-K275)*IF(F275="Sell",-1,1)*R275*T275*IF(ISNUMBER(SEARCH("JPY",E275)),1000,IF(ISNUMBER(SEARCH("XAU",E275)),100,IF(OR(ISNUMBER(SEARCH("30",E275)),ISNUMBER(SEARCH("500",E275)),ISNUMBER(SEARCH("100",E275))),100,100000))),0))</f>
        <v/>
      </c>
      <c r="V275" s="12"/>
      <c r="W275" s="36"/>
      <c r="X275" s="27" t="str">
        <f aca="false">IF(OR(V275="",W275=0),"",IFERROR((V275-K275)*IF(F275="Sell",-1,1)*R275*W275*IF(ISNUMBER(SEARCH("JPY",E275)),1000,IF(ISNUMBER(SEARCH("XAU",E275)),100,IF(OR(ISNUMBER(SEARCH("30",E275)),ISNUMBER(SEARCH("500",E275)),ISNUMBER(SEARCH("100",E275))),100,100000))),0))</f>
        <v/>
      </c>
      <c r="Y275" s="12"/>
      <c r="Z275" s="36"/>
      <c r="AA275" s="27" t="str">
        <f aca="false">IF(OR(Y275="",Z275=0),"",IFERROR((Y275-K275)*IF(F275="Sell",-1,1)*R275*Z275*IF(ISNUMBER(SEARCH("JPY",E275)),1000,IF(ISNUMBER(SEARCH("XAU",E275)),100,IF(OR(ISNUMBER(SEARCH("30",E275)),ISNUMBER(SEARCH("500",E275)),ISNUMBER(SEARCH("100",E275))),100,100000))),0))</f>
        <v/>
      </c>
      <c r="AB275" s="12"/>
      <c r="AC275" s="29" t="str">
        <f aca="false">IF(K275="","",1-IFERROR(T275,0)-IFERROR(W275,0)-IFERROR(Z275,0))</f>
        <v/>
      </c>
      <c r="AD275" s="30" t="str">
        <f aca="false">IF(AB275="","",IFERROR((IFERROR(S275*T275,0)+IFERROR(V275*W275,0)+IFERROR(Y275*Z275,0)+AB275*AC275)/(IFERROR(T275,0)+IFERROR(W275,0)+IFERROR(Z275,0)+AC275),AB275))</f>
        <v/>
      </c>
      <c r="AE275" s="27" t="str">
        <f aca="false">IF(AB275="","",IF(U275="",0,U275)+IF(X275="",0,X275)+IF(AA275="",0,AA275)+IFERROR((AB275-K275)*IF(F275="Sell",-1,1)*R275*AC275*IF(ISNUMBER(SEARCH("JPY",E275)),1000,IF(ISNUMBER(SEARCH("XAU",E275)),100,IF(OR(ISNUMBER(SEARCH("30",E275)),ISNUMBER(SEARCH("500",E275)),ISNUMBER(SEARCH("100",E275))),100,100000))),0))</f>
        <v/>
      </c>
      <c r="AF275" s="31" t="str">
        <f aca="false">IF(OR(K275="",M275="",L275=""),"",IFERROR(ABS(M275-K275)/ABS(K275-L275),0))</f>
        <v/>
      </c>
      <c r="AG275" s="31" t="str">
        <f aca="false">IF(OR(AE275="",AE275=0,Q275=0,Q275=""),"",IFERROR(AE275/Q275,0))</f>
        <v/>
      </c>
      <c r="AH275" s="32" t="str">
        <f aca="false">IF(AB275="","Open",IF(AG275="","Open",IF(AG275&gt;0.1,"Win",IF(AG275&lt;-0.1,"Loss","Breakeven"))))</f>
        <v>Open</v>
      </c>
      <c r="AI275" s="33" t="str">
        <f aca="false">IF(OR(B275="",D275=""),"",D275-B275)</f>
        <v/>
      </c>
      <c r="AJ275" s="24" t="str">
        <f aca="false">IF(AD275="","",IFERROR((AD275-K275)*IF(F275="Sell",-1,1)/IF(ISNUMBER(SEARCH("JPY",E275)),0.01,IF(ISNUMBER(SEARCH("XAU",E275)),0.01,IF(OR(ISNUMBER(SEARCH("30",E275)),ISNUMBER(SEARCH("500",E275)),ISNUMBER(SEARCH("100",E275))),1,0.0001))),0))</f>
        <v/>
      </c>
      <c r="AK275" s="12"/>
      <c r="AL275" s="12"/>
      <c r="AM275" s="12"/>
      <c r="AN275" s="12"/>
      <c r="AO275" s="27" t="str">
        <f aca="false">IF(AE275="","",IFERROR(IF(AO274="",SETTINGS!$B$6,AO274),SETTINGS!$B$6)+IF(AE275="",0,AE275))</f>
        <v/>
      </c>
      <c r="AP275" s="2"/>
    </row>
    <row r="276" customFormat="false" ht="15" hidden="false" customHeight="false" outlineLevel="0" collapsed="false">
      <c r="A276" s="24" t="str">
        <f aca="false">IF(B276="","",ROW()-3)</f>
        <v/>
      </c>
      <c r="B276" s="25"/>
      <c r="C276" s="10"/>
      <c r="D276" s="25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26"/>
      <c r="P276" s="24" t="str">
        <f aca="false">IF(K276="","",IFERROR(ABS(K276-L276)/IF(ISNUMBER(SEARCH("JPY",E276)),0.01,IF(ISNUMBER(SEARCH("XAU",E276)),0.01,IF(OR(ISNUMBER(SEARCH("30",E276)),ISNUMBER(SEARCH("500",E276)),ISNUMBER(SEARCH("100",E276))),1,0.0001))),0))</f>
        <v/>
      </c>
      <c r="Q276" s="27" t="str">
        <f aca="false">IF(K276="","",SETTINGS!$B$6*O276)</f>
        <v/>
      </c>
      <c r="R276" s="24" t="str">
        <f aca="false">IF(K276="","",IFERROR(Q276/(P276*IF(ISNUMBER(SEARCH("JPY",E276)),9.09,IF(ISNUMBER(SEARCH("XAU",E276)),1,IF(OR(ISNUMBER(SEARCH("30",E276)),ISNUMBER(SEARCH("500",E276)),ISNUMBER(SEARCH("100",E276))),1,10)))),0))</f>
        <v/>
      </c>
      <c r="S276" s="10"/>
      <c r="T276" s="28"/>
      <c r="U276" s="27" t="str">
        <f aca="false">IF(OR(S276="",T276=0),"",IFERROR((S276-K276)*IF(F276="Sell",-1,1)*R276*T276*IF(ISNUMBER(SEARCH("JPY",E276)),1000,IF(ISNUMBER(SEARCH("XAU",E276)),100,IF(OR(ISNUMBER(SEARCH("30",E276)),ISNUMBER(SEARCH("500",E276)),ISNUMBER(SEARCH("100",E276))),100,100000))),0))</f>
        <v/>
      </c>
      <c r="V276" s="10"/>
      <c r="W276" s="28"/>
      <c r="X276" s="27" t="str">
        <f aca="false">IF(OR(V276="",W276=0),"",IFERROR((V276-K276)*IF(F276="Sell",-1,1)*R276*W276*IF(ISNUMBER(SEARCH("JPY",E276)),1000,IF(ISNUMBER(SEARCH("XAU",E276)),100,IF(OR(ISNUMBER(SEARCH("30",E276)),ISNUMBER(SEARCH("500",E276)),ISNUMBER(SEARCH("100",E276))),100,100000))),0))</f>
        <v/>
      </c>
      <c r="Y276" s="10"/>
      <c r="Z276" s="28"/>
      <c r="AA276" s="27" t="str">
        <f aca="false">IF(OR(Y276="",Z276=0),"",IFERROR((Y276-K276)*IF(F276="Sell",-1,1)*R276*Z276*IF(ISNUMBER(SEARCH("JPY",E276)),1000,IF(ISNUMBER(SEARCH("XAU",E276)),100,IF(OR(ISNUMBER(SEARCH("30",E276)),ISNUMBER(SEARCH("500",E276)),ISNUMBER(SEARCH("100",E276))),100,100000))),0))</f>
        <v/>
      </c>
      <c r="AB276" s="10"/>
      <c r="AC276" s="29" t="str">
        <f aca="false">IF(K276="","",1-IFERROR(T276,0)-IFERROR(W276,0)-IFERROR(Z276,0))</f>
        <v/>
      </c>
      <c r="AD276" s="30" t="str">
        <f aca="false">IF(AB276="","",IFERROR((IFERROR(S276*T276,0)+IFERROR(V276*W276,0)+IFERROR(Y276*Z276,0)+AB276*AC276)/(IFERROR(T276,0)+IFERROR(W276,0)+IFERROR(Z276,0)+AC276),AB276))</f>
        <v/>
      </c>
      <c r="AE276" s="27" t="str">
        <f aca="false">IF(AB276="","",IF(U276="",0,U276)+IF(X276="",0,X276)+IF(AA276="",0,AA276)+IFERROR((AB276-K276)*IF(F276="Sell",-1,1)*R276*AC276*IF(ISNUMBER(SEARCH("JPY",E276)),1000,IF(ISNUMBER(SEARCH("XAU",E276)),100,IF(OR(ISNUMBER(SEARCH("30",E276)),ISNUMBER(SEARCH("500",E276)),ISNUMBER(SEARCH("100",E276))),100,100000))),0))</f>
        <v/>
      </c>
      <c r="AF276" s="31" t="str">
        <f aca="false">IF(OR(K276="",M276="",L276=""),"",IFERROR(ABS(M276-K276)/ABS(K276-L276),0))</f>
        <v/>
      </c>
      <c r="AG276" s="31" t="str">
        <f aca="false">IF(OR(AE276="",AE276=0,Q276=0,Q276=""),"",IFERROR(AE276/Q276,0))</f>
        <v/>
      </c>
      <c r="AH276" s="32" t="str">
        <f aca="false">IF(AB276="","Open",IF(AG276="","Open",IF(AG276&gt;0.1,"Win",IF(AG276&lt;-0.1,"Loss","Breakeven"))))</f>
        <v>Open</v>
      </c>
      <c r="AI276" s="33" t="str">
        <f aca="false">IF(OR(B276="",D276=""),"",D276-B276)</f>
        <v/>
      </c>
      <c r="AJ276" s="24" t="str">
        <f aca="false">IF(AD276="","",IFERROR((AD276-K276)*IF(F276="Sell",-1,1)/IF(ISNUMBER(SEARCH("JPY",E276)),0.01,IF(ISNUMBER(SEARCH("XAU",E276)),0.01,IF(OR(ISNUMBER(SEARCH("30",E276)),ISNUMBER(SEARCH("500",E276)),ISNUMBER(SEARCH("100",E276))),1,0.0001))),0))</f>
        <v/>
      </c>
      <c r="AK276" s="10"/>
      <c r="AL276" s="10"/>
      <c r="AM276" s="10"/>
      <c r="AN276" s="10"/>
      <c r="AO276" s="27" t="str">
        <f aca="false">IF(AE276="","",IFERROR(IF(AO275="",SETTINGS!$B$6,AO275),SETTINGS!$B$6)+IF(AE276="",0,AE276))</f>
        <v/>
      </c>
      <c r="AP276" s="2"/>
    </row>
    <row r="277" customFormat="false" ht="15" hidden="false" customHeight="false" outlineLevel="0" collapsed="false">
      <c r="A277" s="24" t="str">
        <f aca="false">IF(B277="","",ROW()-3)</f>
        <v/>
      </c>
      <c r="B277" s="34"/>
      <c r="C277" s="12"/>
      <c r="D277" s="34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35"/>
      <c r="P277" s="24" t="str">
        <f aca="false">IF(K277="","",IFERROR(ABS(K277-L277)/IF(ISNUMBER(SEARCH("JPY",E277)),0.01,IF(ISNUMBER(SEARCH("XAU",E277)),0.01,IF(OR(ISNUMBER(SEARCH("30",E277)),ISNUMBER(SEARCH("500",E277)),ISNUMBER(SEARCH("100",E277))),1,0.0001))),0))</f>
        <v/>
      </c>
      <c r="Q277" s="27" t="str">
        <f aca="false">IF(K277="","",SETTINGS!$B$6*O277)</f>
        <v/>
      </c>
      <c r="R277" s="24" t="str">
        <f aca="false">IF(K277="","",IFERROR(Q277/(P277*IF(ISNUMBER(SEARCH("JPY",E277)),9.09,IF(ISNUMBER(SEARCH("XAU",E277)),1,IF(OR(ISNUMBER(SEARCH("30",E277)),ISNUMBER(SEARCH("500",E277)),ISNUMBER(SEARCH("100",E277))),1,10)))),0))</f>
        <v/>
      </c>
      <c r="S277" s="12"/>
      <c r="T277" s="36"/>
      <c r="U277" s="27" t="str">
        <f aca="false">IF(OR(S277="",T277=0),"",IFERROR((S277-K277)*IF(F277="Sell",-1,1)*R277*T277*IF(ISNUMBER(SEARCH("JPY",E277)),1000,IF(ISNUMBER(SEARCH("XAU",E277)),100,IF(OR(ISNUMBER(SEARCH("30",E277)),ISNUMBER(SEARCH("500",E277)),ISNUMBER(SEARCH("100",E277))),100,100000))),0))</f>
        <v/>
      </c>
      <c r="V277" s="12"/>
      <c r="W277" s="36"/>
      <c r="X277" s="27" t="str">
        <f aca="false">IF(OR(V277="",W277=0),"",IFERROR((V277-K277)*IF(F277="Sell",-1,1)*R277*W277*IF(ISNUMBER(SEARCH("JPY",E277)),1000,IF(ISNUMBER(SEARCH("XAU",E277)),100,IF(OR(ISNUMBER(SEARCH("30",E277)),ISNUMBER(SEARCH("500",E277)),ISNUMBER(SEARCH("100",E277))),100,100000))),0))</f>
        <v/>
      </c>
      <c r="Y277" s="12"/>
      <c r="Z277" s="36"/>
      <c r="AA277" s="27" t="str">
        <f aca="false">IF(OR(Y277="",Z277=0),"",IFERROR((Y277-K277)*IF(F277="Sell",-1,1)*R277*Z277*IF(ISNUMBER(SEARCH("JPY",E277)),1000,IF(ISNUMBER(SEARCH("XAU",E277)),100,IF(OR(ISNUMBER(SEARCH("30",E277)),ISNUMBER(SEARCH("500",E277)),ISNUMBER(SEARCH("100",E277))),100,100000))),0))</f>
        <v/>
      </c>
      <c r="AB277" s="12"/>
      <c r="AC277" s="29" t="str">
        <f aca="false">IF(K277="","",1-IFERROR(T277,0)-IFERROR(W277,0)-IFERROR(Z277,0))</f>
        <v/>
      </c>
      <c r="AD277" s="30" t="str">
        <f aca="false">IF(AB277="","",IFERROR((IFERROR(S277*T277,0)+IFERROR(V277*W277,0)+IFERROR(Y277*Z277,0)+AB277*AC277)/(IFERROR(T277,0)+IFERROR(W277,0)+IFERROR(Z277,0)+AC277),AB277))</f>
        <v/>
      </c>
      <c r="AE277" s="27" t="str">
        <f aca="false">IF(AB277="","",IF(U277="",0,U277)+IF(X277="",0,X277)+IF(AA277="",0,AA277)+IFERROR((AB277-K277)*IF(F277="Sell",-1,1)*R277*AC277*IF(ISNUMBER(SEARCH("JPY",E277)),1000,IF(ISNUMBER(SEARCH("XAU",E277)),100,IF(OR(ISNUMBER(SEARCH("30",E277)),ISNUMBER(SEARCH("500",E277)),ISNUMBER(SEARCH("100",E277))),100,100000))),0))</f>
        <v/>
      </c>
      <c r="AF277" s="31" t="str">
        <f aca="false">IF(OR(K277="",M277="",L277=""),"",IFERROR(ABS(M277-K277)/ABS(K277-L277),0))</f>
        <v/>
      </c>
      <c r="AG277" s="31" t="str">
        <f aca="false">IF(OR(AE277="",AE277=0,Q277=0,Q277=""),"",IFERROR(AE277/Q277,0))</f>
        <v/>
      </c>
      <c r="AH277" s="32" t="str">
        <f aca="false">IF(AB277="","Open",IF(AG277="","Open",IF(AG277&gt;0.1,"Win",IF(AG277&lt;-0.1,"Loss","Breakeven"))))</f>
        <v>Open</v>
      </c>
      <c r="AI277" s="33" t="str">
        <f aca="false">IF(OR(B277="",D277=""),"",D277-B277)</f>
        <v/>
      </c>
      <c r="AJ277" s="24" t="str">
        <f aca="false">IF(AD277="","",IFERROR((AD277-K277)*IF(F277="Sell",-1,1)/IF(ISNUMBER(SEARCH("JPY",E277)),0.01,IF(ISNUMBER(SEARCH("XAU",E277)),0.01,IF(OR(ISNUMBER(SEARCH("30",E277)),ISNUMBER(SEARCH("500",E277)),ISNUMBER(SEARCH("100",E277))),1,0.0001))),0))</f>
        <v/>
      </c>
      <c r="AK277" s="12"/>
      <c r="AL277" s="12"/>
      <c r="AM277" s="12"/>
      <c r="AN277" s="12"/>
      <c r="AO277" s="27" t="str">
        <f aca="false">IF(AE277="","",IFERROR(IF(AO276="",SETTINGS!$B$6,AO276),SETTINGS!$B$6)+IF(AE277="",0,AE277))</f>
        <v/>
      </c>
      <c r="AP277" s="2"/>
    </row>
    <row r="278" customFormat="false" ht="15" hidden="false" customHeight="false" outlineLevel="0" collapsed="false">
      <c r="A278" s="24" t="str">
        <f aca="false">IF(B278="","",ROW()-3)</f>
        <v/>
      </c>
      <c r="B278" s="25"/>
      <c r="C278" s="10"/>
      <c r="D278" s="25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26"/>
      <c r="P278" s="24" t="str">
        <f aca="false">IF(K278="","",IFERROR(ABS(K278-L278)/IF(ISNUMBER(SEARCH("JPY",E278)),0.01,IF(ISNUMBER(SEARCH("XAU",E278)),0.01,IF(OR(ISNUMBER(SEARCH("30",E278)),ISNUMBER(SEARCH("500",E278)),ISNUMBER(SEARCH("100",E278))),1,0.0001))),0))</f>
        <v/>
      </c>
      <c r="Q278" s="27" t="str">
        <f aca="false">IF(K278="","",SETTINGS!$B$6*O278)</f>
        <v/>
      </c>
      <c r="R278" s="24" t="str">
        <f aca="false">IF(K278="","",IFERROR(Q278/(P278*IF(ISNUMBER(SEARCH("JPY",E278)),9.09,IF(ISNUMBER(SEARCH("XAU",E278)),1,IF(OR(ISNUMBER(SEARCH("30",E278)),ISNUMBER(SEARCH("500",E278)),ISNUMBER(SEARCH("100",E278))),1,10)))),0))</f>
        <v/>
      </c>
      <c r="S278" s="10"/>
      <c r="T278" s="28"/>
      <c r="U278" s="27" t="str">
        <f aca="false">IF(OR(S278="",T278=0),"",IFERROR((S278-K278)*IF(F278="Sell",-1,1)*R278*T278*IF(ISNUMBER(SEARCH("JPY",E278)),1000,IF(ISNUMBER(SEARCH("XAU",E278)),100,IF(OR(ISNUMBER(SEARCH("30",E278)),ISNUMBER(SEARCH("500",E278)),ISNUMBER(SEARCH("100",E278))),100,100000))),0))</f>
        <v/>
      </c>
      <c r="V278" s="10"/>
      <c r="W278" s="28"/>
      <c r="X278" s="27" t="str">
        <f aca="false">IF(OR(V278="",W278=0),"",IFERROR((V278-K278)*IF(F278="Sell",-1,1)*R278*W278*IF(ISNUMBER(SEARCH("JPY",E278)),1000,IF(ISNUMBER(SEARCH("XAU",E278)),100,IF(OR(ISNUMBER(SEARCH("30",E278)),ISNUMBER(SEARCH("500",E278)),ISNUMBER(SEARCH("100",E278))),100,100000))),0))</f>
        <v/>
      </c>
      <c r="Y278" s="10"/>
      <c r="Z278" s="28"/>
      <c r="AA278" s="27" t="str">
        <f aca="false">IF(OR(Y278="",Z278=0),"",IFERROR((Y278-K278)*IF(F278="Sell",-1,1)*R278*Z278*IF(ISNUMBER(SEARCH("JPY",E278)),1000,IF(ISNUMBER(SEARCH("XAU",E278)),100,IF(OR(ISNUMBER(SEARCH("30",E278)),ISNUMBER(SEARCH("500",E278)),ISNUMBER(SEARCH("100",E278))),100,100000))),0))</f>
        <v/>
      </c>
      <c r="AB278" s="10"/>
      <c r="AC278" s="29" t="str">
        <f aca="false">IF(K278="","",1-IFERROR(T278,0)-IFERROR(W278,0)-IFERROR(Z278,0))</f>
        <v/>
      </c>
      <c r="AD278" s="30" t="str">
        <f aca="false">IF(AB278="","",IFERROR((IFERROR(S278*T278,0)+IFERROR(V278*W278,0)+IFERROR(Y278*Z278,0)+AB278*AC278)/(IFERROR(T278,0)+IFERROR(W278,0)+IFERROR(Z278,0)+AC278),AB278))</f>
        <v/>
      </c>
      <c r="AE278" s="27" t="str">
        <f aca="false">IF(AB278="","",IF(U278="",0,U278)+IF(X278="",0,X278)+IF(AA278="",0,AA278)+IFERROR((AB278-K278)*IF(F278="Sell",-1,1)*R278*AC278*IF(ISNUMBER(SEARCH("JPY",E278)),1000,IF(ISNUMBER(SEARCH("XAU",E278)),100,IF(OR(ISNUMBER(SEARCH("30",E278)),ISNUMBER(SEARCH("500",E278)),ISNUMBER(SEARCH("100",E278))),100,100000))),0))</f>
        <v/>
      </c>
      <c r="AF278" s="31" t="str">
        <f aca="false">IF(OR(K278="",M278="",L278=""),"",IFERROR(ABS(M278-K278)/ABS(K278-L278),0))</f>
        <v/>
      </c>
      <c r="AG278" s="31" t="str">
        <f aca="false">IF(OR(AE278="",AE278=0,Q278=0,Q278=""),"",IFERROR(AE278/Q278,0))</f>
        <v/>
      </c>
      <c r="AH278" s="32" t="str">
        <f aca="false">IF(AB278="","Open",IF(AG278="","Open",IF(AG278&gt;0.1,"Win",IF(AG278&lt;-0.1,"Loss","Breakeven"))))</f>
        <v>Open</v>
      </c>
      <c r="AI278" s="33" t="str">
        <f aca="false">IF(OR(B278="",D278=""),"",D278-B278)</f>
        <v/>
      </c>
      <c r="AJ278" s="24" t="str">
        <f aca="false">IF(AD278="","",IFERROR((AD278-K278)*IF(F278="Sell",-1,1)/IF(ISNUMBER(SEARCH("JPY",E278)),0.01,IF(ISNUMBER(SEARCH("XAU",E278)),0.01,IF(OR(ISNUMBER(SEARCH("30",E278)),ISNUMBER(SEARCH("500",E278)),ISNUMBER(SEARCH("100",E278))),1,0.0001))),0))</f>
        <v/>
      </c>
      <c r="AK278" s="10"/>
      <c r="AL278" s="10"/>
      <c r="AM278" s="10"/>
      <c r="AN278" s="10"/>
      <c r="AO278" s="27" t="str">
        <f aca="false">IF(AE278="","",IFERROR(IF(AO277="",SETTINGS!$B$6,AO277),SETTINGS!$B$6)+IF(AE278="",0,AE278))</f>
        <v/>
      </c>
      <c r="AP278" s="2"/>
    </row>
    <row r="279" customFormat="false" ht="15" hidden="false" customHeight="false" outlineLevel="0" collapsed="false">
      <c r="A279" s="24" t="str">
        <f aca="false">IF(B279="","",ROW()-3)</f>
        <v/>
      </c>
      <c r="B279" s="34"/>
      <c r="C279" s="12"/>
      <c r="D279" s="34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35"/>
      <c r="P279" s="24" t="str">
        <f aca="false">IF(K279="","",IFERROR(ABS(K279-L279)/IF(ISNUMBER(SEARCH("JPY",E279)),0.01,IF(ISNUMBER(SEARCH("XAU",E279)),0.01,IF(OR(ISNUMBER(SEARCH("30",E279)),ISNUMBER(SEARCH("500",E279)),ISNUMBER(SEARCH("100",E279))),1,0.0001))),0))</f>
        <v/>
      </c>
      <c r="Q279" s="27" t="str">
        <f aca="false">IF(K279="","",SETTINGS!$B$6*O279)</f>
        <v/>
      </c>
      <c r="R279" s="24" t="str">
        <f aca="false">IF(K279="","",IFERROR(Q279/(P279*IF(ISNUMBER(SEARCH("JPY",E279)),9.09,IF(ISNUMBER(SEARCH("XAU",E279)),1,IF(OR(ISNUMBER(SEARCH("30",E279)),ISNUMBER(SEARCH("500",E279)),ISNUMBER(SEARCH("100",E279))),1,10)))),0))</f>
        <v/>
      </c>
      <c r="S279" s="12"/>
      <c r="T279" s="36"/>
      <c r="U279" s="27" t="str">
        <f aca="false">IF(OR(S279="",T279=0),"",IFERROR((S279-K279)*IF(F279="Sell",-1,1)*R279*T279*IF(ISNUMBER(SEARCH("JPY",E279)),1000,IF(ISNUMBER(SEARCH("XAU",E279)),100,IF(OR(ISNUMBER(SEARCH("30",E279)),ISNUMBER(SEARCH("500",E279)),ISNUMBER(SEARCH("100",E279))),100,100000))),0))</f>
        <v/>
      </c>
      <c r="V279" s="12"/>
      <c r="W279" s="36"/>
      <c r="X279" s="27" t="str">
        <f aca="false">IF(OR(V279="",W279=0),"",IFERROR((V279-K279)*IF(F279="Sell",-1,1)*R279*W279*IF(ISNUMBER(SEARCH("JPY",E279)),1000,IF(ISNUMBER(SEARCH("XAU",E279)),100,IF(OR(ISNUMBER(SEARCH("30",E279)),ISNUMBER(SEARCH("500",E279)),ISNUMBER(SEARCH("100",E279))),100,100000))),0))</f>
        <v/>
      </c>
      <c r="Y279" s="12"/>
      <c r="Z279" s="36"/>
      <c r="AA279" s="27" t="str">
        <f aca="false">IF(OR(Y279="",Z279=0),"",IFERROR((Y279-K279)*IF(F279="Sell",-1,1)*R279*Z279*IF(ISNUMBER(SEARCH("JPY",E279)),1000,IF(ISNUMBER(SEARCH("XAU",E279)),100,IF(OR(ISNUMBER(SEARCH("30",E279)),ISNUMBER(SEARCH("500",E279)),ISNUMBER(SEARCH("100",E279))),100,100000))),0))</f>
        <v/>
      </c>
      <c r="AB279" s="12"/>
      <c r="AC279" s="29" t="str">
        <f aca="false">IF(K279="","",1-IFERROR(T279,0)-IFERROR(W279,0)-IFERROR(Z279,0))</f>
        <v/>
      </c>
      <c r="AD279" s="30" t="str">
        <f aca="false">IF(AB279="","",IFERROR((IFERROR(S279*T279,0)+IFERROR(V279*W279,0)+IFERROR(Y279*Z279,0)+AB279*AC279)/(IFERROR(T279,0)+IFERROR(W279,0)+IFERROR(Z279,0)+AC279),AB279))</f>
        <v/>
      </c>
      <c r="AE279" s="27" t="str">
        <f aca="false">IF(AB279="","",IF(U279="",0,U279)+IF(X279="",0,X279)+IF(AA279="",0,AA279)+IFERROR((AB279-K279)*IF(F279="Sell",-1,1)*R279*AC279*IF(ISNUMBER(SEARCH("JPY",E279)),1000,IF(ISNUMBER(SEARCH("XAU",E279)),100,IF(OR(ISNUMBER(SEARCH("30",E279)),ISNUMBER(SEARCH("500",E279)),ISNUMBER(SEARCH("100",E279))),100,100000))),0))</f>
        <v/>
      </c>
      <c r="AF279" s="31" t="str">
        <f aca="false">IF(OR(K279="",M279="",L279=""),"",IFERROR(ABS(M279-K279)/ABS(K279-L279),0))</f>
        <v/>
      </c>
      <c r="AG279" s="31" t="str">
        <f aca="false">IF(OR(AE279="",AE279=0,Q279=0,Q279=""),"",IFERROR(AE279/Q279,0))</f>
        <v/>
      </c>
      <c r="AH279" s="32" t="str">
        <f aca="false">IF(AB279="","Open",IF(AG279="","Open",IF(AG279&gt;0.1,"Win",IF(AG279&lt;-0.1,"Loss","Breakeven"))))</f>
        <v>Open</v>
      </c>
      <c r="AI279" s="33" t="str">
        <f aca="false">IF(OR(B279="",D279=""),"",D279-B279)</f>
        <v/>
      </c>
      <c r="AJ279" s="24" t="str">
        <f aca="false">IF(AD279="","",IFERROR((AD279-K279)*IF(F279="Sell",-1,1)/IF(ISNUMBER(SEARCH("JPY",E279)),0.01,IF(ISNUMBER(SEARCH("XAU",E279)),0.01,IF(OR(ISNUMBER(SEARCH("30",E279)),ISNUMBER(SEARCH("500",E279)),ISNUMBER(SEARCH("100",E279))),1,0.0001))),0))</f>
        <v/>
      </c>
      <c r="AK279" s="12"/>
      <c r="AL279" s="12"/>
      <c r="AM279" s="12"/>
      <c r="AN279" s="12"/>
      <c r="AO279" s="27" t="str">
        <f aca="false">IF(AE279="","",IFERROR(IF(AO278="",SETTINGS!$B$6,AO278),SETTINGS!$B$6)+IF(AE279="",0,AE279))</f>
        <v/>
      </c>
      <c r="AP279" s="2"/>
    </row>
    <row r="280" customFormat="false" ht="15" hidden="false" customHeight="false" outlineLevel="0" collapsed="false">
      <c r="A280" s="24" t="str">
        <f aca="false">IF(B280="","",ROW()-3)</f>
        <v/>
      </c>
      <c r="B280" s="25"/>
      <c r="C280" s="10"/>
      <c r="D280" s="25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26"/>
      <c r="P280" s="24" t="str">
        <f aca="false">IF(K280="","",IFERROR(ABS(K280-L280)/IF(ISNUMBER(SEARCH("JPY",E280)),0.01,IF(ISNUMBER(SEARCH("XAU",E280)),0.01,IF(OR(ISNUMBER(SEARCH("30",E280)),ISNUMBER(SEARCH("500",E280)),ISNUMBER(SEARCH("100",E280))),1,0.0001))),0))</f>
        <v/>
      </c>
      <c r="Q280" s="27" t="str">
        <f aca="false">IF(K280="","",SETTINGS!$B$6*O280)</f>
        <v/>
      </c>
      <c r="R280" s="24" t="str">
        <f aca="false">IF(K280="","",IFERROR(Q280/(P280*IF(ISNUMBER(SEARCH("JPY",E280)),9.09,IF(ISNUMBER(SEARCH("XAU",E280)),1,IF(OR(ISNUMBER(SEARCH("30",E280)),ISNUMBER(SEARCH("500",E280)),ISNUMBER(SEARCH("100",E280))),1,10)))),0))</f>
        <v/>
      </c>
      <c r="S280" s="10"/>
      <c r="T280" s="28"/>
      <c r="U280" s="27" t="str">
        <f aca="false">IF(OR(S280="",T280=0),"",IFERROR((S280-K280)*IF(F280="Sell",-1,1)*R280*T280*IF(ISNUMBER(SEARCH("JPY",E280)),1000,IF(ISNUMBER(SEARCH("XAU",E280)),100,IF(OR(ISNUMBER(SEARCH("30",E280)),ISNUMBER(SEARCH("500",E280)),ISNUMBER(SEARCH("100",E280))),100,100000))),0))</f>
        <v/>
      </c>
      <c r="V280" s="10"/>
      <c r="W280" s="28"/>
      <c r="X280" s="27" t="str">
        <f aca="false">IF(OR(V280="",W280=0),"",IFERROR((V280-K280)*IF(F280="Sell",-1,1)*R280*W280*IF(ISNUMBER(SEARCH("JPY",E280)),1000,IF(ISNUMBER(SEARCH("XAU",E280)),100,IF(OR(ISNUMBER(SEARCH("30",E280)),ISNUMBER(SEARCH("500",E280)),ISNUMBER(SEARCH("100",E280))),100,100000))),0))</f>
        <v/>
      </c>
      <c r="Y280" s="10"/>
      <c r="Z280" s="28"/>
      <c r="AA280" s="27" t="str">
        <f aca="false">IF(OR(Y280="",Z280=0),"",IFERROR((Y280-K280)*IF(F280="Sell",-1,1)*R280*Z280*IF(ISNUMBER(SEARCH("JPY",E280)),1000,IF(ISNUMBER(SEARCH("XAU",E280)),100,IF(OR(ISNUMBER(SEARCH("30",E280)),ISNUMBER(SEARCH("500",E280)),ISNUMBER(SEARCH("100",E280))),100,100000))),0))</f>
        <v/>
      </c>
      <c r="AB280" s="10"/>
      <c r="AC280" s="29" t="str">
        <f aca="false">IF(K280="","",1-IFERROR(T280,0)-IFERROR(W280,0)-IFERROR(Z280,0))</f>
        <v/>
      </c>
      <c r="AD280" s="30" t="str">
        <f aca="false">IF(AB280="","",IFERROR((IFERROR(S280*T280,0)+IFERROR(V280*W280,0)+IFERROR(Y280*Z280,0)+AB280*AC280)/(IFERROR(T280,0)+IFERROR(W280,0)+IFERROR(Z280,0)+AC280),AB280))</f>
        <v/>
      </c>
      <c r="AE280" s="27" t="str">
        <f aca="false">IF(AB280="","",IF(U280="",0,U280)+IF(X280="",0,X280)+IF(AA280="",0,AA280)+IFERROR((AB280-K280)*IF(F280="Sell",-1,1)*R280*AC280*IF(ISNUMBER(SEARCH("JPY",E280)),1000,IF(ISNUMBER(SEARCH("XAU",E280)),100,IF(OR(ISNUMBER(SEARCH("30",E280)),ISNUMBER(SEARCH("500",E280)),ISNUMBER(SEARCH("100",E280))),100,100000))),0))</f>
        <v/>
      </c>
      <c r="AF280" s="31" t="str">
        <f aca="false">IF(OR(K280="",M280="",L280=""),"",IFERROR(ABS(M280-K280)/ABS(K280-L280),0))</f>
        <v/>
      </c>
      <c r="AG280" s="31" t="str">
        <f aca="false">IF(OR(AE280="",AE280=0,Q280=0,Q280=""),"",IFERROR(AE280/Q280,0))</f>
        <v/>
      </c>
      <c r="AH280" s="32" t="str">
        <f aca="false">IF(AB280="","Open",IF(AG280="","Open",IF(AG280&gt;0.1,"Win",IF(AG280&lt;-0.1,"Loss","Breakeven"))))</f>
        <v>Open</v>
      </c>
      <c r="AI280" s="33" t="str">
        <f aca="false">IF(OR(B280="",D280=""),"",D280-B280)</f>
        <v/>
      </c>
      <c r="AJ280" s="24" t="str">
        <f aca="false">IF(AD280="","",IFERROR((AD280-K280)*IF(F280="Sell",-1,1)/IF(ISNUMBER(SEARCH("JPY",E280)),0.01,IF(ISNUMBER(SEARCH("XAU",E280)),0.01,IF(OR(ISNUMBER(SEARCH("30",E280)),ISNUMBER(SEARCH("500",E280)),ISNUMBER(SEARCH("100",E280))),1,0.0001))),0))</f>
        <v/>
      </c>
      <c r="AK280" s="10"/>
      <c r="AL280" s="10"/>
      <c r="AM280" s="10"/>
      <c r="AN280" s="10"/>
      <c r="AO280" s="27" t="str">
        <f aca="false">IF(AE280="","",IFERROR(IF(AO279="",SETTINGS!$B$6,AO279),SETTINGS!$B$6)+IF(AE280="",0,AE280))</f>
        <v/>
      </c>
      <c r="AP280" s="2"/>
    </row>
    <row r="281" customFormat="false" ht="15" hidden="false" customHeight="false" outlineLevel="0" collapsed="false">
      <c r="A281" s="24" t="str">
        <f aca="false">IF(B281="","",ROW()-3)</f>
        <v/>
      </c>
      <c r="B281" s="34"/>
      <c r="C281" s="12"/>
      <c r="D281" s="34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35"/>
      <c r="P281" s="24" t="str">
        <f aca="false">IF(K281="","",IFERROR(ABS(K281-L281)/IF(ISNUMBER(SEARCH("JPY",E281)),0.01,IF(ISNUMBER(SEARCH("XAU",E281)),0.01,IF(OR(ISNUMBER(SEARCH("30",E281)),ISNUMBER(SEARCH("500",E281)),ISNUMBER(SEARCH("100",E281))),1,0.0001))),0))</f>
        <v/>
      </c>
      <c r="Q281" s="27" t="str">
        <f aca="false">IF(K281="","",SETTINGS!$B$6*O281)</f>
        <v/>
      </c>
      <c r="R281" s="24" t="str">
        <f aca="false">IF(K281="","",IFERROR(Q281/(P281*IF(ISNUMBER(SEARCH("JPY",E281)),9.09,IF(ISNUMBER(SEARCH("XAU",E281)),1,IF(OR(ISNUMBER(SEARCH("30",E281)),ISNUMBER(SEARCH("500",E281)),ISNUMBER(SEARCH("100",E281))),1,10)))),0))</f>
        <v/>
      </c>
      <c r="S281" s="12"/>
      <c r="T281" s="36"/>
      <c r="U281" s="27" t="str">
        <f aca="false">IF(OR(S281="",T281=0),"",IFERROR((S281-K281)*IF(F281="Sell",-1,1)*R281*T281*IF(ISNUMBER(SEARCH("JPY",E281)),1000,IF(ISNUMBER(SEARCH("XAU",E281)),100,IF(OR(ISNUMBER(SEARCH("30",E281)),ISNUMBER(SEARCH("500",E281)),ISNUMBER(SEARCH("100",E281))),100,100000))),0))</f>
        <v/>
      </c>
      <c r="V281" s="12"/>
      <c r="W281" s="36"/>
      <c r="X281" s="27" t="str">
        <f aca="false">IF(OR(V281="",W281=0),"",IFERROR((V281-K281)*IF(F281="Sell",-1,1)*R281*W281*IF(ISNUMBER(SEARCH("JPY",E281)),1000,IF(ISNUMBER(SEARCH("XAU",E281)),100,IF(OR(ISNUMBER(SEARCH("30",E281)),ISNUMBER(SEARCH("500",E281)),ISNUMBER(SEARCH("100",E281))),100,100000))),0))</f>
        <v/>
      </c>
      <c r="Y281" s="12"/>
      <c r="Z281" s="36"/>
      <c r="AA281" s="27" t="str">
        <f aca="false">IF(OR(Y281="",Z281=0),"",IFERROR((Y281-K281)*IF(F281="Sell",-1,1)*R281*Z281*IF(ISNUMBER(SEARCH("JPY",E281)),1000,IF(ISNUMBER(SEARCH("XAU",E281)),100,IF(OR(ISNUMBER(SEARCH("30",E281)),ISNUMBER(SEARCH("500",E281)),ISNUMBER(SEARCH("100",E281))),100,100000))),0))</f>
        <v/>
      </c>
      <c r="AB281" s="12"/>
      <c r="AC281" s="29" t="str">
        <f aca="false">IF(K281="","",1-IFERROR(T281,0)-IFERROR(W281,0)-IFERROR(Z281,0))</f>
        <v/>
      </c>
      <c r="AD281" s="30" t="str">
        <f aca="false">IF(AB281="","",IFERROR((IFERROR(S281*T281,0)+IFERROR(V281*W281,0)+IFERROR(Y281*Z281,0)+AB281*AC281)/(IFERROR(T281,0)+IFERROR(W281,0)+IFERROR(Z281,0)+AC281),AB281))</f>
        <v/>
      </c>
      <c r="AE281" s="27" t="str">
        <f aca="false">IF(AB281="","",IF(U281="",0,U281)+IF(X281="",0,X281)+IF(AA281="",0,AA281)+IFERROR((AB281-K281)*IF(F281="Sell",-1,1)*R281*AC281*IF(ISNUMBER(SEARCH("JPY",E281)),1000,IF(ISNUMBER(SEARCH("XAU",E281)),100,IF(OR(ISNUMBER(SEARCH("30",E281)),ISNUMBER(SEARCH("500",E281)),ISNUMBER(SEARCH("100",E281))),100,100000))),0))</f>
        <v/>
      </c>
      <c r="AF281" s="31" t="str">
        <f aca="false">IF(OR(K281="",M281="",L281=""),"",IFERROR(ABS(M281-K281)/ABS(K281-L281),0))</f>
        <v/>
      </c>
      <c r="AG281" s="31" t="str">
        <f aca="false">IF(OR(AE281="",AE281=0,Q281=0,Q281=""),"",IFERROR(AE281/Q281,0))</f>
        <v/>
      </c>
      <c r="AH281" s="32" t="str">
        <f aca="false">IF(AB281="","Open",IF(AG281="","Open",IF(AG281&gt;0.1,"Win",IF(AG281&lt;-0.1,"Loss","Breakeven"))))</f>
        <v>Open</v>
      </c>
      <c r="AI281" s="33" t="str">
        <f aca="false">IF(OR(B281="",D281=""),"",D281-B281)</f>
        <v/>
      </c>
      <c r="AJ281" s="24" t="str">
        <f aca="false">IF(AD281="","",IFERROR((AD281-K281)*IF(F281="Sell",-1,1)/IF(ISNUMBER(SEARCH("JPY",E281)),0.01,IF(ISNUMBER(SEARCH("XAU",E281)),0.01,IF(OR(ISNUMBER(SEARCH("30",E281)),ISNUMBER(SEARCH("500",E281)),ISNUMBER(SEARCH("100",E281))),1,0.0001))),0))</f>
        <v/>
      </c>
      <c r="AK281" s="12"/>
      <c r="AL281" s="12"/>
      <c r="AM281" s="12"/>
      <c r="AN281" s="12"/>
      <c r="AO281" s="27" t="str">
        <f aca="false">IF(AE281="","",IFERROR(IF(AO280="",SETTINGS!$B$6,AO280),SETTINGS!$B$6)+IF(AE281="",0,AE281))</f>
        <v/>
      </c>
      <c r="AP281" s="2"/>
    </row>
    <row r="282" customFormat="false" ht="15" hidden="false" customHeight="false" outlineLevel="0" collapsed="false">
      <c r="A282" s="24" t="str">
        <f aca="false">IF(B282="","",ROW()-3)</f>
        <v/>
      </c>
      <c r="B282" s="25"/>
      <c r="C282" s="10"/>
      <c r="D282" s="25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26"/>
      <c r="P282" s="24" t="str">
        <f aca="false">IF(K282="","",IFERROR(ABS(K282-L282)/IF(ISNUMBER(SEARCH("JPY",E282)),0.01,IF(ISNUMBER(SEARCH("XAU",E282)),0.01,IF(OR(ISNUMBER(SEARCH("30",E282)),ISNUMBER(SEARCH("500",E282)),ISNUMBER(SEARCH("100",E282))),1,0.0001))),0))</f>
        <v/>
      </c>
      <c r="Q282" s="27" t="str">
        <f aca="false">IF(K282="","",SETTINGS!$B$6*O282)</f>
        <v/>
      </c>
      <c r="R282" s="24" t="str">
        <f aca="false">IF(K282="","",IFERROR(Q282/(P282*IF(ISNUMBER(SEARCH("JPY",E282)),9.09,IF(ISNUMBER(SEARCH("XAU",E282)),1,IF(OR(ISNUMBER(SEARCH("30",E282)),ISNUMBER(SEARCH("500",E282)),ISNUMBER(SEARCH("100",E282))),1,10)))),0))</f>
        <v/>
      </c>
      <c r="S282" s="10"/>
      <c r="T282" s="28"/>
      <c r="U282" s="27" t="str">
        <f aca="false">IF(OR(S282="",T282=0),"",IFERROR((S282-K282)*IF(F282="Sell",-1,1)*R282*T282*IF(ISNUMBER(SEARCH("JPY",E282)),1000,IF(ISNUMBER(SEARCH("XAU",E282)),100,IF(OR(ISNUMBER(SEARCH("30",E282)),ISNUMBER(SEARCH("500",E282)),ISNUMBER(SEARCH("100",E282))),100,100000))),0))</f>
        <v/>
      </c>
      <c r="V282" s="10"/>
      <c r="W282" s="28"/>
      <c r="X282" s="27" t="str">
        <f aca="false">IF(OR(V282="",W282=0),"",IFERROR((V282-K282)*IF(F282="Sell",-1,1)*R282*W282*IF(ISNUMBER(SEARCH("JPY",E282)),1000,IF(ISNUMBER(SEARCH("XAU",E282)),100,IF(OR(ISNUMBER(SEARCH("30",E282)),ISNUMBER(SEARCH("500",E282)),ISNUMBER(SEARCH("100",E282))),100,100000))),0))</f>
        <v/>
      </c>
      <c r="Y282" s="10"/>
      <c r="Z282" s="28"/>
      <c r="AA282" s="27" t="str">
        <f aca="false">IF(OR(Y282="",Z282=0),"",IFERROR((Y282-K282)*IF(F282="Sell",-1,1)*R282*Z282*IF(ISNUMBER(SEARCH("JPY",E282)),1000,IF(ISNUMBER(SEARCH("XAU",E282)),100,IF(OR(ISNUMBER(SEARCH("30",E282)),ISNUMBER(SEARCH("500",E282)),ISNUMBER(SEARCH("100",E282))),100,100000))),0))</f>
        <v/>
      </c>
      <c r="AB282" s="10"/>
      <c r="AC282" s="29" t="str">
        <f aca="false">IF(K282="","",1-IFERROR(T282,0)-IFERROR(W282,0)-IFERROR(Z282,0))</f>
        <v/>
      </c>
      <c r="AD282" s="30" t="str">
        <f aca="false">IF(AB282="","",IFERROR((IFERROR(S282*T282,0)+IFERROR(V282*W282,0)+IFERROR(Y282*Z282,0)+AB282*AC282)/(IFERROR(T282,0)+IFERROR(W282,0)+IFERROR(Z282,0)+AC282),AB282))</f>
        <v/>
      </c>
      <c r="AE282" s="27" t="str">
        <f aca="false">IF(AB282="","",IF(U282="",0,U282)+IF(X282="",0,X282)+IF(AA282="",0,AA282)+IFERROR((AB282-K282)*IF(F282="Sell",-1,1)*R282*AC282*IF(ISNUMBER(SEARCH("JPY",E282)),1000,IF(ISNUMBER(SEARCH("XAU",E282)),100,IF(OR(ISNUMBER(SEARCH("30",E282)),ISNUMBER(SEARCH("500",E282)),ISNUMBER(SEARCH("100",E282))),100,100000))),0))</f>
        <v/>
      </c>
      <c r="AF282" s="31" t="str">
        <f aca="false">IF(OR(K282="",M282="",L282=""),"",IFERROR(ABS(M282-K282)/ABS(K282-L282),0))</f>
        <v/>
      </c>
      <c r="AG282" s="31" t="str">
        <f aca="false">IF(OR(AE282="",AE282=0,Q282=0,Q282=""),"",IFERROR(AE282/Q282,0))</f>
        <v/>
      </c>
      <c r="AH282" s="32" t="str">
        <f aca="false">IF(AB282="","Open",IF(AG282="","Open",IF(AG282&gt;0.1,"Win",IF(AG282&lt;-0.1,"Loss","Breakeven"))))</f>
        <v>Open</v>
      </c>
      <c r="AI282" s="33" t="str">
        <f aca="false">IF(OR(B282="",D282=""),"",D282-B282)</f>
        <v/>
      </c>
      <c r="AJ282" s="24" t="str">
        <f aca="false">IF(AD282="","",IFERROR((AD282-K282)*IF(F282="Sell",-1,1)/IF(ISNUMBER(SEARCH("JPY",E282)),0.01,IF(ISNUMBER(SEARCH("XAU",E282)),0.01,IF(OR(ISNUMBER(SEARCH("30",E282)),ISNUMBER(SEARCH("500",E282)),ISNUMBER(SEARCH("100",E282))),1,0.0001))),0))</f>
        <v/>
      </c>
      <c r="AK282" s="10"/>
      <c r="AL282" s="10"/>
      <c r="AM282" s="10"/>
      <c r="AN282" s="10"/>
      <c r="AO282" s="27" t="str">
        <f aca="false">IF(AE282="","",IFERROR(IF(AO281="",SETTINGS!$B$6,AO281),SETTINGS!$B$6)+IF(AE282="",0,AE282))</f>
        <v/>
      </c>
      <c r="AP282" s="2"/>
    </row>
    <row r="283" customFormat="false" ht="15" hidden="false" customHeight="false" outlineLevel="0" collapsed="false">
      <c r="A283" s="24" t="str">
        <f aca="false">IF(B283="","",ROW()-3)</f>
        <v/>
      </c>
      <c r="B283" s="34"/>
      <c r="C283" s="12"/>
      <c r="D283" s="34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35"/>
      <c r="P283" s="24" t="str">
        <f aca="false">IF(K283="","",IFERROR(ABS(K283-L283)/IF(ISNUMBER(SEARCH("JPY",E283)),0.01,IF(ISNUMBER(SEARCH("XAU",E283)),0.01,IF(OR(ISNUMBER(SEARCH("30",E283)),ISNUMBER(SEARCH("500",E283)),ISNUMBER(SEARCH("100",E283))),1,0.0001))),0))</f>
        <v/>
      </c>
      <c r="Q283" s="27" t="str">
        <f aca="false">IF(K283="","",SETTINGS!$B$6*O283)</f>
        <v/>
      </c>
      <c r="R283" s="24" t="str">
        <f aca="false">IF(K283="","",IFERROR(Q283/(P283*IF(ISNUMBER(SEARCH("JPY",E283)),9.09,IF(ISNUMBER(SEARCH("XAU",E283)),1,IF(OR(ISNUMBER(SEARCH("30",E283)),ISNUMBER(SEARCH("500",E283)),ISNUMBER(SEARCH("100",E283))),1,10)))),0))</f>
        <v/>
      </c>
      <c r="S283" s="12"/>
      <c r="T283" s="36"/>
      <c r="U283" s="27" t="str">
        <f aca="false">IF(OR(S283="",T283=0),"",IFERROR((S283-K283)*IF(F283="Sell",-1,1)*R283*T283*IF(ISNUMBER(SEARCH("JPY",E283)),1000,IF(ISNUMBER(SEARCH("XAU",E283)),100,IF(OR(ISNUMBER(SEARCH("30",E283)),ISNUMBER(SEARCH("500",E283)),ISNUMBER(SEARCH("100",E283))),100,100000))),0))</f>
        <v/>
      </c>
      <c r="V283" s="12"/>
      <c r="W283" s="36"/>
      <c r="X283" s="27" t="str">
        <f aca="false">IF(OR(V283="",W283=0),"",IFERROR((V283-K283)*IF(F283="Sell",-1,1)*R283*W283*IF(ISNUMBER(SEARCH("JPY",E283)),1000,IF(ISNUMBER(SEARCH("XAU",E283)),100,IF(OR(ISNUMBER(SEARCH("30",E283)),ISNUMBER(SEARCH("500",E283)),ISNUMBER(SEARCH("100",E283))),100,100000))),0))</f>
        <v/>
      </c>
      <c r="Y283" s="12"/>
      <c r="Z283" s="36"/>
      <c r="AA283" s="27" t="str">
        <f aca="false">IF(OR(Y283="",Z283=0),"",IFERROR((Y283-K283)*IF(F283="Sell",-1,1)*R283*Z283*IF(ISNUMBER(SEARCH("JPY",E283)),1000,IF(ISNUMBER(SEARCH("XAU",E283)),100,IF(OR(ISNUMBER(SEARCH("30",E283)),ISNUMBER(SEARCH("500",E283)),ISNUMBER(SEARCH("100",E283))),100,100000))),0))</f>
        <v/>
      </c>
      <c r="AB283" s="12"/>
      <c r="AC283" s="29" t="str">
        <f aca="false">IF(K283="","",1-IFERROR(T283,0)-IFERROR(W283,0)-IFERROR(Z283,0))</f>
        <v/>
      </c>
      <c r="AD283" s="30" t="str">
        <f aca="false">IF(AB283="","",IFERROR((IFERROR(S283*T283,0)+IFERROR(V283*W283,0)+IFERROR(Y283*Z283,0)+AB283*AC283)/(IFERROR(T283,0)+IFERROR(W283,0)+IFERROR(Z283,0)+AC283),AB283))</f>
        <v/>
      </c>
      <c r="AE283" s="27" t="str">
        <f aca="false">IF(AB283="","",IF(U283="",0,U283)+IF(X283="",0,X283)+IF(AA283="",0,AA283)+IFERROR((AB283-K283)*IF(F283="Sell",-1,1)*R283*AC283*IF(ISNUMBER(SEARCH("JPY",E283)),1000,IF(ISNUMBER(SEARCH("XAU",E283)),100,IF(OR(ISNUMBER(SEARCH("30",E283)),ISNUMBER(SEARCH("500",E283)),ISNUMBER(SEARCH("100",E283))),100,100000))),0))</f>
        <v/>
      </c>
      <c r="AF283" s="31" t="str">
        <f aca="false">IF(OR(K283="",M283="",L283=""),"",IFERROR(ABS(M283-K283)/ABS(K283-L283),0))</f>
        <v/>
      </c>
      <c r="AG283" s="31" t="str">
        <f aca="false">IF(OR(AE283="",AE283=0,Q283=0,Q283=""),"",IFERROR(AE283/Q283,0))</f>
        <v/>
      </c>
      <c r="AH283" s="32" t="str">
        <f aca="false">IF(AB283="","Open",IF(AG283="","Open",IF(AG283&gt;0.1,"Win",IF(AG283&lt;-0.1,"Loss","Breakeven"))))</f>
        <v>Open</v>
      </c>
      <c r="AI283" s="33" t="str">
        <f aca="false">IF(OR(B283="",D283=""),"",D283-B283)</f>
        <v/>
      </c>
      <c r="AJ283" s="24" t="str">
        <f aca="false">IF(AD283="","",IFERROR((AD283-K283)*IF(F283="Sell",-1,1)/IF(ISNUMBER(SEARCH("JPY",E283)),0.01,IF(ISNUMBER(SEARCH("XAU",E283)),0.01,IF(OR(ISNUMBER(SEARCH("30",E283)),ISNUMBER(SEARCH("500",E283)),ISNUMBER(SEARCH("100",E283))),1,0.0001))),0))</f>
        <v/>
      </c>
      <c r="AK283" s="12"/>
      <c r="AL283" s="12"/>
      <c r="AM283" s="12"/>
      <c r="AN283" s="12"/>
      <c r="AO283" s="27" t="str">
        <f aca="false">IF(AE283="","",IFERROR(IF(AO282="",SETTINGS!$B$6,AO282),SETTINGS!$B$6)+IF(AE283="",0,AE283))</f>
        <v/>
      </c>
      <c r="AP283" s="2"/>
    </row>
    <row r="284" customFormat="false" ht="15" hidden="false" customHeight="false" outlineLevel="0" collapsed="false">
      <c r="A284" s="24" t="str">
        <f aca="false">IF(B284="","",ROW()-3)</f>
        <v/>
      </c>
      <c r="B284" s="25"/>
      <c r="C284" s="10"/>
      <c r="D284" s="25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26"/>
      <c r="P284" s="24" t="str">
        <f aca="false">IF(K284="","",IFERROR(ABS(K284-L284)/IF(ISNUMBER(SEARCH("JPY",E284)),0.01,IF(ISNUMBER(SEARCH("XAU",E284)),0.01,IF(OR(ISNUMBER(SEARCH("30",E284)),ISNUMBER(SEARCH("500",E284)),ISNUMBER(SEARCH("100",E284))),1,0.0001))),0))</f>
        <v/>
      </c>
      <c r="Q284" s="27" t="str">
        <f aca="false">IF(K284="","",SETTINGS!$B$6*O284)</f>
        <v/>
      </c>
      <c r="R284" s="24" t="str">
        <f aca="false">IF(K284="","",IFERROR(Q284/(P284*IF(ISNUMBER(SEARCH("JPY",E284)),9.09,IF(ISNUMBER(SEARCH("XAU",E284)),1,IF(OR(ISNUMBER(SEARCH("30",E284)),ISNUMBER(SEARCH("500",E284)),ISNUMBER(SEARCH("100",E284))),1,10)))),0))</f>
        <v/>
      </c>
      <c r="S284" s="10"/>
      <c r="T284" s="28"/>
      <c r="U284" s="27" t="str">
        <f aca="false">IF(OR(S284="",T284=0),"",IFERROR((S284-K284)*IF(F284="Sell",-1,1)*R284*T284*IF(ISNUMBER(SEARCH("JPY",E284)),1000,IF(ISNUMBER(SEARCH("XAU",E284)),100,IF(OR(ISNUMBER(SEARCH("30",E284)),ISNUMBER(SEARCH("500",E284)),ISNUMBER(SEARCH("100",E284))),100,100000))),0))</f>
        <v/>
      </c>
      <c r="V284" s="10"/>
      <c r="W284" s="28"/>
      <c r="X284" s="27" t="str">
        <f aca="false">IF(OR(V284="",W284=0),"",IFERROR((V284-K284)*IF(F284="Sell",-1,1)*R284*W284*IF(ISNUMBER(SEARCH("JPY",E284)),1000,IF(ISNUMBER(SEARCH("XAU",E284)),100,IF(OR(ISNUMBER(SEARCH("30",E284)),ISNUMBER(SEARCH("500",E284)),ISNUMBER(SEARCH("100",E284))),100,100000))),0))</f>
        <v/>
      </c>
      <c r="Y284" s="10"/>
      <c r="Z284" s="28"/>
      <c r="AA284" s="27" t="str">
        <f aca="false">IF(OR(Y284="",Z284=0),"",IFERROR((Y284-K284)*IF(F284="Sell",-1,1)*R284*Z284*IF(ISNUMBER(SEARCH("JPY",E284)),1000,IF(ISNUMBER(SEARCH("XAU",E284)),100,IF(OR(ISNUMBER(SEARCH("30",E284)),ISNUMBER(SEARCH("500",E284)),ISNUMBER(SEARCH("100",E284))),100,100000))),0))</f>
        <v/>
      </c>
      <c r="AB284" s="10"/>
      <c r="AC284" s="29" t="str">
        <f aca="false">IF(K284="","",1-IFERROR(T284,0)-IFERROR(W284,0)-IFERROR(Z284,0))</f>
        <v/>
      </c>
      <c r="AD284" s="30" t="str">
        <f aca="false">IF(AB284="","",IFERROR((IFERROR(S284*T284,0)+IFERROR(V284*W284,0)+IFERROR(Y284*Z284,0)+AB284*AC284)/(IFERROR(T284,0)+IFERROR(W284,0)+IFERROR(Z284,0)+AC284),AB284))</f>
        <v/>
      </c>
      <c r="AE284" s="27" t="str">
        <f aca="false">IF(AB284="","",IF(U284="",0,U284)+IF(X284="",0,X284)+IF(AA284="",0,AA284)+IFERROR((AB284-K284)*IF(F284="Sell",-1,1)*R284*AC284*IF(ISNUMBER(SEARCH("JPY",E284)),1000,IF(ISNUMBER(SEARCH("XAU",E284)),100,IF(OR(ISNUMBER(SEARCH("30",E284)),ISNUMBER(SEARCH("500",E284)),ISNUMBER(SEARCH("100",E284))),100,100000))),0))</f>
        <v/>
      </c>
      <c r="AF284" s="31" t="str">
        <f aca="false">IF(OR(K284="",M284="",L284=""),"",IFERROR(ABS(M284-K284)/ABS(K284-L284),0))</f>
        <v/>
      </c>
      <c r="AG284" s="31" t="str">
        <f aca="false">IF(OR(AE284="",AE284=0,Q284=0,Q284=""),"",IFERROR(AE284/Q284,0))</f>
        <v/>
      </c>
      <c r="AH284" s="32" t="str">
        <f aca="false">IF(AB284="","Open",IF(AG284="","Open",IF(AG284&gt;0.1,"Win",IF(AG284&lt;-0.1,"Loss","Breakeven"))))</f>
        <v>Open</v>
      </c>
      <c r="AI284" s="33" t="str">
        <f aca="false">IF(OR(B284="",D284=""),"",D284-B284)</f>
        <v/>
      </c>
      <c r="AJ284" s="24" t="str">
        <f aca="false">IF(AD284="","",IFERROR((AD284-K284)*IF(F284="Sell",-1,1)/IF(ISNUMBER(SEARCH("JPY",E284)),0.01,IF(ISNUMBER(SEARCH("XAU",E284)),0.01,IF(OR(ISNUMBER(SEARCH("30",E284)),ISNUMBER(SEARCH("500",E284)),ISNUMBER(SEARCH("100",E284))),1,0.0001))),0))</f>
        <v/>
      </c>
      <c r="AK284" s="10"/>
      <c r="AL284" s="10"/>
      <c r="AM284" s="10"/>
      <c r="AN284" s="10"/>
      <c r="AO284" s="27" t="str">
        <f aca="false">IF(AE284="","",IFERROR(IF(AO283="",SETTINGS!$B$6,AO283),SETTINGS!$B$6)+IF(AE284="",0,AE284))</f>
        <v/>
      </c>
      <c r="AP284" s="2"/>
    </row>
    <row r="285" customFormat="false" ht="15" hidden="false" customHeight="false" outlineLevel="0" collapsed="false">
      <c r="A285" s="24" t="str">
        <f aca="false">IF(B285="","",ROW()-3)</f>
        <v/>
      </c>
      <c r="B285" s="34"/>
      <c r="C285" s="12"/>
      <c r="D285" s="34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35"/>
      <c r="P285" s="24" t="str">
        <f aca="false">IF(K285="","",IFERROR(ABS(K285-L285)/IF(ISNUMBER(SEARCH("JPY",E285)),0.01,IF(ISNUMBER(SEARCH("XAU",E285)),0.01,IF(OR(ISNUMBER(SEARCH("30",E285)),ISNUMBER(SEARCH("500",E285)),ISNUMBER(SEARCH("100",E285))),1,0.0001))),0))</f>
        <v/>
      </c>
      <c r="Q285" s="27" t="str">
        <f aca="false">IF(K285="","",SETTINGS!$B$6*O285)</f>
        <v/>
      </c>
      <c r="R285" s="24" t="str">
        <f aca="false">IF(K285="","",IFERROR(Q285/(P285*IF(ISNUMBER(SEARCH("JPY",E285)),9.09,IF(ISNUMBER(SEARCH("XAU",E285)),1,IF(OR(ISNUMBER(SEARCH("30",E285)),ISNUMBER(SEARCH("500",E285)),ISNUMBER(SEARCH("100",E285))),1,10)))),0))</f>
        <v/>
      </c>
      <c r="S285" s="12"/>
      <c r="T285" s="36"/>
      <c r="U285" s="27" t="str">
        <f aca="false">IF(OR(S285="",T285=0),"",IFERROR((S285-K285)*IF(F285="Sell",-1,1)*R285*T285*IF(ISNUMBER(SEARCH("JPY",E285)),1000,IF(ISNUMBER(SEARCH("XAU",E285)),100,IF(OR(ISNUMBER(SEARCH("30",E285)),ISNUMBER(SEARCH("500",E285)),ISNUMBER(SEARCH("100",E285))),100,100000))),0))</f>
        <v/>
      </c>
      <c r="V285" s="12"/>
      <c r="W285" s="36"/>
      <c r="X285" s="27" t="str">
        <f aca="false">IF(OR(V285="",W285=0),"",IFERROR((V285-K285)*IF(F285="Sell",-1,1)*R285*W285*IF(ISNUMBER(SEARCH("JPY",E285)),1000,IF(ISNUMBER(SEARCH("XAU",E285)),100,IF(OR(ISNUMBER(SEARCH("30",E285)),ISNUMBER(SEARCH("500",E285)),ISNUMBER(SEARCH("100",E285))),100,100000))),0))</f>
        <v/>
      </c>
      <c r="Y285" s="12"/>
      <c r="Z285" s="36"/>
      <c r="AA285" s="27" t="str">
        <f aca="false">IF(OR(Y285="",Z285=0),"",IFERROR((Y285-K285)*IF(F285="Sell",-1,1)*R285*Z285*IF(ISNUMBER(SEARCH("JPY",E285)),1000,IF(ISNUMBER(SEARCH("XAU",E285)),100,IF(OR(ISNUMBER(SEARCH("30",E285)),ISNUMBER(SEARCH("500",E285)),ISNUMBER(SEARCH("100",E285))),100,100000))),0))</f>
        <v/>
      </c>
      <c r="AB285" s="12"/>
      <c r="AC285" s="29" t="str">
        <f aca="false">IF(K285="","",1-IFERROR(T285,0)-IFERROR(W285,0)-IFERROR(Z285,0))</f>
        <v/>
      </c>
      <c r="AD285" s="30" t="str">
        <f aca="false">IF(AB285="","",IFERROR((IFERROR(S285*T285,0)+IFERROR(V285*W285,0)+IFERROR(Y285*Z285,0)+AB285*AC285)/(IFERROR(T285,0)+IFERROR(W285,0)+IFERROR(Z285,0)+AC285),AB285))</f>
        <v/>
      </c>
      <c r="AE285" s="27" t="str">
        <f aca="false">IF(AB285="","",IF(U285="",0,U285)+IF(X285="",0,X285)+IF(AA285="",0,AA285)+IFERROR((AB285-K285)*IF(F285="Sell",-1,1)*R285*AC285*IF(ISNUMBER(SEARCH("JPY",E285)),1000,IF(ISNUMBER(SEARCH("XAU",E285)),100,IF(OR(ISNUMBER(SEARCH("30",E285)),ISNUMBER(SEARCH("500",E285)),ISNUMBER(SEARCH("100",E285))),100,100000))),0))</f>
        <v/>
      </c>
      <c r="AF285" s="31" t="str">
        <f aca="false">IF(OR(K285="",M285="",L285=""),"",IFERROR(ABS(M285-K285)/ABS(K285-L285),0))</f>
        <v/>
      </c>
      <c r="AG285" s="31" t="str">
        <f aca="false">IF(OR(AE285="",AE285=0,Q285=0,Q285=""),"",IFERROR(AE285/Q285,0))</f>
        <v/>
      </c>
      <c r="AH285" s="32" t="str">
        <f aca="false">IF(AB285="","Open",IF(AG285="","Open",IF(AG285&gt;0.1,"Win",IF(AG285&lt;-0.1,"Loss","Breakeven"))))</f>
        <v>Open</v>
      </c>
      <c r="AI285" s="33" t="str">
        <f aca="false">IF(OR(B285="",D285=""),"",D285-B285)</f>
        <v/>
      </c>
      <c r="AJ285" s="24" t="str">
        <f aca="false">IF(AD285="","",IFERROR((AD285-K285)*IF(F285="Sell",-1,1)/IF(ISNUMBER(SEARCH("JPY",E285)),0.01,IF(ISNUMBER(SEARCH("XAU",E285)),0.01,IF(OR(ISNUMBER(SEARCH("30",E285)),ISNUMBER(SEARCH("500",E285)),ISNUMBER(SEARCH("100",E285))),1,0.0001))),0))</f>
        <v/>
      </c>
      <c r="AK285" s="12"/>
      <c r="AL285" s="12"/>
      <c r="AM285" s="12"/>
      <c r="AN285" s="12"/>
      <c r="AO285" s="27" t="str">
        <f aca="false">IF(AE285="","",IFERROR(IF(AO284="",SETTINGS!$B$6,AO284),SETTINGS!$B$6)+IF(AE285="",0,AE285))</f>
        <v/>
      </c>
      <c r="AP285" s="2"/>
    </row>
    <row r="286" customFormat="false" ht="15" hidden="false" customHeight="false" outlineLevel="0" collapsed="false">
      <c r="A286" s="24" t="str">
        <f aca="false">IF(B286="","",ROW()-3)</f>
        <v/>
      </c>
      <c r="B286" s="25"/>
      <c r="C286" s="10"/>
      <c r="D286" s="25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26"/>
      <c r="P286" s="24" t="str">
        <f aca="false">IF(K286="","",IFERROR(ABS(K286-L286)/IF(ISNUMBER(SEARCH("JPY",E286)),0.01,IF(ISNUMBER(SEARCH("XAU",E286)),0.01,IF(OR(ISNUMBER(SEARCH("30",E286)),ISNUMBER(SEARCH("500",E286)),ISNUMBER(SEARCH("100",E286))),1,0.0001))),0))</f>
        <v/>
      </c>
      <c r="Q286" s="27" t="str">
        <f aca="false">IF(K286="","",SETTINGS!$B$6*O286)</f>
        <v/>
      </c>
      <c r="R286" s="24" t="str">
        <f aca="false">IF(K286="","",IFERROR(Q286/(P286*IF(ISNUMBER(SEARCH("JPY",E286)),9.09,IF(ISNUMBER(SEARCH("XAU",E286)),1,IF(OR(ISNUMBER(SEARCH("30",E286)),ISNUMBER(SEARCH("500",E286)),ISNUMBER(SEARCH("100",E286))),1,10)))),0))</f>
        <v/>
      </c>
      <c r="S286" s="10"/>
      <c r="T286" s="28"/>
      <c r="U286" s="27" t="str">
        <f aca="false">IF(OR(S286="",T286=0),"",IFERROR((S286-K286)*IF(F286="Sell",-1,1)*R286*T286*IF(ISNUMBER(SEARCH("JPY",E286)),1000,IF(ISNUMBER(SEARCH("XAU",E286)),100,IF(OR(ISNUMBER(SEARCH("30",E286)),ISNUMBER(SEARCH("500",E286)),ISNUMBER(SEARCH("100",E286))),100,100000))),0))</f>
        <v/>
      </c>
      <c r="V286" s="10"/>
      <c r="W286" s="28"/>
      <c r="X286" s="27" t="str">
        <f aca="false">IF(OR(V286="",W286=0),"",IFERROR((V286-K286)*IF(F286="Sell",-1,1)*R286*W286*IF(ISNUMBER(SEARCH("JPY",E286)),1000,IF(ISNUMBER(SEARCH("XAU",E286)),100,IF(OR(ISNUMBER(SEARCH("30",E286)),ISNUMBER(SEARCH("500",E286)),ISNUMBER(SEARCH("100",E286))),100,100000))),0))</f>
        <v/>
      </c>
      <c r="Y286" s="10"/>
      <c r="Z286" s="28"/>
      <c r="AA286" s="27" t="str">
        <f aca="false">IF(OR(Y286="",Z286=0),"",IFERROR((Y286-K286)*IF(F286="Sell",-1,1)*R286*Z286*IF(ISNUMBER(SEARCH("JPY",E286)),1000,IF(ISNUMBER(SEARCH("XAU",E286)),100,IF(OR(ISNUMBER(SEARCH("30",E286)),ISNUMBER(SEARCH("500",E286)),ISNUMBER(SEARCH("100",E286))),100,100000))),0))</f>
        <v/>
      </c>
      <c r="AB286" s="10"/>
      <c r="AC286" s="29" t="str">
        <f aca="false">IF(K286="","",1-IFERROR(T286,0)-IFERROR(W286,0)-IFERROR(Z286,0))</f>
        <v/>
      </c>
      <c r="AD286" s="30" t="str">
        <f aca="false">IF(AB286="","",IFERROR((IFERROR(S286*T286,0)+IFERROR(V286*W286,0)+IFERROR(Y286*Z286,0)+AB286*AC286)/(IFERROR(T286,0)+IFERROR(W286,0)+IFERROR(Z286,0)+AC286),AB286))</f>
        <v/>
      </c>
      <c r="AE286" s="27" t="str">
        <f aca="false">IF(AB286="","",IF(U286="",0,U286)+IF(X286="",0,X286)+IF(AA286="",0,AA286)+IFERROR((AB286-K286)*IF(F286="Sell",-1,1)*R286*AC286*IF(ISNUMBER(SEARCH("JPY",E286)),1000,IF(ISNUMBER(SEARCH("XAU",E286)),100,IF(OR(ISNUMBER(SEARCH("30",E286)),ISNUMBER(SEARCH("500",E286)),ISNUMBER(SEARCH("100",E286))),100,100000))),0))</f>
        <v/>
      </c>
      <c r="AF286" s="31" t="str">
        <f aca="false">IF(OR(K286="",M286="",L286=""),"",IFERROR(ABS(M286-K286)/ABS(K286-L286),0))</f>
        <v/>
      </c>
      <c r="AG286" s="31" t="str">
        <f aca="false">IF(OR(AE286="",AE286=0,Q286=0,Q286=""),"",IFERROR(AE286/Q286,0))</f>
        <v/>
      </c>
      <c r="AH286" s="32" t="str">
        <f aca="false">IF(AB286="","Open",IF(AG286="","Open",IF(AG286&gt;0.1,"Win",IF(AG286&lt;-0.1,"Loss","Breakeven"))))</f>
        <v>Open</v>
      </c>
      <c r="AI286" s="33" t="str">
        <f aca="false">IF(OR(B286="",D286=""),"",D286-B286)</f>
        <v/>
      </c>
      <c r="AJ286" s="24" t="str">
        <f aca="false">IF(AD286="","",IFERROR((AD286-K286)*IF(F286="Sell",-1,1)/IF(ISNUMBER(SEARCH("JPY",E286)),0.01,IF(ISNUMBER(SEARCH("XAU",E286)),0.01,IF(OR(ISNUMBER(SEARCH("30",E286)),ISNUMBER(SEARCH("500",E286)),ISNUMBER(SEARCH("100",E286))),1,0.0001))),0))</f>
        <v/>
      </c>
      <c r="AK286" s="10"/>
      <c r="AL286" s="10"/>
      <c r="AM286" s="10"/>
      <c r="AN286" s="10"/>
      <c r="AO286" s="27" t="str">
        <f aca="false">IF(AE286="","",IFERROR(IF(AO285="",SETTINGS!$B$6,AO285),SETTINGS!$B$6)+IF(AE286="",0,AE286))</f>
        <v/>
      </c>
      <c r="AP286" s="2"/>
    </row>
    <row r="287" customFormat="false" ht="15" hidden="false" customHeight="false" outlineLevel="0" collapsed="false">
      <c r="A287" s="24" t="str">
        <f aca="false">IF(B287="","",ROW()-3)</f>
        <v/>
      </c>
      <c r="B287" s="34"/>
      <c r="C287" s="12"/>
      <c r="D287" s="34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35"/>
      <c r="P287" s="24" t="str">
        <f aca="false">IF(K287="","",IFERROR(ABS(K287-L287)/IF(ISNUMBER(SEARCH("JPY",E287)),0.01,IF(ISNUMBER(SEARCH("XAU",E287)),0.01,IF(OR(ISNUMBER(SEARCH("30",E287)),ISNUMBER(SEARCH("500",E287)),ISNUMBER(SEARCH("100",E287))),1,0.0001))),0))</f>
        <v/>
      </c>
      <c r="Q287" s="27" t="str">
        <f aca="false">IF(K287="","",SETTINGS!$B$6*O287)</f>
        <v/>
      </c>
      <c r="R287" s="24" t="str">
        <f aca="false">IF(K287="","",IFERROR(Q287/(P287*IF(ISNUMBER(SEARCH("JPY",E287)),9.09,IF(ISNUMBER(SEARCH("XAU",E287)),1,IF(OR(ISNUMBER(SEARCH("30",E287)),ISNUMBER(SEARCH("500",E287)),ISNUMBER(SEARCH("100",E287))),1,10)))),0))</f>
        <v/>
      </c>
      <c r="S287" s="12"/>
      <c r="T287" s="36"/>
      <c r="U287" s="27" t="str">
        <f aca="false">IF(OR(S287="",T287=0),"",IFERROR((S287-K287)*IF(F287="Sell",-1,1)*R287*T287*IF(ISNUMBER(SEARCH("JPY",E287)),1000,IF(ISNUMBER(SEARCH("XAU",E287)),100,IF(OR(ISNUMBER(SEARCH("30",E287)),ISNUMBER(SEARCH("500",E287)),ISNUMBER(SEARCH("100",E287))),100,100000))),0))</f>
        <v/>
      </c>
      <c r="V287" s="12"/>
      <c r="W287" s="36"/>
      <c r="X287" s="27" t="str">
        <f aca="false">IF(OR(V287="",W287=0),"",IFERROR((V287-K287)*IF(F287="Sell",-1,1)*R287*W287*IF(ISNUMBER(SEARCH("JPY",E287)),1000,IF(ISNUMBER(SEARCH("XAU",E287)),100,IF(OR(ISNUMBER(SEARCH("30",E287)),ISNUMBER(SEARCH("500",E287)),ISNUMBER(SEARCH("100",E287))),100,100000))),0))</f>
        <v/>
      </c>
      <c r="Y287" s="12"/>
      <c r="Z287" s="36"/>
      <c r="AA287" s="27" t="str">
        <f aca="false">IF(OR(Y287="",Z287=0),"",IFERROR((Y287-K287)*IF(F287="Sell",-1,1)*R287*Z287*IF(ISNUMBER(SEARCH("JPY",E287)),1000,IF(ISNUMBER(SEARCH("XAU",E287)),100,IF(OR(ISNUMBER(SEARCH("30",E287)),ISNUMBER(SEARCH("500",E287)),ISNUMBER(SEARCH("100",E287))),100,100000))),0))</f>
        <v/>
      </c>
      <c r="AB287" s="12"/>
      <c r="AC287" s="29" t="str">
        <f aca="false">IF(K287="","",1-IFERROR(T287,0)-IFERROR(W287,0)-IFERROR(Z287,0))</f>
        <v/>
      </c>
      <c r="AD287" s="30" t="str">
        <f aca="false">IF(AB287="","",IFERROR((IFERROR(S287*T287,0)+IFERROR(V287*W287,0)+IFERROR(Y287*Z287,0)+AB287*AC287)/(IFERROR(T287,0)+IFERROR(W287,0)+IFERROR(Z287,0)+AC287),AB287))</f>
        <v/>
      </c>
      <c r="AE287" s="27" t="str">
        <f aca="false">IF(AB287="","",IF(U287="",0,U287)+IF(X287="",0,X287)+IF(AA287="",0,AA287)+IFERROR((AB287-K287)*IF(F287="Sell",-1,1)*R287*AC287*IF(ISNUMBER(SEARCH("JPY",E287)),1000,IF(ISNUMBER(SEARCH("XAU",E287)),100,IF(OR(ISNUMBER(SEARCH("30",E287)),ISNUMBER(SEARCH("500",E287)),ISNUMBER(SEARCH("100",E287))),100,100000))),0))</f>
        <v/>
      </c>
      <c r="AF287" s="31" t="str">
        <f aca="false">IF(OR(K287="",M287="",L287=""),"",IFERROR(ABS(M287-K287)/ABS(K287-L287),0))</f>
        <v/>
      </c>
      <c r="AG287" s="31" t="str">
        <f aca="false">IF(OR(AE287="",AE287=0,Q287=0,Q287=""),"",IFERROR(AE287/Q287,0))</f>
        <v/>
      </c>
      <c r="AH287" s="32" t="str">
        <f aca="false">IF(AB287="","Open",IF(AG287="","Open",IF(AG287&gt;0.1,"Win",IF(AG287&lt;-0.1,"Loss","Breakeven"))))</f>
        <v>Open</v>
      </c>
      <c r="AI287" s="33" t="str">
        <f aca="false">IF(OR(B287="",D287=""),"",D287-B287)</f>
        <v/>
      </c>
      <c r="AJ287" s="24" t="str">
        <f aca="false">IF(AD287="","",IFERROR((AD287-K287)*IF(F287="Sell",-1,1)/IF(ISNUMBER(SEARCH("JPY",E287)),0.01,IF(ISNUMBER(SEARCH("XAU",E287)),0.01,IF(OR(ISNUMBER(SEARCH("30",E287)),ISNUMBER(SEARCH("500",E287)),ISNUMBER(SEARCH("100",E287))),1,0.0001))),0))</f>
        <v/>
      </c>
      <c r="AK287" s="12"/>
      <c r="AL287" s="12"/>
      <c r="AM287" s="12"/>
      <c r="AN287" s="12"/>
      <c r="AO287" s="27" t="str">
        <f aca="false">IF(AE287="","",IFERROR(IF(AO286="",SETTINGS!$B$6,AO286),SETTINGS!$B$6)+IF(AE287="",0,AE287))</f>
        <v/>
      </c>
      <c r="AP287" s="2"/>
    </row>
    <row r="288" customFormat="false" ht="15" hidden="false" customHeight="false" outlineLevel="0" collapsed="false">
      <c r="A288" s="24" t="str">
        <f aca="false">IF(B288="","",ROW()-3)</f>
        <v/>
      </c>
      <c r="B288" s="25"/>
      <c r="C288" s="10"/>
      <c r="D288" s="25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26"/>
      <c r="P288" s="24" t="str">
        <f aca="false">IF(K288="","",IFERROR(ABS(K288-L288)/IF(ISNUMBER(SEARCH("JPY",E288)),0.01,IF(ISNUMBER(SEARCH("XAU",E288)),0.01,IF(OR(ISNUMBER(SEARCH("30",E288)),ISNUMBER(SEARCH("500",E288)),ISNUMBER(SEARCH("100",E288))),1,0.0001))),0))</f>
        <v/>
      </c>
      <c r="Q288" s="27" t="str">
        <f aca="false">IF(K288="","",SETTINGS!$B$6*O288)</f>
        <v/>
      </c>
      <c r="R288" s="24" t="str">
        <f aca="false">IF(K288="","",IFERROR(Q288/(P288*IF(ISNUMBER(SEARCH("JPY",E288)),9.09,IF(ISNUMBER(SEARCH("XAU",E288)),1,IF(OR(ISNUMBER(SEARCH("30",E288)),ISNUMBER(SEARCH("500",E288)),ISNUMBER(SEARCH("100",E288))),1,10)))),0))</f>
        <v/>
      </c>
      <c r="S288" s="10"/>
      <c r="T288" s="28"/>
      <c r="U288" s="27" t="str">
        <f aca="false">IF(OR(S288="",T288=0),"",IFERROR((S288-K288)*IF(F288="Sell",-1,1)*R288*T288*IF(ISNUMBER(SEARCH("JPY",E288)),1000,IF(ISNUMBER(SEARCH("XAU",E288)),100,IF(OR(ISNUMBER(SEARCH("30",E288)),ISNUMBER(SEARCH("500",E288)),ISNUMBER(SEARCH("100",E288))),100,100000))),0))</f>
        <v/>
      </c>
      <c r="V288" s="10"/>
      <c r="W288" s="28"/>
      <c r="X288" s="27" t="str">
        <f aca="false">IF(OR(V288="",W288=0),"",IFERROR((V288-K288)*IF(F288="Sell",-1,1)*R288*W288*IF(ISNUMBER(SEARCH("JPY",E288)),1000,IF(ISNUMBER(SEARCH("XAU",E288)),100,IF(OR(ISNUMBER(SEARCH("30",E288)),ISNUMBER(SEARCH("500",E288)),ISNUMBER(SEARCH("100",E288))),100,100000))),0))</f>
        <v/>
      </c>
      <c r="Y288" s="10"/>
      <c r="Z288" s="28"/>
      <c r="AA288" s="27" t="str">
        <f aca="false">IF(OR(Y288="",Z288=0),"",IFERROR((Y288-K288)*IF(F288="Sell",-1,1)*R288*Z288*IF(ISNUMBER(SEARCH("JPY",E288)),1000,IF(ISNUMBER(SEARCH("XAU",E288)),100,IF(OR(ISNUMBER(SEARCH("30",E288)),ISNUMBER(SEARCH("500",E288)),ISNUMBER(SEARCH("100",E288))),100,100000))),0))</f>
        <v/>
      </c>
      <c r="AB288" s="10"/>
      <c r="AC288" s="29" t="str">
        <f aca="false">IF(K288="","",1-IFERROR(T288,0)-IFERROR(W288,0)-IFERROR(Z288,0))</f>
        <v/>
      </c>
      <c r="AD288" s="30" t="str">
        <f aca="false">IF(AB288="","",IFERROR((IFERROR(S288*T288,0)+IFERROR(V288*W288,0)+IFERROR(Y288*Z288,0)+AB288*AC288)/(IFERROR(T288,0)+IFERROR(W288,0)+IFERROR(Z288,0)+AC288),AB288))</f>
        <v/>
      </c>
      <c r="AE288" s="27" t="str">
        <f aca="false">IF(AB288="","",IF(U288="",0,U288)+IF(X288="",0,X288)+IF(AA288="",0,AA288)+IFERROR((AB288-K288)*IF(F288="Sell",-1,1)*R288*AC288*IF(ISNUMBER(SEARCH("JPY",E288)),1000,IF(ISNUMBER(SEARCH("XAU",E288)),100,IF(OR(ISNUMBER(SEARCH("30",E288)),ISNUMBER(SEARCH("500",E288)),ISNUMBER(SEARCH("100",E288))),100,100000))),0))</f>
        <v/>
      </c>
      <c r="AF288" s="31" t="str">
        <f aca="false">IF(OR(K288="",M288="",L288=""),"",IFERROR(ABS(M288-K288)/ABS(K288-L288),0))</f>
        <v/>
      </c>
      <c r="AG288" s="31" t="str">
        <f aca="false">IF(OR(AE288="",AE288=0,Q288=0,Q288=""),"",IFERROR(AE288/Q288,0))</f>
        <v/>
      </c>
      <c r="AH288" s="32" t="str">
        <f aca="false">IF(AB288="","Open",IF(AG288="","Open",IF(AG288&gt;0.1,"Win",IF(AG288&lt;-0.1,"Loss","Breakeven"))))</f>
        <v>Open</v>
      </c>
      <c r="AI288" s="33" t="str">
        <f aca="false">IF(OR(B288="",D288=""),"",D288-B288)</f>
        <v/>
      </c>
      <c r="AJ288" s="24" t="str">
        <f aca="false">IF(AD288="","",IFERROR((AD288-K288)*IF(F288="Sell",-1,1)/IF(ISNUMBER(SEARCH("JPY",E288)),0.01,IF(ISNUMBER(SEARCH("XAU",E288)),0.01,IF(OR(ISNUMBER(SEARCH("30",E288)),ISNUMBER(SEARCH("500",E288)),ISNUMBER(SEARCH("100",E288))),1,0.0001))),0))</f>
        <v/>
      </c>
      <c r="AK288" s="10"/>
      <c r="AL288" s="10"/>
      <c r="AM288" s="10"/>
      <c r="AN288" s="10"/>
      <c r="AO288" s="27" t="str">
        <f aca="false">IF(AE288="","",IFERROR(IF(AO287="",SETTINGS!$B$6,AO287),SETTINGS!$B$6)+IF(AE288="",0,AE288))</f>
        <v/>
      </c>
      <c r="AP288" s="2"/>
    </row>
    <row r="289" customFormat="false" ht="15" hidden="false" customHeight="false" outlineLevel="0" collapsed="false">
      <c r="A289" s="24" t="str">
        <f aca="false">IF(B289="","",ROW()-3)</f>
        <v/>
      </c>
      <c r="B289" s="34"/>
      <c r="C289" s="12"/>
      <c r="D289" s="34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35"/>
      <c r="P289" s="24" t="str">
        <f aca="false">IF(K289="","",IFERROR(ABS(K289-L289)/IF(ISNUMBER(SEARCH("JPY",E289)),0.01,IF(ISNUMBER(SEARCH("XAU",E289)),0.01,IF(OR(ISNUMBER(SEARCH("30",E289)),ISNUMBER(SEARCH("500",E289)),ISNUMBER(SEARCH("100",E289))),1,0.0001))),0))</f>
        <v/>
      </c>
      <c r="Q289" s="27" t="str">
        <f aca="false">IF(K289="","",SETTINGS!$B$6*O289)</f>
        <v/>
      </c>
      <c r="R289" s="24" t="str">
        <f aca="false">IF(K289="","",IFERROR(Q289/(P289*IF(ISNUMBER(SEARCH("JPY",E289)),9.09,IF(ISNUMBER(SEARCH("XAU",E289)),1,IF(OR(ISNUMBER(SEARCH("30",E289)),ISNUMBER(SEARCH("500",E289)),ISNUMBER(SEARCH("100",E289))),1,10)))),0))</f>
        <v/>
      </c>
      <c r="S289" s="12"/>
      <c r="T289" s="36"/>
      <c r="U289" s="27" t="str">
        <f aca="false">IF(OR(S289="",T289=0),"",IFERROR((S289-K289)*IF(F289="Sell",-1,1)*R289*T289*IF(ISNUMBER(SEARCH("JPY",E289)),1000,IF(ISNUMBER(SEARCH("XAU",E289)),100,IF(OR(ISNUMBER(SEARCH("30",E289)),ISNUMBER(SEARCH("500",E289)),ISNUMBER(SEARCH("100",E289))),100,100000))),0))</f>
        <v/>
      </c>
      <c r="V289" s="12"/>
      <c r="W289" s="36"/>
      <c r="X289" s="27" t="str">
        <f aca="false">IF(OR(V289="",W289=0),"",IFERROR((V289-K289)*IF(F289="Sell",-1,1)*R289*W289*IF(ISNUMBER(SEARCH("JPY",E289)),1000,IF(ISNUMBER(SEARCH("XAU",E289)),100,IF(OR(ISNUMBER(SEARCH("30",E289)),ISNUMBER(SEARCH("500",E289)),ISNUMBER(SEARCH("100",E289))),100,100000))),0))</f>
        <v/>
      </c>
      <c r="Y289" s="12"/>
      <c r="Z289" s="36"/>
      <c r="AA289" s="27" t="str">
        <f aca="false">IF(OR(Y289="",Z289=0),"",IFERROR((Y289-K289)*IF(F289="Sell",-1,1)*R289*Z289*IF(ISNUMBER(SEARCH("JPY",E289)),1000,IF(ISNUMBER(SEARCH("XAU",E289)),100,IF(OR(ISNUMBER(SEARCH("30",E289)),ISNUMBER(SEARCH("500",E289)),ISNUMBER(SEARCH("100",E289))),100,100000))),0))</f>
        <v/>
      </c>
      <c r="AB289" s="12"/>
      <c r="AC289" s="29" t="str">
        <f aca="false">IF(K289="","",1-IFERROR(T289,0)-IFERROR(W289,0)-IFERROR(Z289,0))</f>
        <v/>
      </c>
      <c r="AD289" s="30" t="str">
        <f aca="false">IF(AB289="","",IFERROR((IFERROR(S289*T289,0)+IFERROR(V289*W289,0)+IFERROR(Y289*Z289,0)+AB289*AC289)/(IFERROR(T289,0)+IFERROR(W289,0)+IFERROR(Z289,0)+AC289),AB289))</f>
        <v/>
      </c>
      <c r="AE289" s="27" t="str">
        <f aca="false">IF(AB289="","",IF(U289="",0,U289)+IF(X289="",0,X289)+IF(AA289="",0,AA289)+IFERROR((AB289-K289)*IF(F289="Sell",-1,1)*R289*AC289*IF(ISNUMBER(SEARCH("JPY",E289)),1000,IF(ISNUMBER(SEARCH("XAU",E289)),100,IF(OR(ISNUMBER(SEARCH("30",E289)),ISNUMBER(SEARCH("500",E289)),ISNUMBER(SEARCH("100",E289))),100,100000))),0))</f>
        <v/>
      </c>
      <c r="AF289" s="31" t="str">
        <f aca="false">IF(OR(K289="",M289="",L289=""),"",IFERROR(ABS(M289-K289)/ABS(K289-L289),0))</f>
        <v/>
      </c>
      <c r="AG289" s="31" t="str">
        <f aca="false">IF(OR(AE289="",AE289=0,Q289=0,Q289=""),"",IFERROR(AE289/Q289,0))</f>
        <v/>
      </c>
      <c r="AH289" s="32" t="str">
        <f aca="false">IF(AB289="","Open",IF(AG289="","Open",IF(AG289&gt;0.1,"Win",IF(AG289&lt;-0.1,"Loss","Breakeven"))))</f>
        <v>Open</v>
      </c>
      <c r="AI289" s="33" t="str">
        <f aca="false">IF(OR(B289="",D289=""),"",D289-B289)</f>
        <v/>
      </c>
      <c r="AJ289" s="24" t="str">
        <f aca="false">IF(AD289="","",IFERROR((AD289-K289)*IF(F289="Sell",-1,1)/IF(ISNUMBER(SEARCH("JPY",E289)),0.01,IF(ISNUMBER(SEARCH("XAU",E289)),0.01,IF(OR(ISNUMBER(SEARCH("30",E289)),ISNUMBER(SEARCH("500",E289)),ISNUMBER(SEARCH("100",E289))),1,0.0001))),0))</f>
        <v/>
      </c>
      <c r="AK289" s="12"/>
      <c r="AL289" s="12"/>
      <c r="AM289" s="12"/>
      <c r="AN289" s="12"/>
      <c r="AO289" s="27" t="str">
        <f aca="false">IF(AE289="","",IFERROR(IF(AO288="",SETTINGS!$B$6,AO288),SETTINGS!$B$6)+IF(AE289="",0,AE289))</f>
        <v/>
      </c>
      <c r="AP289" s="2"/>
    </row>
    <row r="290" customFormat="false" ht="15" hidden="false" customHeight="false" outlineLevel="0" collapsed="false">
      <c r="A290" s="24" t="str">
        <f aca="false">IF(B290="","",ROW()-3)</f>
        <v/>
      </c>
      <c r="B290" s="25"/>
      <c r="C290" s="10"/>
      <c r="D290" s="25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26"/>
      <c r="P290" s="24" t="str">
        <f aca="false">IF(K290="","",IFERROR(ABS(K290-L290)/IF(ISNUMBER(SEARCH("JPY",E290)),0.01,IF(ISNUMBER(SEARCH("XAU",E290)),0.01,IF(OR(ISNUMBER(SEARCH("30",E290)),ISNUMBER(SEARCH("500",E290)),ISNUMBER(SEARCH("100",E290))),1,0.0001))),0))</f>
        <v/>
      </c>
      <c r="Q290" s="27" t="str">
        <f aca="false">IF(K290="","",SETTINGS!$B$6*O290)</f>
        <v/>
      </c>
      <c r="R290" s="24" t="str">
        <f aca="false">IF(K290="","",IFERROR(Q290/(P290*IF(ISNUMBER(SEARCH("JPY",E290)),9.09,IF(ISNUMBER(SEARCH("XAU",E290)),1,IF(OR(ISNUMBER(SEARCH("30",E290)),ISNUMBER(SEARCH("500",E290)),ISNUMBER(SEARCH("100",E290))),1,10)))),0))</f>
        <v/>
      </c>
      <c r="S290" s="10"/>
      <c r="T290" s="28"/>
      <c r="U290" s="27" t="str">
        <f aca="false">IF(OR(S290="",T290=0),"",IFERROR((S290-K290)*IF(F290="Sell",-1,1)*R290*T290*IF(ISNUMBER(SEARCH("JPY",E290)),1000,IF(ISNUMBER(SEARCH("XAU",E290)),100,IF(OR(ISNUMBER(SEARCH("30",E290)),ISNUMBER(SEARCH("500",E290)),ISNUMBER(SEARCH("100",E290))),100,100000))),0))</f>
        <v/>
      </c>
      <c r="V290" s="10"/>
      <c r="W290" s="28"/>
      <c r="X290" s="27" t="str">
        <f aca="false">IF(OR(V290="",W290=0),"",IFERROR((V290-K290)*IF(F290="Sell",-1,1)*R290*W290*IF(ISNUMBER(SEARCH("JPY",E290)),1000,IF(ISNUMBER(SEARCH("XAU",E290)),100,IF(OR(ISNUMBER(SEARCH("30",E290)),ISNUMBER(SEARCH("500",E290)),ISNUMBER(SEARCH("100",E290))),100,100000))),0))</f>
        <v/>
      </c>
      <c r="Y290" s="10"/>
      <c r="Z290" s="28"/>
      <c r="AA290" s="27" t="str">
        <f aca="false">IF(OR(Y290="",Z290=0),"",IFERROR((Y290-K290)*IF(F290="Sell",-1,1)*R290*Z290*IF(ISNUMBER(SEARCH("JPY",E290)),1000,IF(ISNUMBER(SEARCH("XAU",E290)),100,IF(OR(ISNUMBER(SEARCH("30",E290)),ISNUMBER(SEARCH("500",E290)),ISNUMBER(SEARCH("100",E290))),100,100000))),0))</f>
        <v/>
      </c>
      <c r="AB290" s="10"/>
      <c r="AC290" s="29" t="str">
        <f aca="false">IF(K290="","",1-IFERROR(T290,0)-IFERROR(W290,0)-IFERROR(Z290,0))</f>
        <v/>
      </c>
      <c r="AD290" s="30" t="str">
        <f aca="false">IF(AB290="","",IFERROR((IFERROR(S290*T290,0)+IFERROR(V290*W290,0)+IFERROR(Y290*Z290,0)+AB290*AC290)/(IFERROR(T290,0)+IFERROR(W290,0)+IFERROR(Z290,0)+AC290),AB290))</f>
        <v/>
      </c>
      <c r="AE290" s="27" t="str">
        <f aca="false">IF(AB290="","",IF(U290="",0,U290)+IF(X290="",0,X290)+IF(AA290="",0,AA290)+IFERROR((AB290-K290)*IF(F290="Sell",-1,1)*R290*AC290*IF(ISNUMBER(SEARCH("JPY",E290)),1000,IF(ISNUMBER(SEARCH("XAU",E290)),100,IF(OR(ISNUMBER(SEARCH("30",E290)),ISNUMBER(SEARCH("500",E290)),ISNUMBER(SEARCH("100",E290))),100,100000))),0))</f>
        <v/>
      </c>
      <c r="AF290" s="31" t="str">
        <f aca="false">IF(OR(K290="",M290="",L290=""),"",IFERROR(ABS(M290-K290)/ABS(K290-L290),0))</f>
        <v/>
      </c>
      <c r="AG290" s="31" t="str">
        <f aca="false">IF(OR(AE290="",AE290=0,Q290=0,Q290=""),"",IFERROR(AE290/Q290,0))</f>
        <v/>
      </c>
      <c r="AH290" s="32" t="str">
        <f aca="false">IF(AB290="","Open",IF(AG290="","Open",IF(AG290&gt;0.1,"Win",IF(AG290&lt;-0.1,"Loss","Breakeven"))))</f>
        <v>Open</v>
      </c>
      <c r="AI290" s="33" t="str">
        <f aca="false">IF(OR(B290="",D290=""),"",D290-B290)</f>
        <v/>
      </c>
      <c r="AJ290" s="24" t="str">
        <f aca="false">IF(AD290="","",IFERROR((AD290-K290)*IF(F290="Sell",-1,1)/IF(ISNUMBER(SEARCH("JPY",E290)),0.01,IF(ISNUMBER(SEARCH("XAU",E290)),0.01,IF(OR(ISNUMBER(SEARCH("30",E290)),ISNUMBER(SEARCH("500",E290)),ISNUMBER(SEARCH("100",E290))),1,0.0001))),0))</f>
        <v/>
      </c>
      <c r="AK290" s="10"/>
      <c r="AL290" s="10"/>
      <c r="AM290" s="10"/>
      <c r="AN290" s="10"/>
      <c r="AO290" s="27" t="str">
        <f aca="false">IF(AE290="","",IFERROR(IF(AO289="",SETTINGS!$B$6,AO289),SETTINGS!$B$6)+IF(AE290="",0,AE290))</f>
        <v/>
      </c>
      <c r="AP290" s="2"/>
    </row>
    <row r="291" customFormat="false" ht="15" hidden="false" customHeight="false" outlineLevel="0" collapsed="false">
      <c r="A291" s="24" t="str">
        <f aca="false">IF(B291="","",ROW()-3)</f>
        <v/>
      </c>
      <c r="B291" s="34"/>
      <c r="C291" s="12"/>
      <c r="D291" s="34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35"/>
      <c r="P291" s="24" t="str">
        <f aca="false">IF(K291="","",IFERROR(ABS(K291-L291)/IF(ISNUMBER(SEARCH("JPY",E291)),0.01,IF(ISNUMBER(SEARCH("XAU",E291)),0.01,IF(OR(ISNUMBER(SEARCH("30",E291)),ISNUMBER(SEARCH("500",E291)),ISNUMBER(SEARCH("100",E291))),1,0.0001))),0))</f>
        <v/>
      </c>
      <c r="Q291" s="27" t="str">
        <f aca="false">IF(K291="","",SETTINGS!$B$6*O291)</f>
        <v/>
      </c>
      <c r="R291" s="24" t="str">
        <f aca="false">IF(K291="","",IFERROR(Q291/(P291*IF(ISNUMBER(SEARCH("JPY",E291)),9.09,IF(ISNUMBER(SEARCH("XAU",E291)),1,IF(OR(ISNUMBER(SEARCH("30",E291)),ISNUMBER(SEARCH("500",E291)),ISNUMBER(SEARCH("100",E291))),1,10)))),0))</f>
        <v/>
      </c>
      <c r="S291" s="12"/>
      <c r="T291" s="36"/>
      <c r="U291" s="27" t="str">
        <f aca="false">IF(OR(S291="",T291=0),"",IFERROR((S291-K291)*IF(F291="Sell",-1,1)*R291*T291*IF(ISNUMBER(SEARCH("JPY",E291)),1000,IF(ISNUMBER(SEARCH("XAU",E291)),100,IF(OR(ISNUMBER(SEARCH("30",E291)),ISNUMBER(SEARCH("500",E291)),ISNUMBER(SEARCH("100",E291))),100,100000))),0))</f>
        <v/>
      </c>
      <c r="V291" s="12"/>
      <c r="W291" s="36"/>
      <c r="X291" s="27" t="str">
        <f aca="false">IF(OR(V291="",W291=0),"",IFERROR((V291-K291)*IF(F291="Sell",-1,1)*R291*W291*IF(ISNUMBER(SEARCH("JPY",E291)),1000,IF(ISNUMBER(SEARCH("XAU",E291)),100,IF(OR(ISNUMBER(SEARCH("30",E291)),ISNUMBER(SEARCH("500",E291)),ISNUMBER(SEARCH("100",E291))),100,100000))),0))</f>
        <v/>
      </c>
      <c r="Y291" s="12"/>
      <c r="Z291" s="36"/>
      <c r="AA291" s="27" t="str">
        <f aca="false">IF(OR(Y291="",Z291=0),"",IFERROR((Y291-K291)*IF(F291="Sell",-1,1)*R291*Z291*IF(ISNUMBER(SEARCH("JPY",E291)),1000,IF(ISNUMBER(SEARCH("XAU",E291)),100,IF(OR(ISNUMBER(SEARCH("30",E291)),ISNUMBER(SEARCH("500",E291)),ISNUMBER(SEARCH("100",E291))),100,100000))),0))</f>
        <v/>
      </c>
      <c r="AB291" s="12"/>
      <c r="AC291" s="29" t="str">
        <f aca="false">IF(K291="","",1-IFERROR(T291,0)-IFERROR(W291,0)-IFERROR(Z291,0))</f>
        <v/>
      </c>
      <c r="AD291" s="30" t="str">
        <f aca="false">IF(AB291="","",IFERROR((IFERROR(S291*T291,0)+IFERROR(V291*W291,0)+IFERROR(Y291*Z291,0)+AB291*AC291)/(IFERROR(T291,0)+IFERROR(W291,0)+IFERROR(Z291,0)+AC291),AB291))</f>
        <v/>
      </c>
      <c r="AE291" s="27" t="str">
        <f aca="false">IF(AB291="","",IF(U291="",0,U291)+IF(X291="",0,X291)+IF(AA291="",0,AA291)+IFERROR((AB291-K291)*IF(F291="Sell",-1,1)*R291*AC291*IF(ISNUMBER(SEARCH("JPY",E291)),1000,IF(ISNUMBER(SEARCH("XAU",E291)),100,IF(OR(ISNUMBER(SEARCH("30",E291)),ISNUMBER(SEARCH("500",E291)),ISNUMBER(SEARCH("100",E291))),100,100000))),0))</f>
        <v/>
      </c>
      <c r="AF291" s="31" t="str">
        <f aca="false">IF(OR(K291="",M291="",L291=""),"",IFERROR(ABS(M291-K291)/ABS(K291-L291),0))</f>
        <v/>
      </c>
      <c r="AG291" s="31" t="str">
        <f aca="false">IF(OR(AE291="",AE291=0,Q291=0,Q291=""),"",IFERROR(AE291/Q291,0))</f>
        <v/>
      </c>
      <c r="AH291" s="32" t="str">
        <f aca="false">IF(AB291="","Open",IF(AG291="","Open",IF(AG291&gt;0.1,"Win",IF(AG291&lt;-0.1,"Loss","Breakeven"))))</f>
        <v>Open</v>
      </c>
      <c r="AI291" s="33" t="str">
        <f aca="false">IF(OR(B291="",D291=""),"",D291-B291)</f>
        <v/>
      </c>
      <c r="AJ291" s="24" t="str">
        <f aca="false">IF(AD291="","",IFERROR((AD291-K291)*IF(F291="Sell",-1,1)/IF(ISNUMBER(SEARCH("JPY",E291)),0.01,IF(ISNUMBER(SEARCH("XAU",E291)),0.01,IF(OR(ISNUMBER(SEARCH("30",E291)),ISNUMBER(SEARCH("500",E291)),ISNUMBER(SEARCH("100",E291))),1,0.0001))),0))</f>
        <v/>
      </c>
      <c r="AK291" s="12"/>
      <c r="AL291" s="12"/>
      <c r="AM291" s="12"/>
      <c r="AN291" s="12"/>
      <c r="AO291" s="27" t="str">
        <f aca="false">IF(AE291="","",IFERROR(IF(AO290="",SETTINGS!$B$6,AO290),SETTINGS!$B$6)+IF(AE291="",0,AE291))</f>
        <v/>
      </c>
      <c r="AP291" s="2"/>
    </row>
    <row r="292" customFormat="false" ht="15" hidden="false" customHeight="false" outlineLevel="0" collapsed="false">
      <c r="A292" s="24" t="str">
        <f aca="false">IF(B292="","",ROW()-3)</f>
        <v/>
      </c>
      <c r="B292" s="25"/>
      <c r="C292" s="10"/>
      <c r="D292" s="25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26"/>
      <c r="P292" s="24" t="str">
        <f aca="false">IF(K292="","",IFERROR(ABS(K292-L292)/IF(ISNUMBER(SEARCH("JPY",E292)),0.01,IF(ISNUMBER(SEARCH("XAU",E292)),0.01,IF(OR(ISNUMBER(SEARCH("30",E292)),ISNUMBER(SEARCH("500",E292)),ISNUMBER(SEARCH("100",E292))),1,0.0001))),0))</f>
        <v/>
      </c>
      <c r="Q292" s="27" t="str">
        <f aca="false">IF(K292="","",SETTINGS!$B$6*O292)</f>
        <v/>
      </c>
      <c r="R292" s="24" t="str">
        <f aca="false">IF(K292="","",IFERROR(Q292/(P292*IF(ISNUMBER(SEARCH("JPY",E292)),9.09,IF(ISNUMBER(SEARCH("XAU",E292)),1,IF(OR(ISNUMBER(SEARCH("30",E292)),ISNUMBER(SEARCH("500",E292)),ISNUMBER(SEARCH("100",E292))),1,10)))),0))</f>
        <v/>
      </c>
      <c r="S292" s="10"/>
      <c r="T292" s="28"/>
      <c r="U292" s="27" t="str">
        <f aca="false">IF(OR(S292="",T292=0),"",IFERROR((S292-K292)*IF(F292="Sell",-1,1)*R292*T292*IF(ISNUMBER(SEARCH("JPY",E292)),1000,IF(ISNUMBER(SEARCH("XAU",E292)),100,IF(OR(ISNUMBER(SEARCH("30",E292)),ISNUMBER(SEARCH("500",E292)),ISNUMBER(SEARCH("100",E292))),100,100000))),0))</f>
        <v/>
      </c>
      <c r="V292" s="10"/>
      <c r="W292" s="28"/>
      <c r="X292" s="27" t="str">
        <f aca="false">IF(OR(V292="",W292=0),"",IFERROR((V292-K292)*IF(F292="Sell",-1,1)*R292*W292*IF(ISNUMBER(SEARCH("JPY",E292)),1000,IF(ISNUMBER(SEARCH("XAU",E292)),100,IF(OR(ISNUMBER(SEARCH("30",E292)),ISNUMBER(SEARCH("500",E292)),ISNUMBER(SEARCH("100",E292))),100,100000))),0))</f>
        <v/>
      </c>
      <c r="Y292" s="10"/>
      <c r="Z292" s="28"/>
      <c r="AA292" s="27" t="str">
        <f aca="false">IF(OR(Y292="",Z292=0),"",IFERROR((Y292-K292)*IF(F292="Sell",-1,1)*R292*Z292*IF(ISNUMBER(SEARCH("JPY",E292)),1000,IF(ISNUMBER(SEARCH("XAU",E292)),100,IF(OR(ISNUMBER(SEARCH("30",E292)),ISNUMBER(SEARCH("500",E292)),ISNUMBER(SEARCH("100",E292))),100,100000))),0))</f>
        <v/>
      </c>
      <c r="AB292" s="10"/>
      <c r="AC292" s="29" t="str">
        <f aca="false">IF(K292="","",1-IFERROR(T292,0)-IFERROR(W292,0)-IFERROR(Z292,0))</f>
        <v/>
      </c>
      <c r="AD292" s="30" t="str">
        <f aca="false">IF(AB292="","",IFERROR((IFERROR(S292*T292,0)+IFERROR(V292*W292,0)+IFERROR(Y292*Z292,0)+AB292*AC292)/(IFERROR(T292,0)+IFERROR(W292,0)+IFERROR(Z292,0)+AC292),AB292))</f>
        <v/>
      </c>
      <c r="AE292" s="27" t="str">
        <f aca="false">IF(AB292="","",IF(U292="",0,U292)+IF(X292="",0,X292)+IF(AA292="",0,AA292)+IFERROR((AB292-K292)*IF(F292="Sell",-1,1)*R292*AC292*IF(ISNUMBER(SEARCH("JPY",E292)),1000,IF(ISNUMBER(SEARCH("XAU",E292)),100,IF(OR(ISNUMBER(SEARCH("30",E292)),ISNUMBER(SEARCH("500",E292)),ISNUMBER(SEARCH("100",E292))),100,100000))),0))</f>
        <v/>
      </c>
      <c r="AF292" s="31" t="str">
        <f aca="false">IF(OR(K292="",M292="",L292=""),"",IFERROR(ABS(M292-K292)/ABS(K292-L292),0))</f>
        <v/>
      </c>
      <c r="AG292" s="31" t="str">
        <f aca="false">IF(OR(AE292="",AE292=0,Q292=0,Q292=""),"",IFERROR(AE292/Q292,0))</f>
        <v/>
      </c>
      <c r="AH292" s="32" t="str">
        <f aca="false">IF(AB292="","Open",IF(AG292="","Open",IF(AG292&gt;0.1,"Win",IF(AG292&lt;-0.1,"Loss","Breakeven"))))</f>
        <v>Open</v>
      </c>
      <c r="AI292" s="33" t="str">
        <f aca="false">IF(OR(B292="",D292=""),"",D292-B292)</f>
        <v/>
      </c>
      <c r="AJ292" s="24" t="str">
        <f aca="false">IF(AD292="","",IFERROR((AD292-K292)*IF(F292="Sell",-1,1)/IF(ISNUMBER(SEARCH("JPY",E292)),0.01,IF(ISNUMBER(SEARCH("XAU",E292)),0.01,IF(OR(ISNUMBER(SEARCH("30",E292)),ISNUMBER(SEARCH("500",E292)),ISNUMBER(SEARCH("100",E292))),1,0.0001))),0))</f>
        <v/>
      </c>
      <c r="AK292" s="10"/>
      <c r="AL292" s="10"/>
      <c r="AM292" s="10"/>
      <c r="AN292" s="10"/>
      <c r="AO292" s="27" t="str">
        <f aca="false">IF(AE292="","",IFERROR(IF(AO291="",SETTINGS!$B$6,AO291),SETTINGS!$B$6)+IF(AE292="",0,AE292))</f>
        <v/>
      </c>
      <c r="AP292" s="2"/>
    </row>
    <row r="293" customFormat="false" ht="15" hidden="false" customHeight="false" outlineLevel="0" collapsed="false">
      <c r="A293" s="24" t="str">
        <f aca="false">IF(B293="","",ROW()-3)</f>
        <v/>
      </c>
      <c r="B293" s="34"/>
      <c r="C293" s="12"/>
      <c r="D293" s="34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35"/>
      <c r="P293" s="24" t="str">
        <f aca="false">IF(K293="","",IFERROR(ABS(K293-L293)/IF(ISNUMBER(SEARCH("JPY",E293)),0.01,IF(ISNUMBER(SEARCH("XAU",E293)),0.01,IF(OR(ISNUMBER(SEARCH("30",E293)),ISNUMBER(SEARCH("500",E293)),ISNUMBER(SEARCH("100",E293))),1,0.0001))),0))</f>
        <v/>
      </c>
      <c r="Q293" s="27" t="str">
        <f aca="false">IF(K293="","",SETTINGS!$B$6*O293)</f>
        <v/>
      </c>
      <c r="R293" s="24" t="str">
        <f aca="false">IF(K293="","",IFERROR(Q293/(P293*IF(ISNUMBER(SEARCH("JPY",E293)),9.09,IF(ISNUMBER(SEARCH("XAU",E293)),1,IF(OR(ISNUMBER(SEARCH("30",E293)),ISNUMBER(SEARCH("500",E293)),ISNUMBER(SEARCH("100",E293))),1,10)))),0))</f>
        <v/>
      </c>
      <c r="S293" s="12"/>
      <c r="T293" s="36"/>
      <c r="U293" s="27" t="str">
        <f aca="false">IF(OR(S293="",T293=0),"",IFERROR((S293-K293)*IF(F293="Sell",-1,1)*R293*T293*IF(ISNUMBER(SEARCH("JPY",E293)),1000,IF(ISNUMBER(SEARCH("XAU",E293)),100,IF(OR(ISNUMBER(SEARCH("30",E293)),ISNUMBER(SEARCH("500",E293)),ISNUMBER(SEARCH("100",E293))),100,100000))),0))</f>
        <v/>
      </c>
      <c r="V293" s="12"/>
      <c r="W293" s="36"/>
      <c r="X293" s="27" t="str">
        <f aca="false">IF(OR(V293="",W293=0),"",IFERROR((V293-K293)*IF(F293="Sell",-1,1)*R293*W293*IF(ISNUMBER(SEARCH("JPY",E293)),1000,IF(ISNUMBER(SEARCH("XAU",E293)),100,IF(OR(ISNUMBER(SEARCH("30",E293)),ISNUMBER(SEARCH("500",E293)),ISNUMBER(SEARCH("100",E293))),100,100000))),0))</f>
        <v/>
      </c>
      <c r="Y293" s="12"/>
      <c r="Z293" s="36"/>
      <c r="AA293" s="27" t="str">
        <f aca="false">IF(OR(Y293="",Z293=0),"",IFERROR((Y293-K293)*IF(F293="Sell",-1,1)*R293*Z293*IF(ISNUMBER(SEARCH("JPY",E293)),1000,IF(ISNUMBER(SEARCH("XAU",E293)),100,IF(OR(ISNUMBER(SEARCH("30",E293)),ISNUMBER(SEARCH("500",E293)),ISNUMBER(SEARCH("100",E293))),100,100000))),0))</f>
        <v/>
      </c>
      <c r="AB293" s="12"/>
      <c r="AC293" s="29" t="str">
        <f aca="false">IF(K293="","",1-IFERROR(T293,0)-IFERROR(W293,0)-IFERROR(Z293,0))</f>
        <v/>
      </c>
      <c r="AD293" s="30" t="str">
        <f aca="false">IF(AB293="","",IFERROR((IFERROR(S293*T293,0)+IFERROR(V293*W293,0)+IFERROR(Y293*Z293,0)+AB293*AC293)/(IFERROR(T293,0)+IFERROR(W293,0)+IFERROR(Z293,0)+AC293),AB293))</f>
        <v/>
      </c>
      <c r="AE293" s="27" t="str">
        <f aca="false">IF(AB293="","",IF(U293="",0,U293)+IF(X293="",0,X293)+IF(AA293="",0,AA293)+IFERROR((AB293-K293)*IF(F293="Sell",-1,1)*R293*AC293*IF(ISNUMBER(SEARCH("JPY",E293)),1000,IF(ISNUMBER(SEARCH("XAU",E293)),100,IF(OR(ISNUMBER(SEARCH("30",E293)),ISNUMBER(SEARCH("500",E293)),ISNUMBER(SEARCH("100",E293))),100,100000))),0))</f>
        <v/>
      </c>
      <c r="AF293" s="31" t="str">
        <f aca="false">IF(OR(K293="",M293="",L293=""),"",IFERROR(ABS(M293-K293)/ABS(K293-L293),0))</f>
        <v/>
      </c>
      <c r="AG293" s="31" t="str">
        <f aca="false">IF(OR(AE293="",AE293=0,Q293=0,Q293=""),"",IFERROR(AE293/Q293,0))</f>
        <v/>
      </c>
      <c r="AH293" s="32" t="str">
        <f aca="false">IF(AB293="","Open",IF(AG293="","Open",IF(AG293&gt;0.1,"Win",IF(AG293&lt;-0.1,"Loss","Breakeven"))))</f>
        <v>Open</v>
      </c>
      <c r="AI293" s="33" t="str">
        <f aca="false">IF(OR(B293="",D293=""),"",D293-B293)</f>
        <v/>
      </c>
      <c r="AJ293" s="24" t="str">
        <f aca="false">IF(AD293="","",IFERROR((AD293-K293)*IF(F293="Sell",-1,1)/IF(ISNUMBER(SEARCH("JPY",E293)),0.01,IF(ISNUMBER(SEARCH("XAU",E293)),0.01,IF(OR(ISNUMBER(SEARCH("30",E293)),ISNUMBER(SEARCH("500",E293)),ISNUMBER(SEARCH("100",E293))),1,0.0001))),0))</f>
        <v/>
      </c>
      <c r="AK293" s="12"/>
      <c r="AL293" s="12"/>
      <c r="AM293" s="12"/>
      <c r="AN293" s="12"/>
      <c r="AO293" s="27" t="str">
        <f aca="false">IF(AE293="","",IFERROR(IF(AO292="",SETTINGS!$B$6,AO292),SETTINGS!$B$6)+IF(AE293="",0,AE293))</f>
        <v/>
      </c>
      <c r="AP293" s="2"/>
    </row>
    <row r="294" customFormat="false" ht="15" hidden="false" customHeight="false" outlineLevel="0" collapsed="false">
      <c r="A294" s="24" t="str">
        <f aca="false">IF(B294="","",ROW()-3)</f>
        <v/>
      </c>
      <c r="B294" s="25"/>
      <c r="C294" s="10"/>
      <c r="D294" s="25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26"/>
      <c r="P294" s="24" t="str">
        <f aca="false">IF(K294="","",IFERROR(ABS(K294-L294)/IF(ISNUMBER(SEARCH("JPY",E294)),0.01,IF(ISNUMBER(SEARCH("XAU",E294)),0.01,IF(OR(ISNUMBER(SEARCH("30",E294)),ISNUMBER(SEARCH("500",E294)),ISNUMBER(SEARCH("100",E294))),1,0.0001))),0))</f>
        <v/>
      </c>
      <c r="Q294" s="27" t="str">
        <f aca="false">IF(K294="","",SETTINGS!$B$6*O294)</f>
        <v/>
      </c>
      <c r="R294" s="24" t="str">
        <f aca="false">IF(K294="","",IFERROR(Q294/(P294*IF(ISNUMBER(SEARCH("JPY",E294)),9.09,IF(ISNUMBER(SEARCH("XAU",E294)),1,IF(OR(ISNUMBER(SEARCH("30",E294)),ISNUMBER(SEARCH("500",E294)),ISNUMBER(SEARCH("100",E294))),1,10)))),0))</f>
        <v/>
      </c>
      <c r="S294" s="10"/>
      <c r="T294" s="28"/>
      <c r="U294" s="27" t="str">
        <f aca="false">IF(OR(S294="",T294=0),"",IFERROR((S294-K294)*IF(F294="Sell",-1,1)*R294*T294*IF(ISNUMBER(SEARCH("JPY",E294)),1000,IF(ISNUMBER(SEARCH("XAU",E294)),100,IF(OR(ISNUMBER(SEARCH("30",E294)),ISNUMBER(SEARCH("500",E294)),ISNUMBER(SEARCH("100",E294))),100,100000))),0))</f>
        <v/>
      </c>
      <c r="V294" s="10"/>
      <c r="W294" s="28"/>
      <c r="X294" s="27" t="str">
        <f aca="false">IF(OR(V294="",W294=0),"",IFERROR((V294-K294)*IF(F294="Sell",-1,1)*R294*W294*IF(ISNUMBER(SEARCH("JPY",E294)),1000,IF(ISNUMBER(SEARCH("XAU",E294)),100,IF(OR(ISNUMBER(SEARCH("30",E294)),ISNUMBER(SEARCH("500",E294)),ISNUMBER(SEARCH("100",E294))),100,100000))),0))</f>
        <v/>
      </c>
      <c r="Y294" s="10"/>
      <c r="Z294" s="28"/>
      <c r="AA294" s="27" t="str">
        <f aca="false">IF(OR(Y294="",Z294=0),"",IFERROR((Y294-K294)*IF(F294="Sell",-1,1)*R294*Z294*IF(ISNUMBER(SEARCH("JPY",E294)),1000,IF(ISNUMBER(SEARCH("XAU",E294)),100,IF(OR(ISNUMBER(SEARCH("30",E294)),ISNUMBER(SEARCH("500",E294)),ISNUMBER(SEARCH("100",E294))),100,100000))),0))</f>
        <v/>
      </c>
      <c r="AB294" s="10"/>
      <c r="AC294" s="29" t="str">
        <f aca="false">IF(K294="","",1-IFERROR(T294,0)-IFERROR(W294,0)-IFERROR(Z294,0))</f>
        <v/>
      </c>
      <c r="AD294" s="30" t="str">
        <f aca="false">IF(AB294="","",IFERROR((IFERROR(S294*T294,0)+IFERROR(V294*W294,0)+IFERROR(Y294*Z294,0)+AB294*AC294)/(IFERROR(T294,0)+IFERROR(W294,0)+IFERROR(Z294,0)+AC294),AB294))</f>
        <v/>
      </c>
      <c r="AE294" s="27" t="str">
        <f aca="false">IF(AB294="","",IF(U294="",0,U294)+IF(X294="",0,X294)+IF(AA294="",0,AA294)+IFERROR((AB294-K294)*IF(F294="Sell",-1,1)*R294*AC294*IF(ISNUMBER(SEARCH("JPY",E294)),1000,IF(ISNUMBER(SEARCH("XAU",E294)),100,IF(OR(ISNUMBER(SEARCH("30",E294)),ISNUMBER(SEARCH("500",E294)),ISNUMBER(SEARCH("100",E294))),100,100000))),0))</f>
        <v/>
      </c>
      <c r="AF294" s="31" t="str">
        <f aca="false">IF(OR(K294="",M294="",L294=""),"",IFERROR(ABS(M294-K294)/ABS(K294-L294),0))</f>
        <v/>
      </c>
      <c r="AG294" s="31" t="str">
        <f aca="false">IF(OR(AE294="",AE294=0,Q294=0,Q294=""),"",IFERROR(AE294/Q294,0))</f>
        <v/>
      </c>
      <c r="AH294" s="32" t="str">
        <f aca="false">IF(AB294="","Open",IF(AG294="","Open",IF(AG294&gt;0.1,"Win",IF(AG294&lt;-0.1,"Loss","Breakeven"))))</f>
        <v>Open</v>
      </c>
      <c r="AI294" s="33" t="str">
        <f aca="false">IF(OR(B294="",D294=""),"",D294-B294)</f>
        <v/>
      </c>
      <c r="AJ294" s="24" t="str">
        <f aca="false">IF(AD294="","",IFERROR((AD294-K294)*IF(F294="Sell",-1,1)/IF(ISNUMBER(SEARCH("JPY",E294)),0.01,IF(ISNUMBER(SEARCH("XAU",E294)),0.01,IF(OR(ISNUMBER(SEARCH("30",E294)),ISNUMBER(SEARCH("500",E294)),ISNUMBER(SEARCH("100",E294))),1,0.0001))),0))</f>
        <v/>
      </c>
      <c r="AK294" s="10"/>
      <c r="AL294" s="10"/>
      <c r="AM294" s="10"/>
      <c r="AN294" s="10"/>
      <c r="AO294" s="27" t="str">
        <f aca="false">IF(AE294="","",IFERROR(IF(AO293="",SETTINGS!$B$6,AO293),SETTINGS!$B$6)+IF(AE294="",0,AE294))</f>
        <v/>
      </c>
      <c r="AP294" s="2"/>
    </row>
    <row r="295" customFormat="false" ht="15" hidden="false" customHeight="false" outlineLevel="0" collapsed="false">
      <c r="A295" s="24" t="str">
        <f aca="false">IF(B295="","",ROW()-3)</f>
        <v/>
      </c>
      <c r="B295" s="34"/>
      <c r="C295" s="12"/>
      <c r="D295" s="34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35"/>
      <c r="P295" s="24" t="str">
        <f aca="false">IF(K295="","",IFERROR(ABS(K295-L295)/IF(ISNUMBER(SEARCH("JPY",E295)),0.01,IF(ISNUMBER(SEARCH("XAU",E295)),0.01,IF(OR(ISNUMBER(SEARCH("30",E295)),ISNUMBER(SEARCH("500",E295)),ISNUMBER(SEARCH("100",E295))),1,0.0001))),0))</f>
        <v/>
      </c>
      <c r="Q295" s="27" t="str">
        <f aca="false">IF(K295="","",SETTINGS!$B$6*O295)</f>
        <v/>
      </c>
      <c r="R295" s="24" t="str">
        <f aca="false">IF(K295="","",IFERROR(Q295/(P295*IF(ISNUMBER(SEARCH("JPY",E295)),9.09,IF(ISNUMBER(SEARCH("XAU",E295)),1,IF(OR(ISNUMBER(SEARCH("30",E295)),ISNUMBER(SEARCH("500",E295)),ISNUMBER(SEARCH("100",E295))),1,10)))),0))</f>
        <v/>
      </c>
      <c r="S295" s="12"/>
      <c r="T295" s="36"/>
      <c r="U295" s="27" t="str">
        <f aca="false">IF(OR(S295="",T295=0),"",IFERROR((S295-K295)*IF(F295="Sell",-1,1)*R295*T295*IF(ISNUMBER(SEARCH("JPY",E295)),1000,IF(ISNUMBER(SEARCH("XAU",E295)),100,IF(OR(ISNUMBER(SEARCH("30",E295)),ISNUMBER(SEARCH("500",E295)),ISNUMBER(SEARCH("100",E295))),100,100000))),0))</f>
        <v/>
      </c>
      <c r="V295" s="12"/>
      <c r="W295" s="36"/>
      <c r="X295" s="27" t="str">
        <f aca="false">IF(OR(V295="",W295=0),"",IFERROR((V295-K295)*IF(F295="Sell",-1,1)*R295*W295*IF(ISNUMBER(SEARCH("JPY",E295)),1000,IF(ISNUMBER(SEARCH("XAU",E295)),100,IF(OR(ISNUMBER(SEARCH("30",E295)),ISNUMBER(SEARCH("500",E295)),ISNUMBER(SEARCH("100",E295))),100,100000))),0))</f>
        <v/>
      </c>
      <c r="Y295" s="12"/>
      <c r="Z295" s="36"/>
      <c r="AA295" s="27" t="str">
        <f aca="false">IF(OR(Y295="",Z295=0),"",IFERROR((Y295-K295)*IF(F295="Sell",-1,1)*R295*Z295*IF(ISNUMBER(SEARCH("JPY",E295)),1000,IF(ISNUMBER(SEARCH("XAU",E295)),100,IF(OR(ISNUMBER(SEARCH("30",E295)),ISNUMBER(SEARCH("500",E295)),ISNUMBER(SEARCH("100",E295))),100,100000))),0))</f>
        <v/>
      </c>
      <c r="AB295" s="12"/>
      <c r="AC295" s="29" t="str">
        <f aca="false">IF(K295="","",1-IFERROR(T295,0)-IFERROR(W295,0)-IFERROR(Z295,0))</f>
        <v/>
      </c>
      <c r="AD295" s="30" t="str">
        <f aca="false">IF(AB295="","",IFERROR((IFERROR(S295*T295,0)+IFERROR(V295*W295,0)+IFERROR(Y295*Z295,0)+AB295*AC295)/(IFERROR(T295,0)+IFERROR(W295,0)+IFERROR(Z295,0)+AC295),AB295))</f>
        <v/>
      </c>
      <c r="AE295" s="27" t="str">
        <f aca="false">IF(AB295="","",IF(U295="",0,U295)+IF(X295="",0,X295)+IF(AA295="",0,AA295)+IFERROR((AB295-K295)*IF(F295="Sell",-1,1)*R295*AC295*IF(ISNUMBER(SEARCH("JPY",E295)),1000,IF(ISNUMBER(SEARCH("XAU",E295)),100,IF(OR(ISNUMBER(SEARCH("30",E295)),ISNUMBER(SEARCH("500",E295)),ISNUMBER(SEARCH("100",E295))),100,100000))),0))</f>
        <v/>
      </c>
      <c r="AF295" s="31" t="str">
        <f aca="false">IF(OR(K295="",M295="",L295=""),"",IFERROR(ABS(M295-K295)/ABS(K295-L295),0))</f>
        <v/>
      </c>
      <c r="AG295" s="31" t="str">
        <f aca="false">IF(OR(AE295="",AE295=0,Q295=0,Q295=""),"",IFERROR(AE295/Q295,0))</f>
        <v/>
      </c>
      <c r="AH295" s="32" t="str">
        <f aca="false">IF(AB295="","Open",IF(AG295="","Open",IF(AG295&gt;0.1,"Win",IF(AG295&lt;-0.1,"Loss","Breakeven"))))</f>
        <v>Open</v>
      </c>
      <c r="AI295" s="33" t="str">
        <f aca="false">IF(OR(B295="",D295=""),"",D295-B295)</f>
        <v/>
      </c>
      <c r="AJ295" s="24" t="str">
        <f aca="false">IF(AD295="","",IFERROR((AD295-K295)*IF(F295="Sell",-1,1)/IF(ISNUMBER(SEARCH("JPY",E295)),0.01,IF(ISNUMBER(SEARCH("XAU",E295)),0.01,IF(OR(ISNUMBER(SEARCH("30",E295)),ISNUMBER(SEARCH("500",E295)),ISNUMBER(SEARCH("100",E295))),1,0.0001))),0))</f>
        <v/>
      </c>
      <c r="AK295" s="12"/>
      <c r="AL295" s="12"/>
      <c r="AM295" s="12"/>
      <c r="AN295" s="12"/>
      <c r="AO295" s="27" t="str">
        <f aca="false">IF(AE295="","",IFERROR(IF(AO294="",SETTINGS!$B$6,AO294),SETTINGS!$B$6)+IF(AE295="",0,AE295))</f>
        <v/>
      </c>
      <c r="AP295" s="2"/>
    </row>
    <row r="296" customFormat="false" ht="15" hidden="false" customHeight="false" outlineLevel="0" collapsed="false">
      <c r="A296" s="24" t="str">
        <f aca="false">IF(B296="","",ROW()-3)</f>
        <v/>
      </c>
      <c r="B296" s="25"/>
      <c r="C296" s="10"/>
      <c r="D296" s="25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26"/>
      <c r="P296" s="24" t="str">
        <f aca="false">IF(K296="","",IFERROR(ABS(K296-L296)/IF(ISNUMBER(SEARCH("JPY",E296)),0.01,IF(ISNUMBER(SEARCH("XAU",E296)),0.01,IF(OR(ISNUMBER(SEARCH("30",E296)),ISNUMBER(SEARCH("500",E296)),ISNUMBER(SEARCH("100",E296))),1,0.0001))),0))</f>
        <v/>
      </c>
      <c r="Q296" s="27" t="str">
        <f aca="false">IF(K296="","",SETTINGS!$B$6*O296)</f>
        <v/>
      </c>
      <c r="R296" s="24" t="str">
        <f aca="false">IF(K296="","",IFERROR(Q296/(P296*IF(ISNUMBER(SEARCH("JPY",E296)),9.09,IF(ISNUMBER(SEARCH("XAU",E296)),1,IF(OR(ISNUMBER(SEARCH("30",E296)),ISNUMBER(SEARCH("500",E296)),ISNUMBER(SEARCH("100",E296))),1,10)))),0))</f>
        <v/>
      </c>
      <c r="S296" s="10"/>
      <c r="T296" s="28"/>
      <c r="U296" s="27" t="str">
        <f aca="false">IF(OR(S296="",T296=0),"",IFERROR((S296-K296)*IF(F296="Sell",-1,1)*R296*T296*IF(ISNUMBER(SEARCH("JPY",E296)),1000,IF(ISNUMBER(SEARCH("XAU",E296)),100,IF(OR(ISNUMBER(SEARCH("30",E296)),ISNUMBER(SEARCH("500",E296)),ISNUMBER(SEARCH("100",E296))),100,100000))),0))</f>
        <v/>
      </c>
      <c r="V296" s="10"/>
      <c r="W296" s="28"/>
      <c r="X296" s="27" t="str">
        <f aca="false">IF(OR(V296="",W296=0),"",IFERROR((V296-K296)*IF(F296="Sell",-1,1)*R296*W296*IF(ISNUMBER(SEARCH("JPY",E296)),1000,IF(ISNUMBER(SEARCH("XAU",E296)),100,IF(OR(ISNUMBER(SEARCH("30",E296)),ISNUMBER(SEARCH("500",E296)),ISNUMBER(SEARCH("100",E296))),100,100000))),0))</f>
        <v/>
      </c>
      <c r="Y296" s="10"/>
      <c r="Z296" s="28"/>
      <c r="AA296" s="27" t="str">
        <f aca="false">IF(OR(Y296="",Z296=0),"",IFERROR((Y296-K296)*IF(F296="Sell",-1,1)*R296*Z296*IF(ISNUMBER(SEARCH("JPY",E296)),1000,IF(ISNUMBER(SEARCH("XAU",E296)),100,IF(OR(ISNUMBER(SEARCH("30",E296)),ISNUMBER(SEARCH("500",E296)),ISNUMBER(SEARCH("100",E296))),100,100000))),0))</f>
        <v/>
      </c>
      <c r="AB296" s="10"/>
      <c r="AC296" s="29" t="str">
        <f aca="false">IF(K296="","",1-IFERROR(T296,0)-IFERROR(W296,0)-IFERROR(Z296,0))</f>
        <v/>
      </c>
      <c r="AD296" s="30" t="str">
        <f aca="false">IF(AB296="","",IFERROR((IFERROR(S296*T296,0)+IFERROR(V296*W296,0)+IFERROR(Y296*Z296,0)+AB296*AC296)/(IFERROR(T296,0)+IFERROR(W296,0)+IFERROR(Z296,0)+AC296),AB296))</f>
        <v/>
      </c>
      <c r="AE296" s="27" t="str">
        <f aca="false">IF(AB296="","",IF(U296="",0,U296)+IF(X296="",0,X296)+IF(AA296="",0,AA296)+IFERROR((AB296-K296)*IF(F296="Sell",-1,1)*R296*AC296*IF(ISNUMBER(SEARCH("JPY",E296)),1000,IF(ISNUMBER(SEARCH("XAU",E296)),100,IF(OR(ISNUMBER(SEARCH("30",E296)),ISNUMBER(SEARCH("500",E296)),ISNUMBER(SEARCH("100",E296))),100,100000))),0))</f>
        <v/>
      </c>
      <c r="AF296" s="31" t="str">
        <f aca="false">IF(OR(K296="",M296="",L296=""),"",IFERROR(ABS(M296-K296)/ABS(K296-L296),0))</f>
        <v/>
      </c>
      <c r="AG296" s="31" t="str">
        <f aca="false">IF(OR(AE296="",AE296=0,Q296=0,Q296=""),"",IFERROR(AE296/Q296,0))</f>
        <v/>
      </c>
      <c r="AH296" s="32" t="str">
        <f aca="false">IF(AB296="","Open",IF(AG296="","Open",IF(AG296&gt;0.1,"Win",IF(AG296&lt;-0.1,"Loss","Breakeven"))))</f>
        <v>Open</v>
      </c>
      <c r="AI296" s="33" t="str">
        <f aca="false">IF(OR(B296="",D296=""),"",D296-B296)</f>
        <v/>
      </c>
      <c r="AJ296" s="24" t="str">
        <f aca="false">IF(AD296="","",IFERROR((AD296-K296)*IF(F296="Sell",-1,1)/IF(ISNUMBER(SEARCH("JPY",E296)),0.01,IF(ISNUMBER(SEARCH("XAU",E296)),0.01,IF(OR(ISNUMBER(SEARCH("30",E296)),ISNUMBER(SEARCH("500",E296)),ISNUMBER(SEARCH("100",E296))),1,0.0001))),0))</f>
        <v/>
      </c>
      <c r="AK296" s="10"/>
      <c r="AL296" s="10"/>
      <c r="AM296" s="10"/>
      <c r="AN296" s="10"/>
      <c r="AO296" s="27" t="str">
        <f aca="false">IF(AE296="","",IFERROR(IF(AO295="",SETTINGS!$B$6,AO295),SETTINGS!$B$6)+IF(AE296="",0,AE296))</f>
        <v/>
      </c>
      <c r="AP296" s="2"/>
    </row>
    <row r="297" customFormat="false" ht="15" hidden="false" customHeight="false" outlineLevel="0" collapsed="false">
      <c r="A297" s="24" t="str">
        <f aca="false">IF(B297="","",ROW()-3)</f>
        <v/>
      </c>
      <c r="B297" s="34"/>
      <c r="C297" s="12"/>
      <c r="D297" s="34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35"/>
      <c r="P297" s="24" t="str">
        <f aca="false">IF(K297="","",IFERROR(ABS(K297-L297)/IF(ISNUMBER(SEARCH("JPY",E297)),0.01,IF(ISNUMBER(SEARCH("XAU",E297)),0.01,IF(OR(ISNUMBER(SEARCH("30",E297)),ISNUMBER(SEARCH("500",E297)),ISNUMBER(SEARCH("100",E297))),1,0.0001))),0))</f>
        <v/>
      </c>
      <c r="Q297" s="27" t="str">
        <f aca="false">IF(K297="","",SETTINGS!$B$6*O297)</f>
        <v/>
      </c>
      <c r="R297" s="24" t="str">
        <f aca="false">IF(K297="","",IFERROR(Q297/(P297*IF(ISNUMBER(SEARCH("JPY",E297)),9.09,IF(ISNUMBER(SEARCH("XAU",E297)),1,IF(OR(ISNUMBER(SEARCH("30",E297)),ISNUMBER(SEARCH("500",E297)),ISNUMBER(SEARCH("100",E297))),1,10)))),0))</f>
        <v/>
      </c>
      <c r="S297" s="12"/>
      <c r="T297" s="36"/>
      <c r="U297" s="27" t="str">
        <f aca="false">IF(OR(S297="",T297=0),"",IFERROR((S297-K297)*IF(F297="Sell",-1,1)*R297*T297*IF(ISNUMBER(SEARCH("JPY",E297)),1000,IF(ISNUMBER(SEARCH("XAU",E297)),100,IF(OR(ISNUMBER(SEARCH("30",E297)),ISNUMBER(SEARCH("500",E297)),ISNUMBER(SEARCH("100",E297))),100,100000))),0))</f>
        <v/>
      </c>
      <c r="V297" s="12"/>
      <c r="W297" s="36"/>
      <c r="X297" s="27" t="str">
        <f aca="false">IF(OR(V297="",W297=0),"",IFERROR((V297-K297)*IF(F297="Sell",-1,1)*R297*W297*IF(ISNUMBER(SEARCH("JPY",E297)),1000,IF(ISNUMBER(SEARCH("XAU",E297)),100,IF(OR(ISNUMBER(SEARCH("30",E297)),ISNUMBER(SEARCH("500",E297)),ISNUMBER(SEARCH("100",E297))),100,100000))),0))</f>
        <v/>
      </c>
      <c r="Y297" s="12"/>
      <c r="Z297" s="36"/>
      <c r="AA297" s="27" t="str">
        <f aca="false">IF(OR(Y297="",Z297=0),"",IFERROR((Y297-K297)*IF(F297="Sell",-1,1)*R297*Z297*IF(ISNUMBER(SEARCH("JPY",E297)),1000,IF(ISNUMBER(SEARCH("XAU",E297)),100,IF(OR(ISNUMBER(SEARCH("30",E297)),ISNUMBER(SEARCH("500",E297)),ISNUMBER(SEARCH("100",E297))),100,100000))),0))</f>
        <v/>
      </c>
      <c r="AB297" s="12"/>
      <c r="AC297" s="29" t="str">
        <f aca="false">IF(K297="","",1-IFERROR(T297,0)-IFERROR(W297,0)-IFERROR(Z297,0))</f>
        <v/>
      </c>
      <c r="AD297" s="30" t="str">
        <f aca="false">IF(AB297="","",IFERROR((IFERROR(S297*T297,0)+IFERROR(V297*W297,0)+IFERROR(Y297*Z297,0)+AB297*AC297)/(IFERROR(T297,0)+IFERROR(W297,0)+IFERROR(Z297,0)+AC297),AB297))</f>
        <v/>
      </c>
      <c r="AE297" s="27" t="str">
        <f aca="false">IF(AB297="","",IF(U297="",0,U297)+IF(X297="",0,X297)+IF(AA297="",0,AA297)+IFERROR((AB297-K297)*IF(F297="Sell",-1,1)*R297*AC297*IF(ISNUMBER(SEARCH("JPY",E297)),1000,IF(ISNUMBER(SEARCH("XAU",E297)),100,IF(OR(ISNUMBER(SEARCH("30",E297)),ISNUMBER(SEARCH("500",E297)),ISNUMBER(SEARCH("100",E297))),100,100000))),0))</f>
        <v/>
      </c>
      <c r="AF297" s="31" t="str">
        <f aca="false">IF(OR(K297="",M297="",L297=""),"",IFERROR(ABS(M297-K297)/ABS(K297-L297),0))</f>
        <v/>
      </c>
      <c r="AG297" s="31" t="str">
        <f aca="false">IF(OR(AE297="",AE297=0,Q297=0,Q297=""),"",IFERROR(AE297/Q297,0))</f>
        <v/>
      </c>
      <c r="AH297" s="32" t="str">
        <f aca="false">IF(AB297="","Open",IF(AG297="","Open",IF(AG297&gt;0.1,"Win",IF(AG297&lt;-0.1,"Loss","Breakeven"))))</f>
        <v>Open</v>
      </c>
      <c r="AI297" s="33" t="str">
        <f aca="false">IF(OR(B297="",D297=""),"",D297-B297)</f>
        <v/>
      </c>
      <c r="AJ297" s="24" t="str">
        <f aca="false">IF(AD297="","",IFERROR((AD297-K297)*IF(F297="Sell",-1,1)/IF(ISNUMBER(SEARCH("JPY",E297)),0.01,IF(ISNUMBER(SEARCH("XAU",E297)),0.01,IF(OR(ISNUMBER(SEARCH("30",E297)),ISNUMBER(SEARCH("500",E297)),ISNUMBER(SEARCH("100",E297))),1,0.0001))),0))</f>
        <v/>
      </c>
      <c r="AK297" s="12"/>
      <c r="AL297" s="12"/>
      <c r="AM297" s="12"/>
      <c r="AN297" s="12"/>
      <c r="AO297" s="27" t="str">
        <f aca="false">IF(AE297="","",IFERROR(IF(AO296="",SETTINGS!$B$6,AO296),SETTINGS!$B$6)+IF(AE297="",0,AE297))</f>
        <v/>
      </c>
      <c r="AP297" s="2"/>
    </row>
    <row r="298" customFormat="false" ht="15" hidden="false" customHeight="false" outlineLevel="0" collapsed="false">
      <c r="A298" s="24" t="str">
        <f aca="false">IF(B298="","",ROW()-3)</f>
        <v/>
      </c>
      <c r="B298" s="25"/>
      <c r="C298" s="10"/>
      <c r="D298" s="25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26"/>
      <c r="P298" s="24" t="str">
        <f aca="false">IF(K298="","",IFERROR(ABS(K298-L298)/IF(ISNUMBER(SEARCH("JPY",E298)),0.01,IF(ISNUMBER(SEARCH("XAU",E298)),0.01,IF(OR(ISNUMBER(SEARCH("30",E298)),ISNUMBER(SEARCH("500",E298)),ISNUMBER(SEARCH("100",E298))),1,0.0001))),0))</f>
        <v/>
      </c>
      <c r="Q298" s="27" t="str">
        <f aca="false">IF(K298="","",SETTINGS!$B$6*O298)</f>
        <v/>
      </c>
      <c r="R298" s="24" t="str">
        <f aca="false">IF(K298="","",IFERROR(Q298/(P298*IF(ISNUMBER(SEARCH("JPY",E298)),9.09,IF(ISNUMBER(SEARCH("XAU",E298)),1,IF(OR(ISNUMBER(SEARCH("30",E298)),ISNUMBER(SEARCH("500",E298)),ISNUMBER(SEARCH("100",E298))),1,10)))),0))</f>
        <v/>
      </c>
      <c r="S298" s="10"/>
      <c r="T298" s="28"/>
      <c r="U298" s="27" t="str">
        <f aca="false">IF(OR(S298="",T298=0),"",IFERROR((S298-K298)*IF(F298="Sell",-1,1)*R298*T298*IF(ISNUMBER(SEARCH("JPY",E298)),1000,IF(ISNUMBER(SEARCH("XAU",E298)),100,IF(OR(ISNUMBER(SEARCH("30",E298)),ISNUMBER(SEARCH("500",E298)),ISNUMBER(SEARCH("100",E298))),100,100000))),0))</f>
        <v/>
      </c>
      <c r="V298" s="10"/>
      <c r="W298" s="28"/>
      <c r="X298" s="27" t="str">
        <f aca="false">IF(OR(V298="",W298=0),"",IFERROR((V298-K298)*IF(F298="Sell",-1,1)*R298*W298*IF(ISNUMBER(SEARCH("JPY",E298)),1000,IF(ISNUMBER(SEARCH("XAU",E298)),100,IF(OR(ISNUMBER(SEARCH("30",E298)),ISNUMBER(SEARCH("500",E298)),ISNUMBER(SEARCH("100",E298))),100,100000))),0))</f>
        <v/>
      </c>
      <c r="Y298" s="10"/>
      <c r="Z298" s="28"/>
      <c r="AA298" s="27" t="str">
        <f aca="false">IF(OR(Y298="",Z298=0),"",IFERROR((Y298-K298)*IF(F298="Sell",-1,1)*R298*Z298*IF(ISNUMBER(SEARCH("JPY",E298)),1000,IF(ISNUMBER(SEARCH("XAU",E298)),100,IF(OR(ISNUMBER(SEARCH("30",E298)),ISNUMBER(SEARCH("500",E298)),ISNUMBER(SEARCH("100",E298))),100,100000))),0))</f>
        <v/>
      </c>
      <c r="AB298" s="10"/>
      <c r="AC298" s="29" t="str">
        <f aca="false">IF(K298="","",1-IFERROR(T298,0)-IFERROR(W298,0)-IFERROR(Z298,0))</f>
        <v/>
      </c>
      <c r="AD298" s="30" t="str">
        <f aca="false">IF(AB298="","",IFERROR((IFERROR(S298*T298,0)+IFERROR(V298*W298,0)+IFERROR(Y298*Z298,0)+AB298*AC298)/(IFERROR(T298,0)+IFERROR(W298,0)+IFERROR(Z298,0)+AC298),AB298))</f>
        <v/>
      </c>
      <c r="AE298" s="27" t="str">
        <f aca="false">IF(AB298="","",IF(U298="",0,U298)+IF(X298="",0,X298)+IF(AA298="",0,AA298)+IFERROR((AB298-K298)*IF(F298="Sell",-1,1)*R298*AC298*IF(ISNUMBER(SEARCH("JPY",E298)),1000,IF(ISNUMBER(SEARCH("XAU",E298)),100,IF(OR(ISNUMBER(SEARCH("30",E298)),ISNUMBER(SEARCH("500",E298)),ISNUMBER(SEARCH("100",E298))),100,100000))),0))</f>
        <v/>
      </c>
      <c r="AF298" s="31" t="str">
        <f aca="false">IF(OR(K298="",M298="",L298=""),"",IFERROR(ABS(M298-K298)/ABS(K298-L298),0))</f>
        <v/>
      </c>
      <c r="AG298" s="31" t="str">
        <f aca="false">IF(OR(AE298="",AE298=0,Q298=0,Q298=""),"",IFERROR(AE298/Q298,0))</f>
        <v/>
      </c>
      <c r="AH298" s="32" t="str">
        <f aca="false">IF(AB298="","Open",IF(AG298="","Open",IF(AG298&gt;0.1,"Win",IF(AG298&lt;-0.1,"Loss","Breakeven"))))</f>
        <v>Open</v>
      </c>
      <c r="AI298" s="33" t="str">
        <f aca="false">IF(OR(B298="",D298=""),"",D298-B298)</f>
        <v/>
      </c>
      <c r="AJ298" s="24" t="str">
        <f aca="false">IF(AD298="","",IFERROR((AD298-K298)*IF(F298="Sell",-1,1)/IF(ISNUMBER(SEARCH("JPY",E298)),0.01,IF(ISNUMBER(SEARCH("XAU",E298)),0.01,IF(OR(ISNUMBER(SEARCH("30",E298)),ISNUMBER(SEARCH("500",E298)),ISNUMBER(SEARCH("100",E298))),1,0.0001))),0))</f>
        <v/>
      </c>
      <c r="AK298" s="10"/>
      <c r="AL298" s="10"/>
      <c r="AM298" s="10"/>
      <c r="AN298" s="10"/>
      <c r="AO298" s="27" t="str">
        <f aca="false">IF(AE298="","",IFERROR(IF(AO297="",SETTINGS!$B$6,AO297),SETTINGS!$B$6)+IF(AE298="",0,AE298))</f>
        <v/>
      </c>
      <c r="AP298" s="2"/>
    </row>
    <row r="299" customFormat="false" ht="15" hidden="false" customHeight="false" outlineLevel="0" collapsed="false">
      <c r="A299" s="24" t="str">
        <f aca="false">IF(B299="","",ROW()-3)</f>
        <v/>
      </c>
      <c r="B299" s="34"/>
      <c r="C299" s="12"/>
      <c r="D299" s="34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35"/>
      <c r="P299" s="24" t="str">
        <f aca="false">IF(K299="","",IFERROR(ABS(K299-L299)/IF(ISNUMBER(SEARCH("JPY",E299)),0.01,IF(ISNUMBER(SEARCH("XAU",E299)),0.01,IF(OR(ISNUMBER(SEARCH("30",E299)),ISNUMBER(SEARCH("500",E299)),ISNUMBER(SEARCH("100",E299))),1,0.0001))),0))</f>
        <v/>
      </c>
      <c r="Q299" s="27" t="str">
        <f aca="false">IF(K299="","",SETTINGS!$B$6*O299)</f>
        <v/>
      </c>
      <c r="R299" s="24" t="str">
        <f aca="false">IF(K299="","",IFERROR(Q299/(P299*IF(ISNUMBER(SEARCH("JPY",E299)),9.09,IF(ISNUMBER(SEARCH("XAU",E299)),1,IF(OR(ISNUMBER(SEARCH("30",E299)),ISNUMBER(SEARCH("500",E299)),ISNUMBER(SEARCH("100",E299))),1,10)))),0))</f>
        <v/>
      </c>
      <c r="S299" s="12"/>
      <c r="T299" s="36"/>
      <c r="U299" s="27" t="str">
        <f aca="false">IF(OR(S299="",T299=0),"",IFERROR((S299-K299)*IF(F299="Sell",-1,1)*R299*T299*IF(ISNUMBER(SEARCH("JPY",E299)),1000,IF(ISNUMBER(SEARCH("XAU",E299)),100,IF(OR(ISNUMBER(SEARCH("30",E299)),ISNUMBER(SEARCH("500",E299)),ISNUMBER(SEARCH("100",E299))),100,100000))),0))</f>
        <v/>
      </c>
      <c r="V299" s="12"/>
      <c r="W299" s="36"/>
      <c r="X299" s="27" t="str">
        <f aca="false">IF(OR(V299="",W299=0),"",IFERROR((V299-K299)*IF(F299="Sell",-1,1)*R299*W299*IF(ISNUMBER(SEARCH("JPY",E299)),1000,IF(ISNUMBER(SEARCH("XAU",E299)),100,IF(OR(ISNUMBER(SEARCH("30",E299)),ISNUMBER(SEARCH("500",E299)),ISNUMBER(SEARCH("100",E299))),100,100000))),0))</f>
        <v/>
      </c>
      <c r="Y299" s="12"/>
      <c r="Z299" s="36"/>
      <c r="AA299" s="27" t="str">
        <f aca="false">IF(OR(Y299="",Z299=0),"",IFERROR((Y299-K299)*IF(F299="Sell",-1,1)*R299*Z299*IF(ISNUMBER(SEARCH("JPY",E299)),1000,IF(ISNUMBER(SEARCH("XAU",E299)),100,IF(OR(ISNUMBER(SEARCH("30",E299)),ISNUMBER(SEARCH("500",E299)),ISNUMBER(SEARCH("100",E299))),100,100000))),0))</f>
        <v/>
      </c>
      <c r="AB299" s="12"/>
      <c r="AC299" s="29" t="str">
        <f aca="false">IF(K299="","",1-IFERROR(T299,0)-IFERROR(W299,0)-IFERROR(Z299,0))</f>
        <v/>
      </c>
      <c r="AD299" s="30" t="str">
        <f aca="false">IF(AB299="","",IFERROR((IFERROR(S299*T299,0)+IFERROR(V299*W299,0)+IFERROR(Y299*Z299,0)+AB299*AC299)/(IFERROR(T299,0)+IFERROR(W299,0)+IFERROR(Z299,0)+AC299),AB299))</f>
        <v/>
      </c>
      <c r="AE299" s="27" t="str">
        <f aca="false">IF(AB299="","",IF(U299="",0,U299)+IF(X299="",0,X299)+IF(AA299="",0,AA299)+IFERROR((AB299-K299)*IF(F299="Sell",-1,1)*R299*AC299*IF(ISNUMBER(SEARCH("JPY",E299)),1000,IF(ISNUMBER(SEARCH("XAU",E299)),100,IF(OR(ISNUMBER(SEARCH("30",E299)),ISNUMBER(SEARCH("500",E299)),ISNUMBER(SEARCH("100",E299))),100,100000))),0))</f>
        <v/>
      </c>
      <c r="AF299" s="31" t="str">
        <f aca="false">IF(OR(K299="",M299="",L299=""),"",IFERROR(ABS(M299-K299)/ABS(K299-L299),0))</f>
        <v/>
      </c>
      <c r="AG299" s="31" t="str">
        <f aca="false">IF(OR(AE299="",AE299=0,Q299=0,Q299=""),"",IFERROR(AE299/Q299,0))</f>
        <v/>
      </c>
      <c r="AH299" s="32" t="str">
        <f aca="false">IF(AB299="","Open",IF(AG299="","Open",IF(AG299&gt;0.1,"Win",IF(AG299&lt;-0.1,"Loss","Breakeven"))))</f>
        <v>Open</v>
      </c>
      <c r="AI299" s="33" t="str">
        <f aca="false">IF(OR(B299="",D299=""),"",D299-B299)</f>
        <v/>
      </c>
      <c r="AJ299" s="24" t="str">
        <f aca="false">IF(AD299="","",IFERROR((AD299-K299)*IF(F299="Sell",-1,1)/IF(ISNUMBER(SEARCH("JPY",E299)),0.01,IF(ISNUMBER(SEARCH("XAU",E299)),0.01,IF(OR(ISNUMBER(SEARCH("30",E299)),ISNUMBER(SEARCH("500",E299)),ISNUMBER(SEARCH("100",E299))),1,0.0001))),0))</f>
        <v/>
      </c>
      <c r="AK299" s="12"/>
      <c r="AL299" s="12"/>
      <c r="AM299" s="12"/>
      <c r="AN299" s="12"/>
      <c r="AO299" s="27" t="str">
        <f aca="false">IF(AE299="","",IFERROR(IF(AO298="",SETTINGS!$B$6,AO298),SETTINGS!$B$6)+IF(AE299="",0,AE299))</f>
        <v/>
      </c>
      <c r="AP299" s="2"/>
    </row>
    <row r="300" customFormat="false" ht="15" hidden="false" customHeight="false" outlineLevel="0" collapsed="false">
      <c r="A300" s="24" t="str">
        <f aca="false">IF(B300="","",ROW()-3)</f>
        <v/>
      </c>
      <c r="B300" s="25"/>
      <c r="C300" s="10"/>
      <c r="D300" s="25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26"/>
      <c r="P300" s="24" t="str">
        <f aca="false">IF(K300="","",IFERROR(ABS(K300-L300)/IF(ISNUMBER(SEARCH("JPY",E300)),0.01,IF(ISNUMBER(SEARCH("XAU",E300)),0.01,IF(OR(ISNUMBER(SEARCH("30",E300)),ISNUMBER(SEARCH("500",E300)),ISNUMBER(SEARCH("100",E300))),1,0.0001))),0))</f>
        <v/>
      </c>
      <c r="Q300" s="27" t="str">
        <f aca="false">IF(K300="","",SETTINGS!$B$6*O300)</f>
        <v/>
      </c>
      <c r="R300" s="24" t="str">
        <f aca="false">IF(K300="","",IFERROR(Q300/(P300*IF(ISNUMBER(SEARCH("JPY",E300)),9.09,IF(ISNUMBER(SEARCH("XAU",E300)),1,IF(OR(ISNUMBER(SEARCH("30",E300)),ISNUMBER(SEARCH("500",E300)),ISNUMBER(SEARCH("100",E300))),1,10)))),0))</f>
        <v/>
      </c>
      <c r="S300" s="10"/>
      <c r="T300" s="28"/>
      <c r="U300" s="27" t="str">
        <f aca="false">IF(OR(S300="",T300=0),"",IFERROR((S300-K300)*IF(F300="Sell",-1,1)*R300*T300*IF(ISNUMBER(SEARCH("JPY",E300)),1000,IF(ISNUMBER(SEARCH("XAU",E300)),100,IF(OR(ISNUMBER(SEARCH("30",E300)),ISNUMBER(SEARCH("500",E300)),ISNUMBER(SEARCH("100",E300))),100,100000))),0))</f>
        <v/>
      </c>
      <c r="V300" s="10"/>
      <c r="W300" s="28"/>
      <c r="X300" s="27" t="str">
        <f aca="false">IF(OR(V300="",W300=0),"",IFERROR((V300-K300)*IF(F300="Sell",-1,1)*R300*W300*IF(ISNUMBER(SEARCH("JPY",E300)),1000,IF(ISNUMBER(SEARCH("XAU",E300)),100,IF(OR(ISNUMBER(SEARCH("30",E300)),ISNUMBER(SEARCH("500",E300)),ISNUMBER(SEARCH("100",E300))),100,100000))),0))</f>
        <v/>
      </c>
      <c r="Y300" s="10"/>
      <c r="Z300" s="28"/>
      <c r="AA300" s="27" t="str">
        <f aca="false">IF(OR(Y300="",Z300=0),"",IFERROR((Y300-K300)*IF(F300="Sell",-1,1)*R300*Z300*IF(ISNUMBER(SEARCH("JPY",E300)),1000,IF(ISNUMBER(SEARCH("XAU",E300)),100,IF(OR(ISNUMBER(SEARCH("30",E300)),ISNUMBER(SEARCH("500",E300)),ISNUMBER(SEARCH("100",E300))),100,100000))),0))</f>
        <v/>
      </c>
      <c r="AB300" s="10"/>
      <c r="AC300" s="29" t="str">
        <f aca="false">IF(K300="","",1-IFERROR(T300,0)-IFERROR(W300,0)-IFERROR(Z300,0))</f>
        <v/>
      </c>
      <c r="AD300" s="30" t="str">
        <f aca="false">IF(AB300="","",IFERROR((IFERROR(S300*T300,0)+IFERROR(V300*W300,0)+IFERROR(Y300*Z300,0)+AB300*AC300)/(IFERROR(T300,0)+IFERROR(W300,0)+IFERROR(Z300,0)+AC300),AB300))</f>
        <v/>
      </c>
      <c r="AE300" s="27" t="str">
        <f aca="false">IF(AB300="","",IF(U300="",0,U300)+IF(X300="",0,X300)+IF(AA300="",0,AA300)+IFERROR((AB300-K300)*IF(F300="Sell",-1,1)*R300*AC300*IF(ISNUMBER(SEARCH("JPY",E300)),1000,IF(ISNUMBER(SEARCH("XAU",E300)),100,IF(OR(ISNUMBER(SEARCH("30",E300)),ISNUMBER(SEARCH("500",E300)),ISNUMBER(SEARCH("100",E300))),100,100000))),0))</f>
        <v/>
      </c>
      <c r="AF300" s="31" t="str">
        <f aca="false">IF(OR(K300="",M300="",L300=""),"",IFERROR(ABS(M300-K300)/ABS(K300-L300),0))</f>
        <v/>
      </c>
      <c r="AG300" s="31" t="str">
        <f aca="false">IF(OR(AE300="",AE300=0,Q300=0,Q300=""),"",IFERROR(AE300/Q300,0))</f>
        <v/>
      </c>
      <c r="AH300" s="32" t="str">
        <f aca="false">IF(AB300="","Open",IF(AG300="","Open",IF(AG300&gt;0.1,"Win",IF(AG300&lt;-0.1,"Loss","Breakeven"))))</f>
        <v>Open</v>
      </c>
      <c r="AI300" s="33" t="str">
        <f aca="false">IF(OR(B300="",D300=""),"",D300-B300)</f>
        <v/>
      </c>
      <c r="AJ300" s="24" t="str">
        <f aca="false">IF(AD300="","",IFERROR((AD300-K300)*IF(F300="Sell",-1,1)/IF(ISNUMBER(SEARCH("JPY",E300)),0.01,IF(ISNUMBER(SEARCH("XAU",E300)),0.01,IF(OR(ISNUMBER(SEARCH("30",E300)),ISNUMBER(SEARCH("500",E300)),ISNUMBER(SEARCH("100",E300))),1,0.0001))),0))</f>
        <v/>
      </c>
      <c r="AK300" s="10"/>
      <c r="AL300" s="10"/>
      <c r="AM300" s="10"/>
      <c r="AN300" s="10"/>
      <c r="AO300" s="27" t="str">
        <f aca="false">IF(AE300="","",IFERROR(IF(AO299="",SETTINGS!$B$6,AO299),SETTINGS!$B$6)+IF(AE300="",0,AE300))</f>
        <v/>
      </c>
      <c r="AP300" s="2"/>
    </row>
    <row r="301" customFormat="false" ht="15" hidden="false" customHeight="false" outlineLevel="0" collapsed="false">
      <c r="A301" s="24" t="str">
        <f aca="false">IF(B301="","",ROW()-3)</f>
        <v/>
      </c>
      <c r="B301" s="34"/>
      <c r="C301" s="12"/>
      <c r="D301" s="34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35"/>
      <c r="P301" s="24" t="str">
        <f aca="false">IF(K301="","",IFERROR(ABS(K301-L301)/IF(ISNUMBER(SEARCH("JPY",E301)),0.01,IF(ISNUMBER(SEARCH("XAU",E301)),0.01,IF(OR(ISNUMBER(SEARCH("30",E301)),ISNUMBER(SEARCH("500",E301)),ISNUMBER(SEARCH("100",E301))),1,0.0001))),0))</f>
        <v/>
      </c>
      <c r="Q301" s="27" t="str">
        <f aca="false">IF(K301="","",SETTINGS!$B$6*O301)</f>
        <v/>
      </c>
      <c r="R301" s="24" t="str">
        <f aca="false">IF(K301="","",IFERROR(Q301/(P301*IF(ISNUMBER(SEARCH("JPY",E301)),9.09,IF(ISNUMBER(SEARCH("XAU",E301)),1,IF(OR(ISNUMBER(SEARCH("30",E301)),ISNUMBER(SEARCH("500",E301)),ISNUMBER(SEARCH("100",E301))),1,10)))),0))</f>
        <v/>
      </c>
      <c r="S301" s="12"/>
      <c r="T301" s="36"/>
      <c r="U301" s="27" t="str">
        <f aca="false">IF(OR(S301="",T301=0),"",IFERROR((S301-K301)*IF(F301="Sell",-1,1)*R301*T301*IF(ISNUMBER(SEARCH("JPY",E301)),1000,IF(ISNUMBER(SEARCH("XAU",E301)),100,IF(OR(ISNUMBER(SEARCH("30",E301)),ISNUMBER(SEARCH("500",E301)),ISNUMBER(SEARCH("100",E301))),100,100000))),0))</f>
        <v/>
      </c>
      <c r="V301" s="12"/>
      <c r="W301" s="36"/>
      <c r="X301" s="27" t="str">
        <f aca="false">IF(OR(V301="",W301=0),"",IFERROR((V301-K301)*IF(F301="Sell",-1,1)*R301*W301*IF(ISNUMBER(SEARCH("JPY",E301)),1000,IF(ISNUMBER(SEARCH("XAU",E301)),100,IF(OR(ISNUMBER(SEARCH("30",E301)),ISNUMBER(SEARCH("500",E301)),ISNUMBER(SEARCH("100",E301))),100,100000))),0))</f>
        <v/>
      </c>
      <c r="Y301" s="12"/>
      <c r="Z301" s="36"/>
      <c r="AA301" s="27" t="str">
        <f aca="false">IF(OR(Y301="",Z301=0),"",IFERROR((Y301-K301)*IF(F301="Sell",-1,1)*R301*Z301*IF(ISNUMBER(SEARCH("JPY",E301)),1000,IF(ISNUMBER(SEARCH("XAU",E301)),100,IF(OR(ISNUMBER(SEARCH("30",E301)),ISNUMBER(SEARCH("500",E301)),ISNUMBER(SEARCH("100",E301))),100,100000))),0))</f>
        <v/>
      </c>
      <c r="AB301" s="12"/>
      <c r="AC301" s="29" t="str">
        <f aca="false">IF(K301="","",1-IFERROR(T301,0)-IFERROR(W301,0)-IFERROR(Z301,0))</f>
        <v/>
      </c>
      <c r="AD301" s="30" t="str">
        <f aca="false">IF(AB301="","",IFERROR((IFERROR(S301*T301,0)+IFERROR(V301*W301,0)+IFERROR(Y301*Z301,0)+AB301*AC301)/(IFERROR(T301,0)+IFERROR(W301,0)+IFERROR(Z301,0)+AC301),AB301))</f>
        <v/>
      </c>
      <c r="AE301" s="27" t="str">
        <f aca="false">IF(AB301="","",IF(U301="",0,U301)+IF(X301="",0,X301)+IF(AA301="",0,AA301)+IFERROR((AB301-K301)*IF(F301="Sell",-1,1)*R301*AC301*IF(ISNUMBER(SEARCH("JPY",E301)),1000,IF(ISNUMBER(SEARCH("XAU",E301)),100,IF(OR(ISNUMBER(SEARCH("30",E301)),ISNUMBER(SEARCH("500",E301)),ISNUMBER(SEARCH("100",E301))),100,100000))),0))</f>
        <v/>
      </c>
      <c r="AF301" s="31" t="str">
        <f aca="false">IF(OR(K301="",M301="",L301=""),"",IFERROR(ABS(M301-K301)/ABS(K301-L301),0))</f>
        <v/>
      </c>
      <c r="AG301" s="31" t="str">
        <f aca="false">IF(OR(AE301="",AE301=0,Q301=0,Q301=""),"",IFERROR(AE301/Q301,0))</f>
        <v/>
      </c>
      <c r="AH301" s="32" t="str">
        <f aca="false">IF(AB301="","Open",IF(AG301="","Open",IF(AG301&gt;0.1,"Win",IF(AG301&lt;-0.1,"Loss","Breakeven"))))</f>
        <v>Open</v>
      </c>
      <c r="AI301" s="33" t="str">
        <f aca="false">IF(OR(B301="",D301=""),"",D301-B301)</f>
        <v/>
      </c>
      <c r="AJ301" s="24" t="str">
        <f aca="false">IF(AD301="","",IFERROR((AD301-K301)*IF(F301="Sell",-1,1)/IF(ISNUMBER(SEARCH("JPY",E301)),0.01,IF(ISNUMBER(SEARCH("XAU",E301)),0.01,IF(OR(ISNUMBER(SEARCH("30",E301)),ISNUMBER(SEARCH("500",E301)),ISNUMBER(SEARCH("100",E301))),1,0.0001))),0))</f>
        <v/>
      </c>
      <c r="AK301" s="12"/>
      <c r="AL301" s="12"/>
      <c r="AM301" s="12"/>
      <c r="AN301" s="12"/>
      <c r="AO301" s="27" t="str">
        <f aca="false">IF(AE301="","",IFERROR(IF(AO300="",SETTINGS!$B$6,AO300),SETTINGS!$B$6)+IF(AE301="",0,AE301))</f>
        <v/>
      </c>
      <c r="AP301" s="2"/>
    </row>
    <row r="302" customFormat="false" ht="15" hidden="false" customHeight="false" outlineLevel="0" collapsed="false">
      <c r="A302" s="24" t="str">
        <f aca="false">IF(B302="","",ROW()-3)</f>
        <v/>
      </c>
      <c r="B302" s="25"/>
      <c r="C302" s="10"/>
      <c r="D302" s="25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26"/>
      <c r="P302" s="24" t="str">
        <f aca="false">IF(K302="","",IFERROR(ABS(K302-L302)/IF(ISNUMBER(SEARCH("JPY",E302)),0.01,IF(ISNUMBER(SEARCH("XAU",E302)),0.01,IF(OR(ISNUMBER(SEARCH("30",E302)),ISNUMBER(SEARCH("500",E302)),ISNUMBER(SEARCH("100",E302))),1,0.0001))),0))</f>
        <v/>
      </c>
      <c r="Q302" s="27" t="str">
        <f aca="false">IF(K302="","",SETTINGS!$B$6*O302)</f>
        <v/>
      </c>
      <c r="R302" s="24" t="str">
        <f aca="false">IF(K302="","",IFERROR(Q302/(P302*IF(ISNUMBER(SEARCH("JPY",E302)),9.09,IF(ISNUMBER(SEARCH("XAU",E302)),1,IF(OR(ISNUMBER(SEARCH("30",E302)),ISNUMBER(SEARCH("500",E302)),ISNUMBER(SEARCH("100",E302))),1,10)))),0))</f>
        <v/>
      </c>
      <c r="S302" s="10"/>
      <c r="T302" s="28"/>
      <c r="U302" s="27" t="str">
        <f aca="false">IF(OR(S302="",T302=0),"",IFERROR((S302-K302)*IF(F302="Sell",-1,1)*R302*T302*IF(ISNUMBER(SEARCH("JPY",E302)),1000,IF(ISNUMBER(SEARCH("XAU",E302)),100,IF(OR(ISNUMBER(SEARCH("30",E302)),ISNUMBER(SEARCH("500",E302)),ISNUMBER(SEARCH("100",E302))),100,100000))),0))</f>
        <v/>
      </c>
      <c r="V302" s="10"/>
      <c r="W302" s="28"/>
      <c r="X302" s="27" t="str">
        <f aca="false">IF(OR(V302="",W302=0),"",IFERROR((V302-K302)*IF(F302="Sell",-1,1)*R302*W302*IF(ISNUMBER(SEARCH("JPY",E302)),1000,IF(ISNUMBER(SEARCH("XAU",E302)),100,IF(OR(ISNUMBER(SEARCH("30",E302)),ISNUMBER(SEARCH("500",E302)),ISNUMBER(SEARCH("100",E302))),100,100000))),0))</f>
        <v/>
      </c>
      <c r="Y302" s="10"/>
      <c r="Z302" s="28"/>
      <c r="AA302" s="27" t="str">
        <f aca="false">IF(OR(Y302="",Z302=0),"",IFERROR((Y302-K302)*IF(F302="Sell",-1,1)*R302*Z302*IF(ISNUMBER(SEARCH("JPY",E302)),1000,IF(ISNUMBER(SEARCH("XAU",E302)),100,IF(OR(ISNUMBER(SEARCH("30",E302)),ISNUMBER(SEARCH("500",E302)),ISNUMBER(SEARCH("100",E302))),100,100000))),0))</f>
        <v/>
      </c>
      <c r="AB302" s="10"/>
      <c r="AC302" s="29" t="str">
        <f aca="false">IF(K302="","",1-IFERROR(T302,0)-IFERROR(W302,0)-IFERROR(Z302,0))</f>
        <v/>
      </c>
      <c r="AD302" s="30" t="str">
        <f aca="false">IF(AB302="","",IFERROR((IFERROR(S302*T302,0)+IFERROR(V302*W302,0)+IFERROR(Y302*Z302,0)+AB302*AC302)/(IFERROR(T302,0)+IFERROR(W302,0)+IFERROR(Z302,0)+AC302),AB302))</f>
        <v/>
      </c>
      <c r="AE302" s="27" t="str">
        <f aca="false">IF(AB302="","",IF(U302="",0,U302)+IF(X302="",0,X302)+IF(AA302="",0,AA302)+IFERROR((AB302-K302)*IF(F302="Sell",-1,1)*R302*AC302*IF(ISNUMBER(SEARCH("JPY",E302)),1000,IF(ISNUMBER(SEARCH("XAU",E302)),100,IF(OR(ISNUMBER(SEARCH("30",E302)),ISNUMBER(SEARCH("500",E302)),ISNUMBER(SEARCH("100",E302))),100,100000))),0))</f>
        <v/>
      </c>
      <c r="AF302" s="31" t="str">
        <f aca="false">IF(OR(K302="",M302="",L302=""),"",IFERROR(ABS(M302-K302)/ABS(K302-L302),0))</f>
        <v/>
      </c>
      <c r="AG302" s="31" t="str">
        <f aca="false">IF(OR(AE302="",AE302=0,Q302=0,Q302=""),"",IFERROR(AE302/Q302,0))</f>
        <v/>
      </c>
      <c r="AH302" s="32" t="str">
        <f aca="false">IF(AB302="","Open",IF(AG302="","Open",IF(AG302&gt;0.1,"Win",IF(AG302&lt;-0.1,"Loss","Breakeven"))))</f>
        <v>Open</v>
      </c>
      <c r="AI302" s="33" t="str">
        <f aca="false">IF(OR(B302="",D302=""),"",D302-B302)</f>
        <v/>
      </c>
      <c r="AJ302" s="24" t="str">
        <f aca="false">IF(AD302="","",IFERROR((AD302-K302)*IF(F302="Sell",-1,1)/IF(ISNUMBER(SEARCH("JPY",E302)),0.01,IF(ISNUMBER(SEARCH("XAU",E302)),0.01,IF(OR(ISNUMBER(SEARCH("30",E302)),ISNUMBER(SEARCH("500",E302)),ISNUMBER(SEARCH("100",E302))),1,0.0001))),0))</f>
        <v/>
      </c>
      <c r="AK302" s="10"/>
      <c r="AL302" s="10"/>
      <c r="AM302" s="10"/>
      <c r="AN302" s="10"/>
      <c r="AO302" s="27" t="str">
        <f aca="false">IF(AE302="","",IFERROR(IF(AO301="",SETTINGS!$B$6,AO301),SETTINGS!$B$6)+IF(AE302="",0,AE302))</f>
        <v/>
      </c>
      <c r="AP302" s="2"/>
    </row>
    <row r="303" customFormat="false" ht="15" hidden="false" customHeight="false" outlineLevel="0" collapsed="false">
      <c r="A303" s="24" t="str">
        <f aca="false">IF(B303="","",ROW()-3)</f>
        <v/>
      </c>
      <c r="B303" s="34"/>
      <c r="C303" s="12"/>
      <c r="D303" s="34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35"/>
      <c r="P303" s="24" t="str">
        <f aca="false">IF(K303="","",IFERROR(ABS(K303-L303)/IF(ISNUMBER(SEARCH("JPY",E303)),0.01,IF(ISNUMBER(SEARCH("XAU",E303)),0.01,IF(OR(ISNUMBER(SEARCH("30",E303)),ISNUMBER(SEARCH("500",E303)),ISNUMBER(SEARCH("100",E303))),1,0.0001))),0))</f>
        <v/>
      </c>
      <c r="Q303" s="27" t="str">
        <f aca="false">IF(K303="","",SETTINGS!$B$6*O303)</f>
        <v/>
      </c>
      <c r="R303" s="24" t="str">
        <f aca="false">IF(K303="","",IFERROR(Q303/(P303*IF(ISNUMBER(SEARCH("JPY",E303)),9.09,IF(ISNUMBER(SEARCH("XAU",E303)),1,IF(OR(ISNUMBER(SEARCH("30",E303)),ISNUMBER(SEARCH("500",E303)),ISNUMBER(SEARCH("100",E303))),1,10)))),0))</f>
        <v/>
      </c>
      <c r="S303" s="12"/>
      <c r="T303" s="36"/>
      <c r="U303" s="27" t="str">
        <f aca="false">IF(OR(S303="",T303=0),"",IFERROR((S303-K303)*IF(F303="Sell",-1,1)*R303*T303*IF(ISNUMBER(SEARCH("JPY",E303)),1000,IF(ISNUMBER(SEARCH("XAU",E303)),100,IF(OR(ISNUMBER(SEARCH("30",E303)),ISNUMBER(SEARCH("500",E303)),ISNUMBER(SEARCH("100",E303))),100,100000))),0))</f>
        <v/>
      </c>
      <c r="V303" s="12"/>
      <c r="W303" s="36"/>
      <c r="X303" s="27" t="str">
        <f aca="false">IF(OR(V303="",W303=0),"",IFERROR((V303-K303)*IF(F303="Sell",-1,1)*R303*W303*IF(ISNUMBER(SEARCH("JPY",E303)),1000,IF(ISNUMBER(SEARCH("XAU",E303)),100,IF(OR(ISNUMBER(SEARCH("30",E303)),ISNUMBER(SEARCH("500",E303)),ISNUMBER(SEARCH("100",E303))),100,100000))),0))</f>
        <v/>
      </c>
      <c r="Y303" s="12"/>
      <c r="Z303" s="36"/>
      <c r="AA303" s="27" t="str">
        <f aca="false">IF(OR(Y303="",Z303=0),"",IFERROR((Y303-K303)*IF(F303="Sell",-1,1)*R303*Z303*IF(ISNUMBER(SEARCH("JPY",E303)),1000,IF(ISNUMBER(SEARCH("XAU",E303)),100,IF(OR(ISNUMBER(SEARCH("30",E303)),ISNUMBER(SEARCH("500",E303)),ISNUMBER(SEARCH("100",E303))),100,100000))),0))</f>
        <v/>
      </c>
      <c r="AB303" s="12"/>
      <c r="AC303" s="29" t="str">
        <f aca="false">IF(K303="","",1-IFERROR(T303,0)-IFERROR(W303,0)-IFERROR(Z303,0))</f>
        <v/>
      </c>
      <c r="AD303" s="30" t="str">
        <f aca="false">IF(AB303="","",IFERROR((IFERROR(S303*T303,0)+IFERROR(V303*W303,0)+IFERROR(Y303*Z303,0)+AB303*AC303)/(IFERROR(T303,0)+IFERROR(W303,0)+IFERROR(Z303,0)+AC303),AB303))</f>
        <v/>
      </c>
      <c r="AE303" s="27" t="str">
        <f aca="false">IF(AB303="","",IF(U303="",0,U303)+IF(X303="",0,X303)+IF(AA303="",0,AA303)+IFERROR((AB303-K303)*IF(F303="Sell",-1,1)*R303*AC303*IF(ISNUMBER(SEARCH("JPY",E303)),1000,IF(ISNUMBER(SEARCH("XAU",E303)),100,IF(OR(ISNUMBER(SEARCH("30",E303)),ISNUMBER(SEARCH("500",E303)),ISNUMBER(SEARCH("100",E303))),100,100000))),0))</f>
        <v/>
      </c>
      <c r="AF303" s="31" t="str">
        <f aca="false">IF(OR(K303="",M303="",L303=""),"",IFERROR(ABS(M303-K303)/ABS(K303-L303),0))</f>
        <v/>
      </c>
      <c r="AG303" s="31" t="str">
        <f aca="false">IF(OR(AE303="",AE303=0,Q303=0,Q303=""),"",IFERROR(AE303/Q303,0))</f>
        <v/>
      </c>
      <c r="AH303" s="32" t="str">
        <f aca="false">IF(AB303="","Open",IF(AG303="","Open",IF(AG303&gt;0.1,"Win",IF(AG303&lt;-0.1,"Loss","Breakeven"))))</f>
        <v>Open</v>
      </c>
      <c r="AI303" s="33" t="str">
        <f aca="false">IF(OR(B303="",D303=""),"",D303-B303)</f>
        <v/>
      </c>
      <c r="AJ303" s="24" t="str">
        <f aca="false">IF(AD303="","",IFERROR((AD303-K303)*IF(F303="Sell",-1,1)/IF(ISNUMBER(SEARCH("JPY",E303)),0.01,IF(ISNUMBER(SEARCH("XAU",E303)),0.01,IF(OR(ISNUMBER(SEARCH("30",E303)),ISNUMBER(SEARCH("500",E303)),ISNUMBER(SEARCH("100",E303))),1,0.0001))),0))</f>
        <v/>
      </c>
      <c r="AK303" s="12"/>
      <c r="AL303" s="12"/>
      <c r="AM303" s="12"/>
      <c r="AN303" s="12"/>
      <c r="AO303" s="27" t="str">
        <f aca="false">IF(AE303="","",IFERROR(IF(AO302="",SETTINGS!$B$6,AO302),SETTINGS!$B$6)+IF(AE303="",0,AE303))</f>
        <v/>
      </c>
      <c r="AP303" s="2"/>
    </row>
    <row r="304" customFormat="false" ht="15" hidden="false" customHeight="false" outlineLevel="0" collapsed="false">
      <c r="A304" s="24" t="str">
        <f aca="false">IF(B304="","",ROW()-3)</f>
        <v/>
      </c>
      <c r="B304" s="25"/>
      <c r="C304" s="10"/>
      <c r="D304" s="25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26"/>
      <c r="P304" s="24" t="str">
        <f aca="false">IF(K304="","",IFERROR(ABS(K304-L304)/IF(ISNUMBER(SEARCH("JPY",E304)),0.01,IF(ISNUMBER(SEARCH("XAU",E304)),0.01,IF(OR(ISNUMBER(SEARCH("30",E304)),ISNUMBER(SEARCH("500",E304)),ISNUMBER(SEARCH("100",E304))),1,0.0001))),0))</f>
        <v/>
      </c>
      <c r="Q304" s="27" t="str">
        <f aca="false">IF(K304="","",SETTINGS!$B$6*O304)</f>
        <v/>
      </c>
      <c r="R304" s="24" t="str">
        <f aca="false">IF(K304="","",IFERROR(Q304/(P304*IF(ISNUMBER(SEARCH("JPY",E304)),9.09,IF(ISNUMBER(SEARCH("XAU",E304)),1,IF(OR(ISNUMBER(SEARCH("30",E304)),ISNUMBER(SEARCH("500",E304)),ISNUMBER(SEARCH("100",E304))),1,10)))),0))</f>
        <v/>
      </c>
      <c r="S304" s="10"/>
      <c r="T304" s="28"/>
      <c r="U304" s="27" t="str">
        <f aca="false">IF(OR(S304="",T304=0),"",IFERROR((S304-K304)*IF(F304="Sell",-1,1)*R304*T304*IF(ISNUMBER(SEARCH("JPY",E304)),1000,IF(ISNUMBER(SEARCH("XAU",E304)),100,IF(OR(ISNUMBER(SEARCH("30",E304)),ISNUMBER(SEARCH("500",E304)),ISNUMBER(SEARCH("100",E304))),100,100000))),0))</f>
        <v/>
      </c>
      <c r="V304" s="10"/>
      <c r="W304" s="28"/>
      <c r="X304" s="27" t="str">
        <f aca="false">IF(OR(V304="",W304=0),"",IFERROR((V304-K304)*IF(F304="Sell",-1,1)*R304*W304*IF(ISNUMBER(SEARCH("JPY",E304)),1000,IF(ISNUMBER(SEARCH("XAU",E304)),100,IF(OR(ISNUMBER(SEARCH("30",E304)),ISNUMBER(SEARCH("500",E304)),ISNUMBER(SEARCH("100",E304))),100,100000))),0))</f>
        <v/>
      </c>
      <c r="Y304" s="10"/>
      <c r="Z304" s="28"/>
      <c r="AA304" s="27" t="str">
        <f aca="false">IF(OR(Y304="",Z304=0),"",IFERROR((Y304-K304)*IF(F304="Sell",-1,1)*R304*Z304*IF(ISNUMBER(SEARCH("JPY",E304)),1000,IF(ISNUMBER(SEARCH("XAU",E304)),100,IF(OR(ISNUMBER(SEARCH("30",E304)),ISNUMBER(SEARCH("500",E304)),ISNUMBER(SEARCH("100",E304))),100,100000))),0))</f>
        <v/>
      </c>
      <c r="AB304" s="10"/>
      <c r="AC304" s="29" t="str">
        <f aca="false">IF(K304="","",1-IFERROR(T304,0)-IFERROR(W304,0)-IFERROR(Z304,0))</f>
        <v/>
      </c>
      <c r="AD304" s="30" t="str">
        <f aca="false">IF(AB304="","",IFERROR((IFERROR(S304*T304,0)+IFERROR(V304*W304,0)+IFERROR(Y304*Z304,0)+AB304*AC304)/(IFERROR(T304,0)+IFERROR(W304,0)+IFERROR(Z304,0)+AC304),AB304))</f>
        <v/>
      </c>
      <c r="AE304" s="27" t="str">
        <f aca="false">IF(AB304="","",IF(U304="",0,U304)+IF(X304="",0,X304)+IF(AA304="",0,AA304)+IFERROR((AB304-K304)*IF(F304="Sell",-1,1)*R304*AC304*IF(ISNUMBER(SEARCH("JPY",E304)),1000,IF(ISNUMBER(SEARCH("XAU",E304)),100,IF(OR(ISNUMBER(SEARCH("30",E304)),ISNUMBER(SEARCH("500",E304)),ISNUMBER(SEARCH("100",E304))),100,100000))),0))</f>
        <v/>
      </c>
      <c r="AF304" s="31" t="str">
        <f aca="false">IF(OR(K304="",M304="",L304=""),"",IFERROR(ABS(M304-K304)/ABS(K304-L304),0))</f>
        <v/>
      </c>
      <c r="AG304" s="31" t="str">
        <f aca="false">IF(OR(AE304="",AE304=0,Q304=0,Q304=""),"",IFERROR(AE304/Q304,0))</f>
        <v/>
      </c>
      <c r="AH304" s="32" t="str">
        <f aca="false">IF(AB304="","Open",IF(AG304="","Open",IF(AG304&gt;0.1,"Win",IF(AG304&lt;-0.1,"Loss","Breakeven"))))</f>
        <v>Open</v>
      </c>
      <c r="AI304" s="33" t="str">
        <f aca="false">IF(OR(B304="",D304=""),"",D304-B304)</f>
        <v/>
      </c>
      <c r="AJ304" s="24" t="str">
        <f aca="false">IF(AD304="","",IFERROR((AD304-K304)*IF(F304="Sell",-1,1)/IF(ISNUMBER(SEARCH("JPY",E304)),0.01,IF(ISNUMBER(SEARCH("XAU",E304)),0.01,IF(OR(ISNUMBER(SEARCH("30",E304)),ISNUMBER(SEARCH("500",E304)),ISNUMBER(SEARCH("100",E304))),1,0.0001))),0))</f>
        <v/>
      </c>
      <c r="AK304" s="10"/>
      <c r="AL304" s="10"/>
      <c r="AM304" s="10"/>
      <c r="AN304" s="10"/>
      <c r="AO304" s="27" t="str">
        <f aca="false">IF(AE304="","",IFERROR(IF(AO303="",SETTINGS!$B$6,AO303),SETTINGS!$B$6)+IF(AE304="",0,AE304))</f>
        <v/>
      </c>
      <c r="AP304" s="2"/>
    </row>
    <row r="305" customFormat="false" ht="15" hidden="false" customHeight="false" outlineLevel="0" collapsed="false">
      <c r="A305" s="24" t="str">
        <f aca="false">IF(B305="","",ROW()-3)</f>
        <v/>
      </c>
      <c r="B305" s="34"/>
      <c r="C305" s="12"/>
      <c r="D305" s="34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35"/>
      <c r="P305" s="24" t="str">
        <f aca="false">IF(K305="","",IFERROR(ABS(K305-L305)/IF(ISNUMBER(SEARCH("JPY",E305)),0.01,IF(ISNUMBER(SEARCH("XAU",E305)),0.01,IF(OR(ISNUMBER(SEARCH("30",E305)),ISNUMBER(SEARCH("500",E305)),ISNUMBER(SEARCH("100",E305))),1,0.0001))),0))</f>
        <v/>
      </c>
      <c r="Q305" s="27" t="str">
        <f aca="false">IF(K305="","",SETTINGS!$B$6*O305)</f>
        <v/>
      </c>
      <c r="R305" s="24" t="str">
        <f aca="false">IF(K305="","",IFERROR(Q305/(P305*IF(ISNUMBER(SEARCH("JPY",E305)),9.09,IF(ISNUMBER(SEARCH("XAU",E305)),1,IF(OR(ISNUMBER(SEARCH("30",E305)),ISNUMBER(SEARCH("500",E305)),ISNUMBER(SEARCH("100",E305))),1,10)))),0))</f>
        <v/>
      </c>
      <c r="S305" s="12"/>
      <c r="T305" s="36"/>
      <c r="U305" s="27" t="str">
        <f aca="false">IF(OR(S305="",T305=0),"",IFERROR((S305-K305)*IF(F305="Sell",-1,1)*R305*T305*IF(ISNUMBER(SEARCH("JPY",E305)),1000,IF(ISNUMBER(SEARCH("XAU",E305)),100,IF(OR(ISNUMBER(SEARCH("30",E305)),ISNUMBER(SEARCH("500",E305)),ISNUMBER(SEARCH("100",E305))),100,100000))),0))</f>
        <v/>
      </c>
      <c r="V305" s="12"/>
      <c r="W305" s="36"/>
      <c r="X305" s="27" t="str">
        <f aca="false">IF(OR(V305="",W305=0),"",IFERROR((V305-K305)*IF(F305="Sell",-1,1)*R305*W305*IF(ISNUMBER(SEARCH("JPY",E305)),1000,IF(ISNUMBER(SEARCH("XAU",E305)),100,IF(OR(ISNUMBER(SEARCH("30",E305)),ISNUMBER(SEARCH("500",E305)),ISNUMBER(SEARCH("100",E305))),100,100000))),0))</f>
        <v/>
      </c>
      <c r="Y305" s="12"/>
      <c r="Z305" s="36"/>
      <c r="AA305" s="27" t="str">
        <f aca="false">IF(OR(Y305="",Z305=0),"",IFERROR((Y305-K305)*IF(F305="Sell",-1,1)*R305*Z305*IF(ISNUMBER(SEARCH("JPY",E305)),1000,IF(ISNUMBER(SEARCH("XAU",E305)),100,IF(OR(ISNUMBER(SEARCH("30",E305)),ISNUMBER(SEARCH("500",E305)),ISNUMBER(SEARCH("100",E305))),100,100000))),0))</f>
        <v/>
      </c>
      <c r="AB305" s="12"/>
      <c r="AC305" s="29" t="str">
        <f aca="false">IF(K305="","",1-IFERROR(T305,0)-IFERROR(W305,0)-IFERROR(Z305,0))</f>
        <v/>
      </c>
      <c r="AD305" s="30" t="str">
        <f aca="false">IF(AB305="","",IFERROR((IFERROR(S305*T305,0)+IFERROR(V305*W305,0)+IFERROR(Y305*Z305,0)+AB305*AC305)/(IFERROR(T305,0)+IFERROR(W305,0)+IFERROR(Z305,0)+AC305),AB305))</f>
        <v/>
      </c>
      <c r="AE305" s="27" t="str">
        <f aca="false">IF(AB305="","",IF(U305="",0,U305)+IF(X305="",0,X305)+IF(AA305="",0,AA305)+IFERROR((AB305-K305)*IF(F305="Sell",-1,1)*R305*AC305*IF(ISNUMBER(SEARCH("JPY",E305)),1000,IF(ISNUMBER(SEARCH("XAU",E305)),100,IF(OR(ISNUMBER(SEARCH("30",E305)),ISNUMBER(SEARCH("500",E305)),ISNUMBER(SEARCH("100",E305))),100,100000))),0))</f>
        <v/>
      </c>
      <c r="AF305" s="31" t="str">
        <f aca="false">IF(OR(K305="",M305="",L305=""),"",IFERROR(ABS(M305-K305)/ABS(K305-L305),0))</f>
        <v/>
      </c>
      <c r="AG305" s="31" t="str">
        <f aca="false">IF(OR(AE305="",AE305=0,Q305=0,Q305=""),"",IFERROR(AE305/Q305,0))</f>
        <v/>
      </c>
      <c r="AH305" s="32" t="str">
        <f aca="false">IF(AB305="","Open",IF(AG305="","Open",IF(AG305&gt;0.1,"Win",IF(AG305&lt;-0.1,"Loss","Breakeven"))))</f>
        <v>Open</v>
      </c>
      <c r="AI305" s="33" t="str">
        <f aca="false">IF(OR(B305="",D305=""),"",D305-B305)</f>
        <v/>
      </c>
      <c r="AJ305" s="24" t="str">
        <f aca="false">IF(AD305="","",IFERROR((AD305-K305)*IF(F305="Sell",-1,1)/IF(ISNUMBER(SEARCH("JPY",E305)),0.01,IF(ISNUMBER(SEARCH("XAU",E305)),0.01,IF(OR(ISNUMBER(SEARCH("30",E305)),ISNUMBER(SEARCH("500",E305)),ISNUMBER(SEARCH("100",E305))),1,0.0001))),0))</f>
        <v/>
      </c>
      <c r="AK305" s="12"/>
      <c r="AL305" s="12"/>
      <c r="AM305" s="12"/>
      <c r="AN305" s="12"/>
      <c r="AO305" s="27" t="str">
        <f aca="false">IF(AE305="","",IFERROR(IF(AO304="",SETTINGS!$B$6,AO304),SETTINGS!$B$6)+IF(AE305="",0,AE305))</f>
        <v/>
      </c>
      <c r="AP305" s="2"/>
    </row>
    <row r="306" customFormat="false" ht="15" hidden="false" customHeight="false" outlineLevel="0" collapsed="false">
      <c r="A306" s="24" t="str">
        <f aca="false">IF(B306="","",ROW()-3)</f>
        <v/>
      </c>
      <c r="B306" s="25"/>
      <c r="C306" s="10"/>
      <c r="D306" s="25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26"/>
      <c r="P306" s="24" t="str">
        <f aca="false">IF(K306="","",IFERROR(ABS(K306-L306)/IF(ISNUMBER(SEARCH("JPY",E306)),0.01,IF(ISNUMBER(SEARCH("XAU",E306)),0.01,IF(OR(ISNUMBER(SEARCH("30",E306)),ISNUMBER(SEARCH("500",E306)),ISNUMBER(SEARCH("100",E306))),1,0.0001))),0))</f>
        <v/>
      </c>
      <c r="Q306" s="27" t="str">
        <f aca="false">IF(K306="","",SETTINGS!$B$6*O306)</f>
        <v/>
      </c>
      <c r="R306" s="24" t="str">
        <f aca="false">IF(K306="","",IFERROR(Q306/(P306*IF(ISNUMBER(SEARCH("JPY",E306)),9.09,IF(ISNUMBER(SEARCH("XAU",E306)),1,IF(OR(ISNUMBER(SEARCH("30",E306)),ISNUMBER(SEARCH("500",E306)),ISNUMBER(SEARCH("100",E306))),1,10)))),0))</f>
        <v/>
      </c>
      <c r="S306" s="10"/>
      <c r="T306" s="28"/>
      <c r="U306" s="27" t="str">
        <f aca="false">IF(OR(S306="",T306=0),"",IFERROR((S306-K306)*IF(F306="Sell",-1,1)*R306*T306*IF(ISNUMBER(SEARCH("JPY",E306)),1000,IF(ISNUMBER(SEARCH("XAU",E306)),100,IF(OR(ISNUMBER(SEARCH("30",E306)),ISNUMBER(SEARCH("500",E306)),ISNUMBER(SEARCH("100",E306))),100,100000))),0))</f>
        <v/>
      </c>
      <c r="V306" s="10"/>
      <c r="W306" s="28"/>
      <c r="X306" s="27" t="str">
        <f aca="false">IF(OR(V306="",W306=0),"",IFERROR((V306-K306)*IF(F306="Sell",-1,1)*R306*W306*IF(ISNUMBER(SEARCH("JPY",E306)),1000,IF(ISNUMBER(SEARCH("XAU",E306)),100,IF(OR(ISNUMBER(SEARCH("30",E306)),ISNUMBER(SEARCH("500",E306)),ISNUMBER(SEARCH("100",E306))),100,100000))),0))</f>
        <v/>
      </c>
      <c r="Y306" s="10"/>
      <c r="Z306" s="28"/>
      <c r="AA306" s="27" t="str">
        <f aca="false">IF(OR(Y306="",Z306=0),"",IFERROR((Y306-K306)*IF(F306="Sell",-1,1)*R306*Z306*IF(ISNUMBER(SEARCH("JPY",E306)),1000,IF(ISNUMBER(SEARCH("XAU",E306)),100,IF(OR(ISNUMBER(SEARCH("30",E306)),ISNUMBER(SEARCH("500",E306)),ISNUMBER(SEARCH("100",E306))),100,100000))),0))</f>
        <v/>
      </c>
      <c r="AB306" s="10"/>
      <c r="AC306" s="29" t="str">
        <f aca="false">IF(K306="","",1-IFERROR(T306,0)-IFERROR(W306,0)-IFERROR(Z306,0))</f>
        <v/>
      </c>
      <c r="AD306" s="30" t="str">
        <f aca="false">IF(AB306="","",IFERROR((IFERROR(S306*T306,0)+IFERROR(V306*W306,0)+IFERROR(Y306*Z306,0)+AB306*AC306)/(IFERROR(T306,0)+IFERROR(W306,0)+IFERROR(Z306,0)+AC306),AB306))</f>
        <v/>
      </c>
      <c r="AE306" s="27" t="str">
        <f aca="false">IF(AB306="","",IF(U306="",0,U306)+IF(X306="",0,X306)+IF(AA306="",0,AA306)+IFERROR((AB306-K306)*IF(F306="Sell",-1,1)*R306*AC306*IF(ISNUMBER(SEARCH("JPY",E306)),1000,IF(ISNUMBER(SEARCH("XAU",E306)),100,IF(OR(ISNUMBER(SEARCH("30",E306)),ISNUMBER(SEARCH("500",E306)),ISNUMBER(SEARCH("100",E306))),100,100000))),0))</f>
        <v/>
      </c>
      <c r="AF306" s="31" t="str">
        <f aca="false">IF(OR(K306="",M306="",L306=""),"",IFERROR(ABS(M306-K306)/ABS(K306-L306),0))</f>
        <v/>
      </c>
      <c r="AG306" s="31" t="str">
        <f aca="false">IF(OR(AE306="",AE306=0,Q306=0,Q306=""),"",IFERROR(AE306/Q306,0))</f>
        <v/>
      </c>
      <c r="AH306" s="32" t="str">
        <f aca="false">IF(AB306="","Open",IF(AG306="","Open",IF(AG306&gt;0.1,"Win",IF(AG306&lt;-0.1,"Loss","Breakeven"))))</f>
        <v>Open</v>
      </c>
      <c r="AI306" s="33" t="str">
        <f aca="false">IF(OR(B306="",D306=""),"",D306-B306)</f>
        <v/>
      </c>
      <c r="AJ306" s="24" t="str">
        <f aca="false">IF(AD306="","",IFERROR((AD306-K306)*IF(F306="Sell",-1,1)/IF(ISNUMBER(SEARCH("JPY",E306)),0.01,IF(ISNUMBER(SEARCH("XAU",E306)),0.01,IF(OR(ISNUMBER(SEARCH("30",E306)),ISNUMBER(SEARCH("500",E306)),ISNUMBER(SEARCH("100",E306))),1,0.0001))),0))</f>
        <v/>
      </c>
      <c r="AK306" s="10"/>
      <c r="AL306" s="10"/>
      <c r="AM306" s="10"/>
      <c r="AN306" s="10"/>
      <c r="AO306" s="27" t="str">
        <f aca="false">IF(AE306="","",IFERROR(IF(AO305="",SETTINGS!$B$6,AO305),SETTINGS!$B$6)+IF(AE306="",0,AE306))</f>
        <v/>
      </c>
      <c r="AP306" s="2"/>
    </row>
    <row r="307" customFormat="false" ht="15" hidden="false" customHeight="false" outlineLevel="0" collapsed="false">
      <c r="A307" s="24" t="str">
        <f aca="false">IF(B307="","",ROW()-3)</f>
        <v/>
      </c>
      <c r="B307" s="34"/>
      <c r="C307" s="12"/>
      <c r="D307" s="34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35"/>
      <c r="P307" s="24" t="str">
        <f aca="false">IF(K307="","",IFERROR(ABS(K307-L307)/IF(ISNUMBER(SEARCH("JPY",E307)),0.01,IF(ISNUMBER(SEARCH("XAU",E307)),0.01,IF(OR(ISNUMBER(SEARCH("30",E307)),ISNUMBER(SEARCH("500",E307)),ISNUMBER(SEARCH("100",E307))),1,0.0001))),0))</f>
        <v/>
      </c>
      <c r="Q307" s="27" t="str">
        <f aca="false">IF(K307="","",SETTINGS!$B$6*O307)</f>
        <v/>
      </c>
      <c r="R307" s="24" t="str">
        <f aca="false">IF(K307="","",IFERROR(Q307/(P307*IF(ISNUMBER(SEARCH("JPY",E307)),9.09,IF(ISNUMBER(SEARCH("XAU",E307)),1,IF(OR(ISNUMBER(SEARCH("30",E307)),ISNUMBER(SEARCH("500",E307)),ISNUMBER(SEARCH("100",E307))),1,10)))),0))</f>
        <v/>
      </c>
      <c r="S307" s="12"/>
      <c r="T307" s="36"/>
      <c r="U307" s="27" t="str">
        <f aca="false">IF(OR(S307="",T307=0),"",IFERROR((S307-K307)*IF(F307="Sell",-1,1)*R307*T307*IF(ISNUMBER(SEARCH("JPY",E307)),1000,IF(ISNUMBER(SEARCH("XAU",E307)),100,IF(OR(ISNUMBER(SEARCH("30",E307)),ISNUMBER(SEARCH("500",E307)),ISNUMBER(SEARCH("100",E307))),100,100000))),0))</f>
        <v/>
      </c>
      <c r="V307" s="12"/>
      <c r="W307" s="36"/>
      <c r="X307" s="27" t="str">
        <f aca="false">IF(OR(V307="",W307=0),"",IFERROR((V307-K307)*IF(F307="Sell",-1,1)*R307*W307*IF(ISNUMBER(SEARCH("JPY",E307)),1000,IF(ISNUMBER(SEARCH("XAU",E307)),100,IF(OR(ISNUMBER(SEARCH("30",E307)),ISNUMBER(SEARCH("500",E307)),ISNUMBER(SEARCH("100",E307))),100,100000))),0))</f>
        <v/>
      </c>
      <c r="Y307" s="12"/>
      <c r="Z307" s="36"/>
      <c r="AA307" s="27" t="str">
        <f aca="false">IF(OR(Y307="",Z307=0),"",IFERROR((Y307-K307)*IF(F307="Sell",-1,1)*R307*Z307*IF(ISNUMBER(SEARCH("JPY",E307)),1000,IF(ISNUMBER(SEARCH("XAU",E307)),100,IF(OR(ISNUMBER(SEARCH("30",E307)),ISNUMBER(SEARCH("500",E307)),ISNUMBER(SEARCH("100",E307))),100,100000))),0))</f>
        <v/>
      </c>
      <c r="AB307" s="12"/>
      <c r="AC307" s="29" t="str">
        <f aca="false">IF(K307="","",1-IFERROR(T307,0)-IFERROR(W307,0)-IFERROR(Z307,0))</f>
        <v/>
      </c>
      <c r="AD307" s="30" t="str">
        <f aca="false">IF(AB307="","",IFERROR((IFERROR(S307*T307,0)+IFERROR(V307*W307,0)+IFERROR(Y307*Z307,0)+AB307*AC307)/(IFERROR(T307,0)+IFERROR(W307,0)+IFERROR(Z307,0)+AC307),AB307))</f>
        <v/>
      </c>
      <c r="AE307" s="27" t="str">
        <f aca="false">IF(AB307="","",IF(U307="",0,U307)+IF(X307="",0,X307)+IF(AA307="",0,AA307)+IFERROR((AB307-K307)*IF(F307="Sell",-1,1)*R307*AC307*IF(ISNUMBER(SEARCH("JPY",E307)),1000,IF(ISNUMBER(SEARCH("XAU",E307)),100,IF(OR(ISNUMBER(SEARCH("30",E307)),ISNUMBER(SEARCH("500",E307)),ISNUMBER(SEARCH("100",E307))),100,100000))),0))</f>
        <v/>
      </c>
      <c r="AF307" s="31" t="str">
        <f aca="false">IF(OR(K307="",M307="",L307=""),"",IFERROR(ABS(M307-K307)/ABS(K307-L307),0))</f>
        <v/>
      </c>
      <c r="AG307" s="31" t="str">
        <f aca="false">IF(OR(AE307="",AE307=0,Q307=0,Q307=""),"",IFERROR(AE307/Q307,0))</f>
        <v/>
      </c>
      <c r="AH307" s="32" t="str">
        <f aca="false">IF(AB307="","Open",IF(AG307="","Open",IF(AG307&gt;0.1,"Win",IF(AG307&lt;-0.1,"Loss","Breakeven"))))</f>
        <v>Open</v>
      </c>
      <c r="AI307" s="33" t="str">
        <f aca="false">IF(OR(B307="",D307=""),"",D307-B307)</f>
        <v/>
      </c>
      <c r="AJ307" s="24" t="str">
        <f aca="false">IF(AD307="","",IFERROR((AD307-K307)*IF(F307="Sell",-1,1)/IF(ISNUMBER(SEARCH("JPY",E307)),0.01,IF(ISNUMBER(SEARCH("XAU",E307)),0.01,IF(OR(ISNUMBER(SEARCH("30",E307)),ISNUMBER(SEARCH("500",E307)),ISNUMBER(SEARCH("100",E307))),1,0.0001))),0))</f>
        <v/>
      </c>
      <c r="AK307" s="12"/>
      <c r="AL307" s="12"/>
      <c r="AM307" s="12"/>
      <c r="AN307" s="12"/>
      <c r="AO307" s="27" t="str">
        <f aca="false">IF(AE307="","",IFERROR(IF(AO306="",SETTINGS!$B$6,AO306),SETTINGS!$B$6)+IF(AE307="",0,AE307))</f>
        <v/>
      </c>
      <c r="AP307" s="2"/>
    </row>
    <row r="308" customFormat="false" ht="15" hidden="false" customHeight="false" outlineLevel="0" collapsed="false">
      <c r="A308" s="24" t="str">
        <f aca="false">IF(B308="","",ROW()-3)</f>
        <v/>
      </c>
      <c r="B308" s="25"/>
      <c r="C308" s="10"/>
      <c r="D308" s="25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26"/>
      <c r="P308" s="24" t="str">
        <f aca="false">IF(K308="","",IFERROR(ABS(K308-L308)/IF(ISNUMBER(SEARCH("JPY",E308)),0.01,IF(ISNUMBER(SEARCH("XAU",E308)),0.01,IF(OR(ISNUMBER(SEARCH("30",E308)),ISNUMBER(SEARCH("500",E308)),ISNUMBER(SEARCH("100",E308))),1,0.0001))),0))</f>
        <v/>
      </c>
      <c r="Q308" s="27" t="str">
        <f aca="false">IF(K308="","",SETTINGS!$B$6*O308)</f>
        <v/>
      </c>
      <c r="R308" s="24" t="str">
        <f aca="false">IF(K308="","",IFERROR(Q308/(P308*IF(ISNUMBER(SEARCH("JPY",E308)),9.09,IF(ISNUMBER(SEARCH("XAU",E308)),1,IF(OR(ISNUMBER(SEARCH("30",E308)),ISNUMBER(SEARCH("500",E308)),ISNUMBER(SEARCH("100",E308))),1,10)))),0))</f>
        <v/>
      </c>
      <c r="S308" s="10"/>
      <c r="T308" s="28"/>
      <c r="U308" s="27" t="str">
        <f aca="false">IF(OR(S308="",T308=0),"",IFERROR((S308-K308)*IF(F308="Sell",-1,1)*R308*T308*IF(ISNUMBER(SEARCH("JPY",E308)),1000,IF(ISNUMBER(SEARCH("XAU",E308)),100,IF(OR(ISNUMBER(SEARCH("30",E308)),ISNUMBER(SEARCH("500",E308)),ISNUMBER(SEARCH("100",E308))),100,100000))),0))</f>
        <v/>
      </c>
      <c r="V308" s="10"/>
      <c r="W308" s="28"/>
      <c r="X308" s="27" t="str">
        <f aca="false">IF(OR(V308="",W308=0),"",IFERROR((V308-K308)*IF(F308="Sell",-1,1)*R308*W308*IF(ISNUMBER(SEARCH("JPY",E308)),1000,IF(ISNUMBER(SEARCH("XAU",E308)),100,IF(OR(ISNUMBER(SEARCH("30",E308)),ISNUMBER(SEARCH("500",E308)),ISNUMBER(SEARCH("100",E308))),100,100000))),0))</f>
        <v/>
      </c>
      <c r="Y308" s="10"/>
      <c r="Z308" s="28"/>
      <c r="AA308" s="27" t="str">
        <f aca="false">IF(OR(Y308="",Z308=0),"",IFERROR((Y308-K308)*IF(F308="Sell",-1,1)*R308*Z308*IF(ISNUMBER(SEARCH("JPY",E308)),1000,IF(ISNUMBER(SEARCH("XAU",E308)),100,IF(OR(ISNUMBER(SEARCH("30",E308)),ISNUMBER(SEARCH("500",E308)),ISNUMBER(SEARCH("100",E308))),100,100000))),0))</f>
        <v/>
      </c>
      <c r="AB308" s="10"/>
      <c r="AC308" s="29" t="str">
        <f aca="false">IF(K308="","",1-IFERROR(T308,0)-IFERROR(W308,0)-IFERROR(Z308,0))</f>
        <v/>
      </c>
      <c r="AD308" s="30" t="str">
        <f aca="false">IF(AB308="","",IFERROR((IFERROR(S308*T308,0)+IFERROR(V308*W308,0)+IFERROR(Y308*Z308,0)+AB308*AC308)/(IFERROR(T308,0)+IFERROR(W308,0)+IFERROR(Z308,0)+AC308),AB308))</f>
        <v/>
      </c>
      <c r="AE308" s="27" t="str">
        <f aca="false">IF(AB308="","",IF(U308="",0,U308)+IF(X308="",0,X308)+IF(AA308="",0,AA308)+IFERROR((AB308-K308)*IF(F308="Sell",-1,1)*R308*AC308*IF(ISNUMBER(SEARCH("JPY",E308)),1000,IF(ISNUMBER(SEARCH("XAU",E308)),100,IF(OR(ISNUMBER(SEARCH("30",E308)),ISNUMBER(SEARCH("500",E308)),ISNUMBER(SEARCH("100",E308))),100,100000))),0))</f>
        <v/>
      </c>
      <c r="AF308" s="31" t="str">
        <f aca="false">IF(OR(K308="",M308="",L308=""),"",IFERROR(ABS(M308-K308)/ABS(K308-L308),0))</f>
        <v/>
      </c>
      <c r="AG308" s="31" t="str">
        <f aca="false">IF(OR(AE308="",AE308=0,Q308=0,Q308=""),"",IFERROR(AE308/Q308,0))</f>
        <v/>
      </c>
      <c r="AH308" s="32" t="str">
        <f aca="false">IF(AB308="","Open",IF(AG308="","Open",IF(AG308&gt;0.1,"Win",IF(AG308&lt;-0.1,"Loss","Breakeven"))))</f>
        <v>Open</v>
      </c>
      <c r="AI308" s="33" t="str">
        <f aca="false">IF(OR(B308="",D308=""),"",D308-B308)</f>
        <v/>
      </c>
      <c r="AJ308" s="24" t="str">
        <f aca="false">IF(AD308="","",IFERROR((AD308-K308)*IF(F308="Sell",-1,1)/IF(ISNUMBER(SEARCH("JPY",E308)),0.01,IF(ISNUMBER(SEARCH("XAU",E308)),0.01,IF(OR(ISNUMBER(SEARCH("30",E308)),ISNUMBER(SEARCH("500",E308)),ISNUMBER(SEARCH("100",E308))),1,0.0001))),0))</f>
        <v/>
      </c>
      <c r="AK308" s="10"/>
      <c r="AL308" s="10"/>
      <c r="AM308" s="10"/>
      <c r="AN308" s="10"/>
      <c r="AO308" s="27" t="str">
        <f aca="false">IF(AE308="","",IFERROR(IF(AO307="",SETTINGS!$B$6,AO307),SETTINGS!$B$6)+IF(AE308="",0,AE308))</f>
        <v/>
      </c>
      <c r="AP308" s="2"/>
    </row>
    <row r="309" customFormat="false" ht="15" hidden="false" customHeight="false" outlineLevel="0" collapsed="false">
      <c r="A309" s="24" t="str">
        <f aca="false">IF(B309="","",ROW()-3)</f>
        <v/>
      </c>
      <c r="B309" s="34"/>
      <c r="C309" s="12"/>
      <c r="D309" s="34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35"/>
      <c r="P309" s="24" t="str">
        <f aca="false">IF(K309="","",IFERROR(ABS(K309-L309)/IF(ISNUMBER(SEARCH("JPY",E309)),0.01,IF(ISNUMBER(SEARCH("XAU",E309)),0.01,IF(OR(ISNUMBER(SEARCH("30",E309)),ISNUMBER(SEARCH("500",E309)),ISNUMBER(SEARCH("100",E309))),1,0.0001))),0))</f>
        <v/>
      </c>
      <c r="Q309" s="27" t="str">
        <f aca="false">IF(K309="","",SETTINGS!$B$6*O309)</f>
        <v/>
      </c>
      <c r="R309" s="24" t="str">
        <f aca="false">IF(K309="","",IFERROR(Q309/(P309*IF(ISNUMBER(SEARCH("JPY",E309)),9.09,IF(ISNUMBER(SEARCH("XAU",E309)),1,IF(OR(ISNUMBER(SEARCH("30",E309)),ISNUMBER(SEARCH("500",E309)),ISNUMBER(SEARCH("100",E309))),1,10)))),0))</f>
        <v/>
      </c>
      <c r="S309" s="12"/>
      <c r="T309" s="36"/>
      <c r="U309" s="27" t="str">
        <f aca="false">IF(OR(S309="",T309=0),"",IFERROR((S309-K309)*IF(F309="Sell",-1,1)*R309*T309*IF(ISNUMBER(SEARCH("JPY",E309)),1000,IF(ISNUMBER(SEARCH("XAU",E309)),100,IF(OR(ISNUMBER(SEARCH("30",E309)),ISNUMBER(SEARCH("500",E309)),ISNUMBER(SEARCH("100",E309))),100,100000))),0))</f>
        <v/>
      </c>
      <c r="V309" s="12"/>
      <c r="W309" s="36"/>
      <c r="X309" s="27" t="str">
        <f aca="false">IF(OR(V309="",W309=0),"",IFERROR((V309-K309)*IF(F309="Sell",-1,1)*R309*W309*IF(ISNUMBER(SEARCH("JPY",E309)),1000,IF(ISNUMBER(SEARCH("XAU",E309)),100,IF(OR(ISNUMBER(SEARCH("30",E309)),ISNUMBER(SEARCH("500",E309)),ISNUMBER(SEARCH("100",E309))),100,100000))),0))</f>
        <v/>
      </c>
      <c r="Y309" s="12"/>
      <c r="Z309" s="36"/>
      <c r="AA309" s="27" t="str">
        <f aca="false">IF(OR(Y309="",Z309=0),"",IFERROR((Y309-K309)*IF(F309="Sell",-1,1)*R309*Z309*IF(ISNUMBER(SEARCH("JPY",E309)),1000,IF(ISNUMBER(SEARCH("XAU",E309)),100,IF(OR(ISNUMBER(SEARCH("30",E309)),ISNUMBER(SEARCH("500",E309)),ISNUMBER(SEARCH("100",E309))),100,100000))),0))</f>
        <v/>
      </c>
      <c r="AB309" s="12"/>
      <c r="AC309" s="29" t="str">
        <f aca="false">IF(K309="","",1-IFERROR(T309,0)-IFERROR(W309,0)-IFERROR(Z309,0))</f>
        <v/>
      </c>
      <c r="AD309" s="30" t="str">
        <f aca="false">IF(AB309="","",IFERROR((IFERROR(S309*T309,0)+IFERROR(V309*W309,0)+IFERROR(Y309*Z309,0)+AB309*AC309)/(IFERROR(T309,0)+IFERROR(W309,0)+IFERROR(Z309,0)+AC309),AB309))</f>
        <v/>
      </c>
      <c r="AE309" s="27" t="str">
        <f aca="false">IF(AB309="","",IF(U309="",0,U309)+IF(X309="",0,X309)+IF(AA309="",0,AA309)+IFERROR((AB309-K309)*IF(F309="Sell",-1,1)*R309*AC309*IF(ISNUMBER(SEARCH("JPY",E309)),1000,IF(ISNUMBER(SEARCH("XAU",E309)),100,IF(OR(ISNUMBER(SEARCH("30",E309)),ISNUMBER(SEARCH("500",E309)),ISNUMBER(SEARCH("100",E309))),100,100000))),0))</f>
        <v/>
      </c>
      <c r="AF309" s="31" t="str">
        <f aca="false">IF(OR(K309="",M309="",L309=""),"",IFERROR(ABS(M309-K309)/ABS(K309-L309),0))</f>
        <v/>
      </c>
      <c r="AG309" s="31" t="str">
        <f aca="false">IF(OR(AE309="",AE309=0,Q309=0,Q309=""),"",IFERROR(AE309/Q309,0))</f>
        <v/>
      </c>
      <c r="AH309" s="32" t="str">
        <f aca="false">IF(AB309="","Open",IF(AG309="","Open",IF(AG309&gt;0.1,"Win",IF(AG309&lt;-0.1,"Loss","Breakeven"))))</f>
        <v>Open</v>
      </c>
      <c r="AI309" s="33" t="str">
        <f aca="false">IF(OR(B309="",D309=""),"",D309-B309)</f>
        <v/>
      </c>
      <c r="AJ309" s="24" t="str">
        <f aca="false">IF(AD309="","",IFERROR((AD309-K309)*IF(F309="Sell",-1,1)/IF(ISNUMBER(SEARCH("JPY",E309)),0.01,IF(ISNUMBER(SEARCH("XAU",E309)),0.01,IF(OR(ISNUMBER(SEARCH("30",E309)),ISNUMBER(SEARCH("500",E309)),ISNUMBER(SEARCH("100",E309))),1,0.0001))),0))</f>
        <v/>
      </c>
      <c r="AK309" s="12"/>
      <c r="AL309" s="12"/>
      <c r="AM309" s="12"/>
      <c r="AN309" s="12"/>
      <c r="AO309" s="27" t="str">
        <f aca="false">IF(AE309="","",IFERROR(IF(AO308="",SETTINGS!$B$6,AO308),SETTINGS!$B$6)+IF(AE309="",0,AE309))</f>
        <v/>
      </c>
      <c r="AP309" s="2"/>
    </row>
    <row r="310" customFormat="false" ht="15" hidden="false" customHeight="false" outlineLevel="0" collapsed="false">
      <c r="A310" s="24" t="str">
        <f aca="false">IF(B310="","",ROW()-3)</f>
        <v/>
      </c>
      <c r="B310" s="25"/>
      <c r="C310" s="10"/>
      <c r="D310" s="25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26"/>
      <c r="P310" s="24" t="str">
        <f aca="false">IF(K310="","",IFERROR(ABS(K310-L310)/IF(ISNUMBER(SEARCH("JPY",E310)),0.01,IF(ISNUMBER(SEARCH("XAU",E310)),0.01,IF(OR(ISNUMBER(SEARCH("30",E310)),ISNUMBER(SEARCH("500",E310)),ISNUMBER(SEARCH("100",E310))),1,0.0001))),0))</f>
        <v/>
      </c>
      <c r="Q310" s="27" t="str">
        <f aca="false">IF(K310="","",SETTINGS!$B$6*O310)</f>
        <v/>
      </c>
      <c r="R310" s="24" t="str">
        <f aca="false">IF(K310="","",IFERROR(Q310/(P310*IF(ISNUMBER(SEARCH("JPY",E310)),9.09,IF(ISNUMBER(SEARCH("XAU",E310)),1,IF(OR(ISNUMBER(SEARCH("30",E310)),ISNUMBER(SEARCH("500",E310)),ISNUMBER(SEARCH("100",E310))),1,10)))),0))</f>
        <v/>
      </c>
      <c r="S310" s="10"/>
      <c r="T310" s="28"/>
      <c r="U310" s="27" t="str">
        <f aca="false">IF(OR(S310="",T310=0),"",IFERROR((S310-K310)*IF(F310="Sell",-1,1)*R310*T310*IF(ISNUMBER(SEARCH("JPY",E310)),1000,IF(ISNUMBER(SEARCH("XAU",E310)),100,IF(OR(ISNUMBER(SEARCH("30",E310)),ISNUMBER(SEARCH("500",E310)),ISNUMBER(SEARCH("100",E310))),100,100000))),0))</f>
        <v/>
      </c>
      <c r="V310" s="10"/>
      <c r="W310" s="28"/>
      <c r="X310" s="27" t="str">
        <f aca="false">IF(OR(V310="",W310=0),"",IFERROR((V310-K310)*IF(F310="Sell",-1,1)*R310*W310*IF(ISNUMBER(SEARCH("JPY",E310)),1000,IF(ISNUMBER(SEARCH("XAU",E310)),100,IF(OR(ISNUMBER(SEARCH("30",E310)),ISNUMBER(SEARCH("500",E310)),ISNUMBER(SEARCH("100",E310))),100,100000))),0))</f>
        <v/>
      </c>
      <c r="Y310" s="10"/>
      <c r="Z310" s="28"/>
      <c r="AA310" s="27" t="str">
        <f aca="false">IF(OR(Y310="",Z310=0),"",IFERROR((Y310-K310)*IF(F310="Sell",-1,1)*R310*Z310*IF(ISNUMBER(SEARCH("JPY",E310)),1000,IF(ISNUMBER(SEARCH("XAU",E310)),100,IF(OR(ISNUMBER(SEARCH("30",E310)),ISNUMBER(SEARCH("500",E310)),ISNUMBER(SEARCH("100",E310))),100,100000))),0))</f>
        <v/>
      </c>
      <c r="AB310" s="10"/>
      <c r="AC310" s="29" t="str">
        <f aca="false">IF(K310="","",1-IFERROR(T310,0)-IFERROR(W310,0)-IFERROR(Z310,0))</f>
        <v/>
      </c>
      <c r="AD310" s="30" t="str">
        <f aca="false">IF(AB310="","",IFERROR((IFERROR(S310*T310,0)+IFERROR(V310*W310,0)+IFERROR(Y310*Z310,0)+AB310*AC310)/(IFERROR(T310,0)+IFERROR(W310,0)+IFERROR(Z310,0)+AC310),AB310))</f>
        <v/>
      </c>
      <c r="AE310" s="27" t="str">
        <f aca="false">IF(AB310="","",IF(U310="",0,U310)+IF(X310="",0,X310)+IF(AA310="",0,AA310)+IFERROR((AB310-K310)*IF(F310="Sell",-1,1)*R310*AC310*IF(ISNUMBER(SEARCH("JPY",E310)),1000,IF(ISNUMBER(SEARCH("XAU",E310)),100,IF(OR(ISNUMBER(SEARCH("30",E310)),ISNUMBER(SEARCH("500",E310)),ISNUMBER(SEARCH("100",E310))),100,100000))),0))</f>
        <v/>
      </c>
      <c r="AF310" s="31" t="str">
        <f aca="false">IF(OR(K310="",M310="",L310=""),"",IFERROR(ABS(M310-K310)/ABS(K310-L310),0))</f>
        <v/>
      </c>
      <c r="AG310" s="31" t="str">
        <f aca="false">IF(OR(AE310="",AE310=0,Q310=0,Q310=""),"",IFERROR(AE310/Q310,0))</f>
        <v/>
      </c>
      <c r="AH310" s="32" t="str">
        <f aca="false">IF(AB310="","Open",IF(AG310="","Open",IF(AG310&gt;0.1,"Win",IF(AG310&lt;-0.1,"Loss","Breakeven"))))</f>
        <v>Open</v>
      </c>
      <c r="AI310" s="33" t="str">
        <f aca="false">IF(OR(B310="",D310=""),"",D310-B310)</f>
        <v/>
      </c>
      <c r="AJ310" s="24" t="str">
        <f aca="false">IF(AD310="","",IFERROR((AD310-K310)*IF(F310="Sell",-1,1)/IF(ISNUMBER(SEARCH("JPY",E310)),0.01,IF(ISNUMBER(SEARCH("XAU",E310)),0.01,IF(OR(ISNUMBER(SEARCH("30",E310)),ISNUMBER(SEARCH("500",E310)),ISNUMBER(SEARCH("100",E310))),1,0.0001))),0))</f>
        <v/>
      </c>
      <c r="AK310" s="10"/>
      <c r="AL310" s="10"/>
      <c r="AM310" s="10"/>
      <c r="AN310" s="10"/>
      <c r="AO310" s="27" t="str">
        <f aca="false">IF(AE310="","",IFERROR(IF(AO309="",SETTINGS!$B$6,AO309),SETTINGS!$B$6)+IF(AE310="",0,AE310))</f>
        <v/>
      </c>
      <c r="AP310" s="2"/>
    </row>
    <row r="311" customFormat="false" ht="15" hidden="false" customHeight="false" outlineLevel="0" collapsed="false">
      <c r="A311" s="24" t="str">
        <f aca="false">IF(B311="","",ROW()-3)</f>
        <v/>
      </c>
      <c r="B311" s="34"/>
      <c r="C311" s="12"/>
      <c r="D311" s="34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35"/>
      <c r="P311" s="24" t="str">
        <f aca="false">IF(K311="","",IFERROR(ABS(K311-L311)/IF(ISNUMBER(SEARCH("JPY",E311)),0.01,IF(ISNUMBER(SEARCH("XAU",E311)),0.01,IF(OR(ISNUMBER(SEARCH("30",E311)),ISNUMBER(SEARCH("500",E311)),ISNUMBER(SEARCH("100",E311))),1,0.0001))),0))</f>
        <v/>
      </c>
      <c r="Q311" s="27" t="str">
        <f aca="false">IF(K311="","",SETTINGS!$B$6*O311)</f>
        <v/>
      </c>
      <c r="R311" s="24" t="str">
        <f aca="false">IF(K311="","",IFERROR(Q311/(P311*IF(ISNUMBER(SEARCH("JPY",E311)),9.09,IF(ISNUMBER(SEARCH("XAU",E311)),1,IF(OR(ISNUMBER(SEARCH("30",E311)),ISNUMBER(SEARCH("500",E311)),ISNUMBER(SEARCH("100",E311))),1,10)))),0))</f>
        <v/>
      </c>
      <c r="S311" s="12"/>
      <c r="T311" s="36"/>
      <c r="U311" s="27" t="str">
        <f aca="false">IF(OR(S311="",T311=0),"",IFERROR((S311-K311)*IF(F311="Sell",-1,1)*R311*T311*IF(ISNUMBER(SEARCH("JPY",E311)),1000,IF(ISNUMBER(SEARCH("XAU",E311)),100,IF(OR(ISNUMBER(SEARCH("30",E311)),ISNUMBER(SEARCH("500",E311)),ISNUMBER(SEARCH("100",E311))),100,100000))),0))</f>
        <v/>
      </c>
      <c r="V311" s="12"/>
      <c r="W311" s="36"/>
      <c r="X311" s="27" t="str">
        <f aca="false">IF(OR(V311="",W311=0),"",IFERROR((V311-K311)*IF(F311="Sell",-1,1)*R311*W311*IF(ISNUMBER(SEARCH("JPY",E311)),1000,IF(ISNUMBER(SEARCH("XAU",E311)),100,IF(OR(ISNUMBER(SEARCH("30",E311)),ISNUMBER(SEARCH("500",E311)),ISNUMBER(SEARCH("100",E311))),100,100000))),0))</f>
        <v/>
      </c>
      <c r="Y311" s="12"/>
      <c r="Z311" s="36"/>
      <c r="AA311" s="27" t="str">
        <f aca="false">IF(OR(Y311="",Z311=0),"",IFERROR((Y311-K311)*IF(F311="Sell",-1,1)*R311*Z311*IF(ISNUMBER(SEARCH("JPY",E311)),1000,IF(ISNUMBER(SEARCH("XAU",E311)),100,IF(OR(ISNUMBER(SEARCH("30",E311)),ISNUMBER(SEARCH("500",E311)),ISNUMBER(SEARCH("100",E311))),100,100000))),0))</f>
        <v/>
      </c>
      <c r="AB311" s="12"/>
      <c r="AC311" s="29" t="str">
        <f aca="false">IF(K311="","",1-IFERROR(T311,0)-IFERROR(W311,0)-IFERROR(Z311,0))</f>
        <v/>
      </c>
      <c r="AD311" s="30" t="str">
        <f aca="false">IF(AB311="","",IFERROR((IFERROR(S311*T311,0)+IFERROR(V311*W311,0)+IFERROR(Y311*Z311,0)+AB311*AC311)/(IFERROR(T311,0)+IFERROR(W311,0)+IFERROR(Z311,0)+AC311),AB311))</f>
        <v/>
      </c>
      <c r="AE311" s="27" t="str">
        <f aca="false">IF(AB311="","",IF(U311="",0,U311)+IF(X311="",0,X311)+IF(AA311="",0,AA311)+IFERROR((AB311-K311)*IF(F311="Sell",-1,1)*R311*AC311*IF(ISNUMBER(SEARCH("JPY",E311)),1000,IF(ISNUMBER(SEARCH("XAU",E311)),100,IF(OR(ISNUMBER(SEARCH("30",E311)),ISNUMBER(SEARCH("500",E311)),ISNUMBER(SEARCH("100",E311))),100,100000))),0))</f>
        <v/>
      </c>
      <c r="AF311" s="31" t="str">
        <f aca="false">IF(OR(K311="",M311="",L311=""),"",IFERROR(ABS(M311-K311)/ABS(K311-L311),0))</f>
        <v/>
      </c>
      <c r="AG311" s="31" t="str">
        <f aca="false">IF(OR(AE311="",AE311=0,Q311=0,Q311=""),"",IFERROR(AE311/Q311,0))</f>
        <v/>
      </c>
      <c r="AH311" s="32" t="str">
        <f aca="false">IF(AB311="","Open",IF(AG311="","Open",IF(AG311&gt;0.1,"Win",IF(AG311&lt;-0.1,"Loss","Breakeven"))))</f>
        <v>Open</v>
      </c>
      <c r="AI311" s="33" t="str">
        <f aca="false">IF(OR(B311="",D311=""),"",D311-B311)</f>
        <v/>
      </c>
      <c r="AJ311" s="24" t="str">
        <f aca="false">IF(AD311="","",IFERROR((AD311-K311)*IF(F311="Sell",-1,1)/IF(ISNUMBER(SEARCH("JPY",E311)),0.01,IF(ISNUMBER(SEARCH("XAU",E311)),0.01,IF(OR(ISNUMBER(SEARCH("30",E311)),ISNUMBER(SEARCH("500",E311)),ISNUMBER(SEARCH("100",E311))),1,0.0001))),0))</f>
        <v/>
      </c>
      <c r="AK311" s="12"/>
      <c r="AL311" s="12"/>
      <c r="AM311" s="12"/>
      <c r="AN311" s="12"/>
      <c r="AO311" s="27" t="str">
        <f aca="false">IF(AE311="","",IFERROR(IF(AO310="",SETTINGS!$B$6,AO310),SETTINGS!$B$6)+IF(AE311="",0,AE311))</f>
        <v/>
      </c>
      <c r="AP311" s="2"/>
    </row>
    <row r="312" customFormat="false" ht="15" hidden="false" customHeight="false" outlineLevel="0" collapsed="false">
      <c r="A312" s="24" t="str">
        <f aca="false">IF(B312="","",ROW()-3)</f>
        <v/>
      </c>
      <c r="B312" s="25"/>
      <c r="C312" s="10"/>
      <c r="D312" s="25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26"/>
      <c r="P312" s="24" t="str">
        <f aca="false">IF(K312="","",IFERROR(ABS(K312-L312)/IF(ISNUMBER(SEARCH("JPY",E312)),0.01,IF(ISNUMBER(SEARCH("XAU",E312)),0.01,IF(OR(ISNUMBER(SEARCH("30",E312)),ISNUMBER(SEARCH("500",E312)),ISNUMBER(SEARCH("100",E312))),1,0.0001))),0))</f>
        <v/>
      </c>
      <c r="Q312" s="27" t="str">
        <f aca="false">IF(K312="","",SETTINGS!$B$6*O312)</f>
        <v/>
      </c>
      <c r="R312" s="24" t="str">
        <f aca="false">IF(K312="","",IFERROR(Q312/(P312*IF(ISNUMBER(SEARCH("JPY",E312)),9.09,IF(ISNUMBER(SEARCH("XAU",E312)),1,IF(OR(ISNUMBER(SEARCH("30",E312)),ISNUMBER(SEARCH("500",E312)),ISNUMBER(SEARCH("100",E312))),1,10)))),0))</f>
        <v/>
      </c>
      <c r="S312" s="10"/>
      <c r="T312" s="28"/>
      <c r="U312" s="27" t="str">
        <f aca="false">IF(OR(S312="",T312=0),"",IFERROR((S312-K312)*IF(F312="Sell",-1,1)*R312*T312*IF(ISNUMBER(SEARCH("JPY",E312)),1000,IF(ISNUMBER(SEARCH("XAU",E312)),100,IF(OR(ISNUMBER(SEARCH("30",E312)),ISNUMBER(SEARCH("500",E312)),ISNUMBER(SEARCH("100",E312))),100,100000))),0))</f>
        <v/>
      </c>
      <c r="V312" s="10"/>
      <c r="W312" s="28"/>
      <c r="X312" s="27" t="str">
        <f aca="false">IF(OR(V312="",W312=0),"",IFERROR((V312-K312)*IF(F312="Sell",-1,1)*R312*W312*IF(ISNUMBER(SEARCH("JPY",E312)),1000,IF(ISNUMBER(SEARCH("XAU",E312)),100,IF(OR(ISNUMBER(SEARCH("30",E312)),ISNUMBER(SEARCH("500",E312)),ISNUMBER(SEARCH("100",E312))),100,100000))),0))</f>
        <v/>
      </c>
      <c r="Y312" s="10"/>
      <c r="Z312" s="28"/>
      <c r="AA312" s="27" t="str">
        <f aca="false">IF(OR(Y312="",Z312=0),"",IFERROR((Y312-K312)*IF(F312="Sell",-1,1)*R312*Z312*IF(ISNUMBER(SEARCH("JPY",E312)),1000,IF(ISNUMBER(SEARCH("XAU",E312)),100,IF(OR(ISNUMBER(SEARCH("30",E312)),ISNUMBER(SEARCH("500",E312)),ISNUMBER(SEARCH("100",E312))),100,100000))),0))</f>
        <v/>
      </c>
      <c r="AB312" s="10"/>
      <c r="AC312" s="29" t="str">
        <f aca="false">IF(K312="","",1-IFERROR(T312,0)-IFERROR(W312,0)-IFERROR(Z312,0))</f>
        <v/>
      </c>
      <c r="AD312" s="30" t="str">
        <f aca="false">IF(AB312="","",IFERROR((IFERROR(S312*T312,0)+IFERROR(V312*W312,0)+IFERROR(Y312*Z312,0)+AB312*AC312)/(IFERROR(T312,0)+IFERROR(W312,0)+IFERROR(Z312,0)+AC312),AB312))</f>
        <v/>
      </c>
      <c r="AE312" s="27" t="str">
        <f aca="false">IF(AB312="","",IF(U312="",0,U312)+IF(X312="",0,X312)+IF(AA312="",0,AA312)+IFERROR((AB312-K312)*IF(F312="Sell",-1,1)*R312*AC312*IF(ISNUMBER(SEARCH("JPY",E312)),1000,IF(ISNUMBER(SEARCH("XAU",E312)),100,IF(OR(ISNUMBER(SEARCH("30",E312)),ISNUMBER(SEARCH("500",E312)),ISNUMBER(SEARCH("100",E312))),100,100000))),0))</f>
        <v/>
      </c>
      <c r="AF312" s="31" t="str">
        <f aca="false">IF(OR(K312="",M312="",L312=""),"",IFERROR(ABS(M312-K312)/ABS(K312-L312),0))</f>
        <v/>
      </c>
      <c r="AG312" s="31" t="str">
        <f aca="false">IF(OR(AE312="",AE312=0,Q312=0,Q312=""),"",IFERROR(AE312/Q312,0))</f>
        <v/>
      </c>
      <c r="AH312" s="32" t="str">
        <f aca="false">IF(AB312="","Open",IF(AG312="","Open",IF(AG312&gt;0.1,"Win",IF(AG312&lt;-0.1,"Loss","Breakeven"))))</f>
        <v>Open</v>
      </c>
      <c r="AI312" s="33" t="str">
        <f aca="false">IF(OR(B312="",D312=""),"",D312-B312)</f>
        <v/>
      </c>
      <c r="AJ312" s="24" t="str">
        <f aca="false">IF(AD312="","",IFERROR((AD312-K312)*IF(F312="Sell",-1,1)/IF(ISNUMBER(SEARCH("JPY",E312)),0.01,IF(ISNUMBER(SEARCH("XAU",E312)),0.01,IF(OR(ISNUMBER(SEARCH("30",E312)),ISNUMBER(SEARCH("500",E312)),ISNUMBER(SEARCH("100",E312))),1,0.0001))),0))</f>
        <v/>
      </c>
      <c r="AK312" s="10"/>
      <c r="AL312" s="10"/>
      <c r="AM312" s="10"/>
      <c r="AN312" s="10"/>
      <c r="AO312" s="27" t="str">
        <f aca="false">IF(AE312="","",IFERROR(IF(AO311="",SETTINGS!$B$6,AO311),SETTINGS!$B$6)+IF(AE312="",0,AE312))</f>
        <v/>
      </c>
      <c r="AP312" s="2"/>
    </row>
    <row r="313" customFormat="false" ht="15" hidden="false" customHeight="false" outlineLevel="0" collapsed="false">
      <c r="A313" s="24" t="str">
        <f aca="false">IF(B313="","",ROW()-3)</f>
        <v/>
      </c>
      <c r="B313" s="34"/>
      <c r="C313" s="12"/>
      <c r="D313" s="34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35"/>
      <c r="P313" s="24" t="str">
        <f aca="false">IF(K313="","",IFERROR(ABS(K313-L313)/IF(ISNUMBER(SEARCH("JPY",E313)),0.01,IF(ISNUMBER(SEARCH("XAU",E313)),0.01,IF(OR(ISNUMBER(SEARCH("30",E313)),ISNUMBER(SEARCH("500",E313)),ISNUMBER(SEARCH("100",E313))),1,0.0001))),0))</f>
        <v/>
      </c>
      <c r="Q313" s="27" t="str">
        <f aca="false">IF(K313="","",SETTINGS!$B$6*O313)</f>
        <v/>
      </c>
      <c r="R313" s="24" t="str">
        <f aca="false">IF(K313="","",IFERROR(Q313/(P313*IF(ISNUMBER(SEARCH("JPY",E313)),9.09,IF(ISNUMBER(SEARCH("XAU",E313)),1,IF(OR(ISNUMBER(SEARCH("30",E313)),ISNUMBER(SEARCH("500",E313)),ISNUMBER(SEARCH("100",E313))),1,10)))),0))</f>
        <v/>
      </c>
      <c r="S313" s="12"/>
      <c r="T313" s="36"/>
      <c r="U313" s="27" t="str">
        <f aca="false">IF(OR(S313="",T313=0),"",IFERROR((S313-K313)*IF(F313="Sell",-1,1)*R313*T313*IF(ISNUMBER(SEARCH("JPY",E313)),1000,IF(ISNUMBER(SEARCH("XAU",E313)),100,IF(OR(ISNUMBER(SEARCH("30",E313)),ISNUMBER(SEARCH("500",E313)),ISNUMBER(SEARCH("100",E313))),100,100000))),0))</f>
        <v/>
      </c>
      <c r="V313" s="12"/>
      <c r="W313" s="36"/>
      <c r="X313" s="27" t="str">
        <f aca="false">IF(OR(V313="",W313=0),"",IFERROR((V313-K313)*IF(F313="Sell",-1,1)*R313*W313*IF(ISNUMBER(SEARCH("JPY",E313)),1000,IF(ISNUMBER(SEARCH("XAU",E313)),100,IF(OR(ISNUMBER(SEARCH("30",E313)),ISNUMBER(SEARCH("500",E313)),ISNUMBER(SEARCH("100",E313))),100,100000))),0))</f>
        <v/>
      </c>
      <c r="Y313" s="12"/>
      <c r="Z313" s="36"/>
      <c r="AA313" s="27" t="str">
        <f aca="false">IF(OR(Y313="",Z313=0),"",IFERROR((Y313-K313)*IF(F313="Sell",-1,1)*R313*Z313*IF(ISNUMBER(SEARCH("JPY",E313)),1000,IF(ISNUMBER(SEARCH("XAU",E313)),100,IF(OR(ISNUMBER(SEARCH("30",E313)),ISNUMBER(SEARCH("500",E313)),ISNUMBER(SEARCH("100",E313))),100,100000))),0))</f>
        <v/>
      </c>
      <c r="AB313" s="12"/>
      <c r="AC313" s="29" t="str">
        <f aca="false">IF(K313="","",1-IFERROR(T313,0)-IFERROR(W313,0)-IFERROR(Z313,0))</f>
        <v/>
      </c>
      <c r="AD313" s="30" t="str">
        <f aca="false">IF(AB313="","",IFERROR((IFERROR(S313*T313,0)+IFERROR(V313*W313,0)+IFERROR(Y313*Z313,0)+AB313*AC313)/(IFERROR(T313,0)+IFERROR(W313,0)+IFERROR(Z313,0)+AC313),AB313))</f>
        <v/>
      </c>
      <c r="AE313" s="27" t="str">
        <f aca="false">IF(AB313="","",IF(U313="",0,U313)+IF(X313="",0,X313)+IF(AA313="",0,AA313)+IFERROR((AB313-K313)*IF(F313="Sell",-1,1)*R313*AC313*IF(ISNUMBER(SEARCH("JPY",E313)),1000,IF(ISNUMBER(SEARCH("XAU",E313)),100,IF(OR(ISNUMBER(SEARCH("30",E313)),ISNUMBER(SEARCH("500",E313)),ISNUMBER(SEARCH("100",E313))),100,100000))),0))</f>
        <v/>
      </c>
      <c r="AF313" s="31" t="str">
        <f aca="false">IF(OR(K313="",M313="",L313=""),"",IFERROR(ABS(M313-K313)/ABS(K313-L313),0))</f>
        <v/>
      </c>
      <c r="AG313" s="31" t="str">
        <f aca="false">IF(OR(AE313="",AE313=0,Q313=0,Q313=""),"",IFERROR(AE313/Q313,0))</f>
        <v/>
      </c>
      <c r="AH313" s="32" t="str">
        <f aca="false">IF(AB313="","Open",IF(AG313="","Open",IF(AG313&gt;0.1,"Win",IF(AG313&lt;-0.1,"Loss","Breakeven"))))</f>
        <v>Open</v>
      </c>
      <c r="AI313" s="33" t="str">
        <f aca="false">IF(OR(B313="",D313=""),"",D313-B313)</f>
        <v/>
      </c>
      <c r="AJ313" s="24" t="str">
        <f aca="false">IF(AD313="","",IFERROR((AD313-K313)*IF(F313="Sell",-1,1)/IF(ISNUMBER(SEARCH("JPY",E313)),0.01,IF(ISNUMBER(SEARCH("XAU",E313)),0.01,IF(OR(ISNUMBER(SEARCH("30",E313)),ISNUMBER(SEARCH("500",E313)),ISNUMBER(SEARCH("100",E313))),1,0.0001))),0))</f>
        <v/>
      </c>
      <c r="AK313" s="12"/>
      <c r="AL313" s="12"/>
      <c r="AM313" s="12"/>
      <c r="AN313" s="12"/>
      <c r="AO313" s="27" t="str">
        <f aca="false">IF(AE313="","",IFERROR(IF(AO312="",SETTINGS!$B$6,AO312),SETTINGS!$B$6)+IF(AE313="",0,AE313))</f>
        <v/>
      </c>
      <c r="AP313" s="2"/>
    </row>
    <row r="314" customFormat="false" ht="15" hidden="false" customHeight="false" outlineLevel="0" collapsed="false">
      <c r="A314" s="24" t="str">
        <f aca="false">IF(B314="","",ROW()-3)</f>
        <v/>
      </c>
      <c r="B314" s="25"/>
      <c r="C314" s="10"/>
      <c r="D314" s="25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26"/>
      <c r="P314" s="24" t="str">
        <f aca="false">IF(K314="","",IFERROR(ABS(K314-L314)/IF(ISNUMBER(SEARCH("JPY",E314)),0.01,IF(ISNUMBER(SEARCH("XAU",E314)),0.01,IF(OR(ISNUMBER(SEARCH("30",E314)),ISNUMBER(SEARCH("500",E314)),ISNUMBER(SEARCH("100",E314))),1,0.0001))),0))</f>
        <v/>
      </c>
      <c r="Q314" s="27" t="str">
        <f aca="false">IF(K314="","",SETTINGS!$B$6*O314)</f>
        <v/>
      </c>
      <c r="R314" s="24" t="str">
        <f aca="false">IF(K314="","",IFERROR(Q314/(P314*IF(ISNUMBER(SEARCH("JPY",E314)),9.09,IF(ISNUMBER(SEARCH("XAU",E314)),1,IF(OR(ISNUMBER(SEARCH("30",E314)),ISNUMBER(SEARCH("500",E314)),ISNUMBER(SEARCH("100",E314))),1,10)))),0))</f>
        <v/>
      </c>
      <c r="S314" s="10"/>
      <c r="T314" s="28"/>
      <c r="U314" s="27" t="str">
        <f aca="false">IF(OR(S314="",T314=0),"",IFERROR((S314-K314)*IF(F314="Sell",-1,1)*R314*T314*IF(ISNUMBER(SEARCH("JPY",E314)),1000,IF(ISNUMBER(SEARCH("XAU",E314)),100,IF(OR(ISNUMBER(SEARCH("30",E314)),ISNUMBER(SEARCH("500",E314)),ISNUMBER(SEARCH("100",E314))),100,100000))),0))</f>
        <v/>
      </c>
      <c r="V314" s="10"/>
      <c r="W314" s="28"/>
      <c r="X314" s="27" t="str">
        <f aca="false">IF(OR(V314="",W314=0),"",IFERROR((V314-K314)*IF(F314="Sell",-1,1)*R314*W314*IF(ISNUMBER(SEARCH("JPY",E314)),1000,IF(ISNUMBER(SEARCH("XAU",E314)),100,IF(OR(ISNUMBER(SEARCH("30",E314)),ISNUMBER(SEARCH("500",E314)),ISNUMBER(SEARCH("100",E314))),100,100000))),0))</f>
        <v/>
      </c>
      <c r="Y314" s="10"/>
      <c r="Z314" s="28"/>
      <c r="AA314" s="27" t="str">
        <f aca="false">IF(OR(Y314="",Z314=0),"",IFERROR((Y314-K314)*IF(F314="Sell",-1,1)*R314*Z314*IF(ISNUMBER(SEARCH("JPY",E314)),1000,IF(ISNUMBER(SEARCH("XAU",E314)),100,IF(OR(ISNUMBER(SEARCH("30",E314)),ISNUMBER(SEARCH("500",E314)),ISNUMBER(SEARCH("100",E314))),100,100000))),0))</f>
        <v/>
      </c>
      <c r="AB314" s="10"/>
      <c r="AC314" s="29" t="str">
        <f aca="false">IF(K314="","",1-IFERROR(T314,0)-IFERROR(W314,0)-IFERROR(Z314,0))</f>
        <v/>
      </c>
      <c r="AD314" s="30" t="str">
        <f aca="false">IF(AB314="","",IFERROR((IFERROR(S314*T314,0)+IFERROR(V314*W314,0)+IFERROR(Y314*Z314,0)+AB314*AC314)/(IFERROR(T314,0)+IFERROR(W314,0)+IFERROR(Z314,0)+AC314),AB314))</f>
        <v/>
      </c>
      <c r="AE314" s="27" t="str">
        <f aca="false">IF(AB314="","",IF(U314="",0,U314)+IF(X314="",0,X314)+IF(AA314="",0,AA314)+IFERROR((AB314-K314)*IF(F314="Sell",-1,1)*R314*AC314*IF(ISNUMBER(SEARCH("JPY",E314)),1000,IF(ISNUMBER(SEARCH("XAU",E314)),100,IF(OR(ISNUMBER(SEARCH("30",E314)),ISNUMBER(SEARCH("500",E314)),ISNUMBER(SEARCH("100",E314))),100,100000))),0))</f>
        <v/>
      </c>
      <c r="AF314" s="31" t="str">
        <f aca="false">IF(OR(K314="",M314="",L314=""),"",IFERROR(ABS(M314-K314)/ABS(K314-L314),0))</f>
        <v/>
      </c>
      <c r="AG314" s="31" t="str">
        <f aca="false">IF(OR(AE314="",AE314=0,Q314=0,Q314=""),"",IFERROR(AE314/Q314,0))</f>
        <v/>
      </c>
      <c r="AH314" s="32" t="str">
        <f aca="false">IF(AB314="","Open",IF(AG314="","Open",IF(AG314&gt;0.1,"Win",IF(AG314&lt;-0.1,"Loss","Breakeven"))))</f>
        <v>Open</v>
      </c>
      <c r="AI314" s="33" t="str">
        <f aca="false">IF(OR(B314="",D314=""),"",D314-B314)</f>
        <v/>
      </c>
      <c r="AJ314" s="24" t="str">
        <f aca="false">IF(AD314="","",IFERROR((AD314-K314)*IF(F314="Sell",-1,1)/IF(ISNUMBER(SEARCH("JPY",E314)),0.01,IF(ISNUMBER(SEARCH("XAU",E314)),0.01,IF(OR(ISNUMBER(SEARCH("30",E314)),ISNUMBER(SEARCH("500",E314)),ISNUMBER(SEARCH("100",E314))),1,0.0001))),0))</f>
        <v/>
      </c>
      <c r="AK314" s="10"/>
      <c r="AL314" s="10"/>
      <c r="AM314" s="10"/>
      <c r="AN314" s="10"/>
      <c r="AO314" s="27" t="str">
        <f aca="false">IF(AE314="","",IFERROR(IF(AO313="",SETTINGS!$B$6,AO313),SETTINGS!$B$6)+IF(AE314="",0,AE314))</f>
        <v/>
      </c>
      <c r="AP314" s="2"/>
    </row>
    <row r="315" customFormat="false" ht="15" hidden="false" customHeight="false" outlineLevel="0" collapsed="false">
      <c r="A315" s="24" t="str">
        <f aca="false">IF(B315="","",ROW()-3)</f>
        <v/>
      </c>
      <c r="B315" s="34"/>
      <c r="C315" s="12"/>
      <c r="D315" s="34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35"/>
      <c r="P315" s="24" t="str">
        <f aca="false">IF(K315="","",IFERROR(ABS(K315-L315)/IF(ISNUMBER(SEARCH("JPY",E315)),0.01,IF(ISNUMBER(SEARCH("XAU",E315)),0.01,IF(OR(ISNUMBER(SEARCH("30",E315)),ISNUMBER(SEARCH("500",E315)),ISNUMBER(SEARCH("100",E315))),1,0.0001))),0))</f>
        <v/>
      </c>
      <c r="Q315" s="27" t="str">
        <f aca="false">IF(K315="","",SETTINGS!$B$6*O315)</f>
        <v/>
      </c>
      <c r="R315" s="24" t="str">
        <f aca="false">IF(K315="","",IFERROR(Q315/(P315*IF(ISNUMBER(SEARCH("JPY",E315)),9.09,IF(ISNUMBER(SEARCH("XAU",E315)),1,IF(OR(ISNUMBER(SEARCH("30",E315)),ISNUMBER(SEARCH("500",E315)),ISNUMBER(SEARCH("100",E315))),1,10)))),0))</f>
        <v/>
      </c>
      <c r="S315" s="12"/>
      <c r="T315" s="36"/>
      <c r="U315" s="27" t="str">
        <f aca="false">IF(OR(S315="",T315=0),"",IFERROR((S315-K315)*IF(F315="Sell",-1,1)*R315*T315*IF(ISNUMBER(SEARCH("JPY",E315)),1000,IF(ISNUMBER(SEARCH("XAU",E315)),100,IF(OR(ISNUMBER(SEARCH("30",E315)),ISNUMBER(SEARCH("500",E315)),ISNUMBER(SEARCH("100",E315))),100,100000))),0))</f>
        <v/>
      </c>
      <c r="V315" s="12"/>
      <c r="W315" s="36"/>
      <c r="X315" s="27" t="str">
        <f aca="false">IF(OR(V315="",W315=0),"",IFERROR((V315-K315)*IF(F315="Sell",-1,1)*R315*W315*IF(ISNUMBER(SEARCH("JPY",E315)),1000,IF(ISNUMBER(SEARCH("XAU",E315)),100,IF(OR(ISNUMBER(SEARCH("30",E315)),ISNUMBER(SEARCH("500",E315)),ISNUMBER(SEARCH("100",E315))),100,100000))),0))</f>
        <v/>
      </c>
      <c r="Y315" s="12"/>
      <c r="Z315" s="36"/>
      <c r="AA315" s="27" t="str">
        <f aca="false">IF(OR(Y315="",Z315=0),"",IFERROR((Y315-K315)*IF(F315="Sell",-1,1)*R315*Z315*IF(ISNUMBER(SEARCH("JPY",E315)),1000,IF(ISNUMBER(SEARCH("XAU",E315)),100,IF(OR(ISNUMBER(SEARCH("30",E315)),ISNUMBER(SEARCH("500",E315)),ISNUMBER(SEARCH("100",E315))),100,100000))),0))</f>
        <v/>
      </c>
      <c r="AB315" s="12"/>
      <c r="AC315" s="29" t="str">
        <f aca="false">IF(K315="","",1-IFERROR(T315,0)-IFERROR(W315,0)-IFERROR(Z315,0))</f>
        <v/>
      </c>
      <c r="AD315" s="30" t="str">
        <f aca="false">IF(AB315="","",IFERROR((IFERROR(S315*T315,0)+IFERROR(V315*W315,0)+IFERROR(Y315*Z315,0)+AB315*AC315)/(IFERROR(T315,0)+IFERROR(W315,0)+IFERROR(Z315,0)+AC315),AB315))</f>
        <v/>
      </c>
      <c r="AE315" s="27" t="str">
        <f aca="false">IF(AB315="","",IF(U315="",0,U315)+IF(X315="",0,X315)+IF(AA315="",0,AA315)+IFERROR((AB315-K315)*IF(F315="Sell",-1,1)*R315*AC315*IF(ISNUMBER(SEARCH("JPY",E315)),1000,IF(ISNUMBER(SEARCH("XAU",E315)),100,IF(OR(ISNUMBER(SEARCH("30",E315)),ISNUMBER(SEARCH("500",E315)),ISNUMBER(SEARCH("100",E315))),100,100000))),0))</f>
        <v/>
      </c>
      <c r="AF315" s="31" t="str">
        <f aca="false">IF(OR(K315="",M315="",L315=""),"",IFERROR(ABS(M315-K315)/ABS(K315-L315),0))</f>
        <v/>
      </c>
      <c r="AG315" s="31" t="str">
        <f aca="false">IF(OR(AE315="",AE315=0,Q315=0,Q315=""),"",IFERROR(AE315/Q315,0))</f>
        <v/>
      </c>
      <c r="AH315" s="32" t="str">
        <f aca="false">IF(AB315="","Open",IF(AG315="","Open",IF(AG315&gt;0.1,"Win",IF(AG315&lt;-0.1,"Loss","Breakeven"))))</f>
        <v>Open</v>
      </c>
      <c r="AI315" s="33" t="str">
        <f aca="false">IF(OR(B315="",D315=""),"",D315-B315)</f>
        <v/>
      </c>
      <c r="AJ315" s="24" t="str">
        <f aca="false">IF(AD315="","",IFERROR((AD315-K315)*IF(F315="Sell",-1,1)/IF(ISNUMBER(SEARCH("JPY",E315)),0.01,IF(ISNUMBER(SEARCH("XAU",E315)),0.01,IF(OR(ISNUMBER(SEARCH("30",E315)),ISNUMBER(SEARCH("500",E315)),ISNUMBER(SEARCH("100",E315))),1,0.0001))),0))</f>
        <v/>
      </c>
      <c r="AK315" s="12"/>
      <c r="AL315" s="12"/>
      <c r="AM315" s="12"/>
      <c r="AN315" s="12"/>
      <c r="AO315" s="27" t="str">
        <f aca="false">IF(AE315="","",IFERROR(IF(AO314="",SETTINGS!$B$6,AO314),SETTINGS!$B$6)+IF(AE315="",0,AE315))</f>
        <v/>
      </c>
      <c r="AP315" s="2"/>
    </row>
    <row r="316" customFormat="false" ht="15" hidden="false" customHeight="false" outlineLevel="0" collapsed="false">
      <c r="A316" s="24" t="str">
        <f aca="false">IF(B316="","",ROW()-3)</f>
        <v/>
      </c>
      <c r="B316" s="25"/>
      <c r="C316" s="10"/>
      <c r="D316" s="25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26"/>
      <c r="P316" s="24" t="str">
        <f aca="false">IF(K316="","",IFERROR(ABS(K316-L316)/IF(ISNUMBER(SEARCH("JPY",E316)),0.01,IF(ISNUMBER(SEARCH("XAU",E316)),0.01,IF(OR(ISNUMBER(SEARCH("30",E316)),ISNUMBER(SEARCH("500",E316)),ISNUMBER(SEARCH("100",E316))),1,0.0001))),0))</f>
        <v/>
      </c>
      <c r="Q316" s="27" t="str">
        <f aca="false">IF(K316="","",SETTINGS!$B$6*O316)</f>
        <v/>
      </c>
      <c r="R316" s="24" t="str">
        <f aca="false">IF(K316="","",IFERROR(Q316/(P316*IF(ISNUMBER(SEARCH("JPY",E316)),9.09,IF(ISNUMBER(SEARCH("XAU",E316)),1,IF(OR(ISNUMBER(SEARCH("30",E316)),ISNUMBER(SEARCH("500",E316)),ISNUMBER(SEARCH("100",E316))),1,10)))),0))</f>
        <v/>
      </c>
      <c r="S316" s="10"/>
      <c r="T316" s="28"/>
      <c r="U316" s="27" t="str">
        <f aca="false">IF(OR(S316="",T316=0),"",IFERROR((S316-K316)*IF(F316="Sell",-1,1)*R316*T316*IF(ISNUMBER(SEARCH("JPY",E316)),1000,IF(ISNUMBER(SEARCH("XAU",E316)),100,IF(OR(ISNUMBER(SEARCH("30",E316)),ISNUMBER(SEARCH("500",E316)),ISNUMBER(SEARCH("100",E316))),100,100000))),0))</f>
        <v/>
      </c>
      <c r="V316" s="10"/>
      <c r="W316" s="28"/>
      <c r="X316" s="27" t="str">
        <f aca="false">IF(OR(V316="",W316=0),"",IFERROR((V316-K316)*IF(F316="Sell",-1,1)*R316*W316*IF(ISNUMBER(SEARCH("JPY",E316)),1000,IF(ISNUMBER(SEARCH("XAU",E316)),100,IF(OR(ISNUMBER(SEARCH("30",E316)),ISNUMBER(SEARCH("500",E316)),ISNUMBER(SEARCH("100",E316))),100,100000))),0))</f>
        <v/>
      </c>
      <c r="Y316" s="10"/>
      <c r="Z316" s="28"/>
      <c r="AA316" s="27" t="str">
        <f aca="false">IF(OR(Y316="",Z316=0),"",IFERROR((Y316-K316)*IF(F316="Sell",-1,1)*R316*Z316*IF(ISNUMBER(SEARCH("JPY",E316)),1000,IF(ISNUMBER(SEARCH("XAU",E316)),100,IF(OR(ISNUMBER(SEARCH("30",E316)),ISNUMBER(SEARCH("500",E316)),ISNUMBER(SEARCH("100",E316))),100,100000))),0))</f>
        <v/>
      </c>
      <c r="AB316" s="10"/>
      <c r="AC316" s="29" t="str">
        <f aca="false">IF(K316="","",1-IFERROR(T316,0)-IFERROR(W316,0)-IFERROR(Z316,0))</f>
        <v/>
      </c>
      <c r="AD316" s="30" t="str">
        <f aca="false">IF(AB316="","",IFERROR((IFERROR(S316*T316,0)+IFERROR(V316*W316,0)+IFERROR(Y316*Z316,0)+AB316*AC316)/(IFERROR(T316,0)+IFERROR(W316,0)+IFERROR(Z316,0)+AC316),AB316))</f>
        <v/>
      </c>
      <c r="AE316" s="27" t="str">
        <f aca="false">IF(AB316="","",IF(U316="",0,U316)+IF(X316="",0,X316)+IF(AA316="",0,AA316)+IFERROR((AB316-K316)*IF(F316="Sell",-1,1)*R316*AC316*IF(ISNUMBER(SEARCH("JPY",E316)),1000,IF(ISNUMBER(SEARCH("XAU",E316)),100,IF(OR(ISNUMBER(SEARCH("30",E316)),ISNUMBER(SEARCH("500",E316)),ISNUMBER(SEARCH("100",E316))),100,100000))),0))</f>
        <v/>
      </c>
      <c r="AF316" s="31" t="str">
        <f aca="false">IF(OR(K316="",M316="",L316=""),"",IFERROR(ABS(M316-K316)/ABS(K316-L316),0))</f>
        <v/>
      </c>
      <c r="AG316" s="31" t="str">
        <f aca="false">IF(OR(AE316="",AE316=0,Q316=0,Q316=""),"",IFERROR(AE316/Q316,0))</f>
        <v/>
      </c>
      <c r="AH316" s="32" t="str">
        <f aca="false">IF(AB316="","Open",IF(AG316="","Open",IF(AG316&gt;0.1,"Win",IF(AG316&lt;-0.1,"Loss","Breakeven"))))</f>
        <v>Open</v>
      </c>
      <c r="AI316" s="33" t="str">
        <f aca="false">IF(OR(B316="",D316=""),"",D316-B316)</f>
        <v/>
      </c>
      <c r="AJ316" s="24" t="str">
        <f aca="false">IF(AD316="","",IFERROR((AD316-K316)*IF(F316="Sell",-1,1)/IF(ISNUMBER(SEARCH("JPY",E316)),0.01,IF(ISNUMBER(SEARCH("XAU",E316)),0.01,IF(OR(ISNUMBER(SEARCH("30",E316)),ISNUMBER(SEARCH("500",E316)),ISNUMBER(SEARCH("100",E316))),1,0.0001))),0))</f>
        <v/>
      </c>
      <c r="AK316" s="10"/>
      <c r="AL316" s="10"/>
      <c r="AM316" s="10"/>
      <c r="AN316" s="10"/>
      <c r="AO316" s="27" t="str">
        <f aca="false">IF(AE316="","",IFERROR(IF(AO315="",SETTINGS!$B$6,AO315),SETTINGS!$B$6)+IF(AE316="",0,AE316))</f>
        <v/>
      </c>
      <c r="AP316" s="2"/>
    </row>
    <row r="317" customFormat="false" ht="15" hidden="false" customHeight="false" outlineLevel="0" collapsed="false">
      <c r="A317" s="24" t="str">
        <f aca="false">IF(B317="","",ROW()-3)</f>
        <v/>
      </c>
      <c r="B317" s="34"/>
      <c r="C317" s="12"/>
      <c r="D317" s="34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35"/>
      <c r="P317" s="24" t="str">
        <f aca="false">IF(K317="","",IFERROR(ABS(K317-L317)/IF(ISNUMBER(SEARCH("JPY",E317)),0.01,IF(ISNUMBER(SEARCH("XAU",E317)),0.01,IF(OR(ISNUMBER(SEARCH("30",E317)),ISNUMBER(SEARCH("500",E317)),ISNUMBER(SEARCH("100",E317))),1,0.0001))),0))</f>
        <v/>
      </c>
      <c r="Q317" s="27" t="str">
        <f aca="false">IF(K317="","",SETTINGS!$B$6*O317)</f>
        <v/>
      </c>
      <c r="R317" s="24" t="str">
        <f aca="false">IF(K317="","",IFERROR(Q317/(P317*IF(ISNUMBER(SEARCH("JPY",E317)),9.09,IF(ISNUMBER(SEARCH("XAU",E317)),1,IF(OR(ISNUMBER(SEARCH("30",E317)),ISNUMBER(SEARCH("500",E317)),ISNUMBER(SEARCH("100",E317))),1,10)))),0))</f>
        <v/>
      </c>
      <c r="S317" s="12"/>
      <c r="T317" s="36"/>
      <c r="U317" s="27" t="str">
        <f aca="false">IF(OR(S317="",T317=0),"",IFERROR((S317-K317)*IF(F317="Sell",-1,1)*R317*T317*IF(ISNUMBER(SEARCH("JPY",E317)),1000,IF(ISNUMBER(SEARCH("XAU",E317)),100,IF(OR(ISNUMBER(SEARCH("30",E317)),ISNUMBER(SEARCH("500",E317)),ISNUMBER(SEARCH("100",E317))),100,100000))),0))</f>
        <v/>
      </c>
      <c r="V317" s="12"/>
      <c r="W317" s="36"/>
      <c r="X317" s="27" t="str">
        <f aca="false">IF(OR(V317="",W317=0),"",IFERROR((V317-K317)*IF(F317="Sell",-1,1)*R317*W317*IF(ISNUMBER(SEARCH("JPY",E317)),1000,IF(ISNUMBER(SEARCH("XAU",E317)),100,IF(OR(ISNUMBER(SEARCH("30",E317)),ISNUMBER(SEARCH("500",E317)),ISNUMBER(SEARCH("100",E317))),100,100000))),0))</f>
        <v/>
      </c>
      <c r="Y317" s="12"/>
      <c r="Z317" s="36"/>
      <c r="AA317" s="27" t="str">
        <f aca="false">IF(OR(Y317="",Z317=0),"",IFERROR((Y317-K317)*IF(F317="Sell",-1,1)*R317*Z317*IF(ISNUMBER(SEARCH("JPY",E317)),1000,IF(ISNUMBER(SEARCH("XAU",E317)),100,IF(OR(ISNUMBER(SEARCH("30",E317)),ISNUMBER(SEARCH("500",E317)),ISNUMBER(SEARCH("100",E317))),100,100000))),0))</f>
        <v/>
      </c>
      <c r="AB317" s="12"/>
      <c r="AC317" s="29" t="str">
        <f aca="false">IF(K317="","",1-IFERROR(T317,0)-IFERROR(W317,0)-IFERROR(Z317,0))</f>
        <v/>
      </c>
      <c r="AD317" s="30" t="str">
        <f aca="false">IF(AB317="","",IFERROR((IFERROR(S317*T317,0)+IFERROR(V317*W317,0)+IFERROR(Y317*Z317,0)+AB317*AC317)/(IFERROR(T317,0)+IFERROR(W317,0)+IFERROR(Z317,0)+AC317),AB317))</f>
        <v/>
      </c>
      <c r="AE317" s="27" t="str">
        <f aca="false">IF(AB317="","",IF(U317="",0,U317)+IF(X317="",0,X317)+IF(AA317="",0,AA317)+IFERROR((AB317-K317)*IF(F317="Sell",-1,1)*R317*AC317*IF(ISNUMBER(SEARCH("JPY",E317)),1000,IF(ISNUMBER(SEARCH("XAU",E317)),100,IF(OR(ISNUMBER(SEARCH("30",E317)),ISNUMBER(SEARCH("500",E317)),ISNUMBER(SEARCH("100",E317))),100,100000))),0))</f>
        <v/>
      </c>
      <c r="AF317" s="31" t="str">
        <f aca="false">IF(OR(K317="",M317="",L317=""),"",IFERROR(ABS(M317-K317)/ABS(K317-L317),0))</f>
        <v/>
      </c>
      <c r="AG317" s="31" t="str">
        <f aca="false">IF(OR(AE317="",AE317=0,Q317=0,Q317=""),"",IFERROR(AE317/Q317,0))</f>
        <v/>
      </c>
      <c r="AH317" s="32" t="str">
        <f aca="false">IF(AB317="","Open",IF(AG317="","Open",IF(AG317&gt;0.1,"Win",IF(AG317&lt;-0.1,"Loss","Breakeven"))))</f>
        <v>Open</v>
      </c>
      <c r="AI317" s="33" t="str">
        <f aca="false">IF(OR(B317="",D317=""),"",D317-B317)</f>
        <v/>
      </c>
      <c r="AJ317" s="24" t="str">
        <f aca="false">IF(AD317="","",IFERROR((AD317-K317)*IF(F317="Sell",-1,1)/IF(ISNUMBER(SEARCH("JPY",E317)),0.01,IF(ISNUMBER(SEARCH("XAU",E317)),0.01,IF(OR(ISNUMBER(SEARCH("30",E317)),ISNUMBER(SEARCH("500",E317)),ISNUMBER(SEARCH("100",E317))),1,0.0001))),0))</f>
        <v/>
      </c>
      <c r="AK317" s="12"/>
      <c r="AL317" s="12"/>
      <c r="AM317" s="12"/>
      <c r="AN317" s="12"/>
      <c r="AO317" s="27" t="str">
        <f aca="false">IF(AE317="","",IFERROR(IF(AO316="",SETTINGS!$B$6,AO316),SETTINGS!$B$6)+IF(AE317="",0,AE317))</f>
        <v/>
      </c>
      <c r="AP317" s="2"/>
    </row>
    <row r="318" customFormat="false" ht="15" hidden="false" customHeight="false" outlineLevel="0" collapsed="false">
      <c r="A318" s="24" t="str">
        <f aca="false">IF(B318="","",ROW()-3)</f>
        <v/>
      </c>
      <c r="B318" s="25"/>
      <c r="C318" s="10"/>
      <c r="D318" s="25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26"/>
      <c r="P318" s="24" t="str">
        <f aca="false">IF(K318="","",IFERROR(ABS(K318-L318)/IF(ISNUMBER(SEARCH("JPY",E318)),0.01,IF(ISNUMBER(SEARCH("XAU",E318)),0.01,IF(OR(ISNUMBER(SEARCH("30",E318)),ISNUMBER(SEARCH("500",E318)),ISNUMBER(SEARCH("100",E318))),1,0.0001))),0))</f>
        <v/>
      </c>
      <c r="Q318" s="27" t="str">
        <f aca="false">IF(K318="","",SETTINGS!$B$6*O318)</f>
        <v/>
      </c>
      <c r="R318" s="24" t="str">
        <f aca="false">IF(K318="","",IFERROR(Q318/(P318*IF(ISNUMBER(SEARCH("JPY",E318)),9.09,IF(ISNUMBER(SEARCH("XAU",E318)),1,IF(OR(ISNUMBER(SEARCH("30",E318)),ISNUMBER(SEARCH("500",E318)),ISNUMBER(SEARCH("100",E318))),1,10)))),0))</f>
        <v/>
      </c>
      <c r="S318" s="10"/>
      <c r="T318" s="28"/>
      <c r="U318" s="27" t="str">
        <f aca="false">IF(OR(S318="",T318=0),"",IFERROR((S318-K318)*IF(F318="Sell",-1,1)*R318*T318*IF(ISNUMBER(SEARCH("JPY",E318)),1000,IF(ISNUMBER(SEARCH("XAU",E318)),100,IF(OR(ISNUMBER(SEARCH("30",E318)),ISNUMBER(SEARCH("500",E318)),ISNUMBER(SEARCH("100",E318))),100,100000))),0))</f>
        <v/>
      </c>
      <c r="V318" s="10"/>
      <c r="W318" s="28"/>
      <c r="X318" s="27" t="str">
        <f aca="false">IF(OR(V318="",W318=0),"",IFERROR((V318-K318)*IF(F318="Sell",-1,1)*R318*W318*IF(ISNUMBER(SEARCH("JPY",E318)),1000,IF(ISNUMBER(SEARCH("XAU",E318)),100,IF(OR(ISNUMBER(SEARCH("30",E318)),ISNUMBER(SEARCH("500",E318)),ISNUMBER(SEARCH("100",E318))),100,100000))),0))</f>
        <v/>
      </c>
      <c r="Y318" s="10"/>
      <c r="Z318" s="28"/>
      <c r="AA318" s="27" t="str">
        <f aca="false">IF(OR(Y318="",Z318=0),"",IFERROR((Y318-K318)*IF(F318="Sell",-1,1)*R318*Z318*IF(ISNUMBER(SEARCH("JPY",E318)),1000,IF(ISNUMBER(SEARCH("XAU",E318)),100,IF(OR(ISNUMBER(SEARCH("30",E318)),ISNUMBER(SEARCH("500",E318)),ISNUMBER(SEARCH("100",E318))),100,100000))),0))</f>
        <v/>
      </c>
      <c r="AB318" s="10"/>
      <c r="AC318" s="29" t="str">
        <f aca="false">IF(K318="","",1-IFERROR(T318,0)-IFERROR(W318,0)-IFERROR(Z318,0))</f>
        <v/>
      </c>
      <c r="AD318" s="30" t="str">
        <f aca="false">IF(AB318="","",IFERROR((IFERROR(S318*T318,0)+IFERROR(V318*W318,0)+IFERROR(Y318*Z318,0)+AB318*AC318)/(IFERROR(T318,0)+IFERROR(W318,0)+IFERROR(Z318,0)+AC318),AB318))</f>
        <v/>
      </c>
      <c r="AE318" s="27" t="str">
        <f aca="false">IF(AB318="","",IF(U318="",0,U318)+IF(X318="",0,X318)+IF(AA318="",0,AA318)+IFERROR((AB318-K318)*IF(F318="Sell",-1,1)*R318*AC318*IF(ISNUMBER(SEARCH("JPY",E318)),1000,IF(ISNUMBER(SEARCH("XAU",E318)),100,IF(OR(ISNUMBER(SEARCH("30",E318)),ISNUMBER(SEARCH("500",E318)),ISNUMBER(SEARCH("100",E318))),100,100000))),0))</f>
        <v/>
      </c>
      <c r="AF318" s="31" t="str">
        <f aca="false">IF(OR(K318="",M318="",L318=""),"",IFERROR(ABS(M318-K318)/ABS(K318-L318),0))</f>
        <v/>
      </c>
      <c r="AG318" s="31" t="str">
        <f aca="false">IF(OR(AE318="",AE318=0,Q318=0,Q318=""),"",IFERROR(AE318/Q318,0))</f>
        <v/>
      </c>
      <c r="AH318" s="32" t="str">
        <f aca="false">IF(AB318="","Open",IF(AG318="","Open",IF(AG318&gt;0.1,"Win",IF(AG318&lt;-0.1,"Loss","Breakeven"))))</f>
        <v>Open</v>
      </c>
      <c r="AI318" s="33" t="str">
        <f aca="false">IF(OR(B318="",D318=""),"",D318-B318)</f>
        <v/>
      </c>
      <c r="AJ318" s="24" t="str">
        <f aca="false">IF(AD318="","",IFERROR((AD318-K318)*IF(F318="Sell",-1,1)/IF(ISNUMBER(SEARCH("JPY",E318)),0.01,IF(ISNUMBER(SEARCH("XAU",E318)),0.01,IF(OR(ISNUMBER(SEARCH("30",E318)),ISNUMBER(SEARCH("500",E318)),ISNUMBER(SEARCH("100",E318))),1,0.0001))),0))</f>
        <v/>
      </c>
      <c r="AK318" s="10"/>
      <c r="AL318" s="10"/>
      <c r="AM318" s="10"/>
      <c r="AN318" s="10"/>
      <c r="AO318" s="27" t="str">
        <f aca="false">IF(AE318="","",IFERROR(IF(AO317="",SETTINGS!$B$6,AO317),SETTINGS!$B$6)+IF(AE318="",0,AE318))</f>
        <v/>
      </c>
      <c r="AP318" s="2"/>
    </row>
    <row r="319" customFormat="false" ht="15" hidden="false" customHeight="false" outlineLevel="0" collapsed="false">
      <c r="A319" s="24" t="str">
        <f aca="false">IF(B319="","",ROW()-3)</f>
        <v/>
      </c>
      <c r="B319" s="34"/>
      <c r="C319" s="12"/>
      <c r="D319" s="34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35"/>
      <c r="P319" s="24" t="str">
        <f aca="false">IF(K319="","",IFERROR(ABS(K319-L319)/IF(ISNUMBER(SEARCH("JPY",E319)),0.01,IF(ISNUMBER(SEARCH("XAU",E319)),0.01,IF(OR(ISNUMBER(SEARCH("30",E319)),ISNUMBER(SEARCH("500",E319)),ISNUMBER(SEARCH("100",E319))),1,0.0001))),0))</f>
        <v/>
      </c>
      <c r="Q319" s="27" t="str">
        <f aca="false">IF(K319="","",SETTINGS!$B$6*O319)</f>
        <v/>
      </c>
      <c r="R319" s="24" t="str">
        <f aca="false">IF(K319="","",IFERROR(Q319/(P319*IF(ISNUMBER(SEARCH("JPY",E319)),9.09,IF(ISNUMBER(SEARCH("XAU",E319)),1,IF(OR(ISNUMBER(SEARCH("30",E319)),ISNUMBER(SEARCH("500",E319)),ISNUMBER(SEARCH("100",E319))),1,10)))),0))</f>
        <v/>
      </c>
      <c r="S319" s="12"/>
      <c r="T319" s="36"/>
      <c r="U319" s="27" t="str">
        <f aca="false">IF(OR(S319="",T319=0),"",IFERROR((S319-K319)*IF(F319="Sell",-1,1)*R319*T319*IF(ISNUMBER(SEARCH("JPY",E319)),1000,IF(ISNUMBER(SEARCH("XAU",E319)),100,IF(OR(ISNUMBER(SEARCH("30",E319)),ISNUMBER(SEARCH("500",E319)),ISNUMBER(SEARCH("100",E319))),100,100000))),0))</f>
        <v/>
      </c>
      <c r="V319" s="12"/>
      <c r="W319" s="36"/>
      <c r="X319" s="27" t="str">
        <f aca="false">IF(OR(V319="",W319=0),"",IFERROR((V319-K319)*IF(F319="Sell",-1,1)*R319*W319*IF(ISNUMBER(SEARCH("JPY",E319)),1000,IF(ISNUMBER(SEARCH("XAU",E319)),100,IF(OR(ISNUMBER(SEARCH("30",E319)),ISNUMBER(SEARCH("500",E319)),ISNUMBER(SEARCH("100",E319))),100,100000))),0))</f>
        <v/>
      </c>
      <c r="Y319" s="12"/>
      <c r="Z319" s="36"/>
      <c r="AA319" s="27" t="str">
        <f aca="false">IF(OR(Y319="",Z319=0),"",IFERROR((Y319-K319)*IF(F319="Sell",-1,1)*R319*Z319*IF(ISNUMBER(SEARCH("JPY",E319)),1000,IF(ISNUMBER(SEARCH("XAU",E319)),100,IF(OR(ISNUMBER(SEARCH("30",E319)),ISNUMBER(SEARCH("500",E319)),ISNUMBER(SEARCH("100",E319))),100,100000))),0))</f>
        <v/>
      </c>
      <c r="AB319" s="12"/>
      <c r="AC319" s="29" t="str">
        <f aca="false">IF(K319="","",1-IFERROR(T319,0)-IFERROR(W319,0)-IFERROR(Z319,0))</f>
        <v/>
      </c>
      <c r="AD319" s="30" t="str">
        <f aca="false">IF(AB319="","",IFERROR((IFERROR(S319*T319,0)+IFERROR(V319*W319,0)+IFERROR(Y319*Z319,0)+AB319*AC319)/(IFERROR(T319,0)+IFERROR(W319,0)+IFERROR(Z319,0)+AC319),AB319))</f>
        <v/>
      </c>
      <c r="AE319" s="27" t="str">
        <f aca="false">IF(AB319="","",IF(U319="",0,U319)+IF(X319="",0,X319)+IF(AA319="",0,AA319)+IFERROR((AB319-K319)*IF(F319="Sell",-1,1)*R319*AC319*IF(ISNUMBER(SEARCH("JPY",E319)),1000,IF(ISNUMBER(SEARCH("XAU",E319)),100,IF(OR(ISNUMBER(SEARCH("30",E319)),ISNUMBER(SEARCH("500",E319)),ISNUMBER(SEARCH("100",E319))),100,100000))),0))</f>
        <v/>
      </c>
      <c r="AF319" s="31" t="str">
        <f aca="false">IF(OR(K319="",M319="",L319=""),"",IFERROR(ABS(M319-K319)/ABS(K319-L319),0))</f>
        <v/>
      </c>
      <c r="AG319" s="31" t="str">
        <f aca="false">IF(OR(AE319="",AE319=0,Q319=0,Q319=""),"",IFERROR(AE319/Q319,0))</f>
        <v/>
      </c>
      <c r="AH319" s="32" t="str">
        <f aca="false">IF(AB319="","Open",IF(AG319="","Open",IF(AG319&gt;0.1,"Win",IF(AG319&lt;-0.1,"Loss","Breakeven"))))</f>
        <v>Open</v>
      </c>
      <c r="AI319" s="33" t="str">
        <f aca="false">IF(OR(B319="",D319=""),"",D319-B319)</f>
        <v/>
      </c>
      <c r="AJ319" s="24" t="str">
        <f aca="false">IF(AD319="","",IFERROR((AD319-K319)*IF(F319="Sell",-1,1)/IF(ISNUMBER(SEARCH("JPY",E319)),0.01,IF(ISNUMBER(SEARCH("XAU",E319)),0.01,IF(OR(ISNUMBER(SEARCH("30",E319)),ISNUMBER(SEARCH("500",E319)),ISNUMBER(SEARCH("100",E319))),1,0.0001))),0))</f>
        <v/>
      </c>
      <c r="AK319" s="12"/>
      <c r="AL319" s="12"/>
      <c r="AM319" s="12"/>
      <c r="AN319" s="12"/>
      <c r="AO319" s="27" t="str">
        <f aca="false">IF(AE319="","",IFERROR(IF(AO318="",SETTINGS!$B$6,AO318),SETTINGS!$B$6)+IF(AE319="",0,AE319))</f>
        <v/>
      </c>
      <c r="AP319" s="2"/>
    </row>
    <row r="320" customFormat="false" ht="15" hidden="false" customHeight="false" outlineLevel="0" collapsed="false">
      <c r="A320" s="24" t="str">
        <f aca="false">IF(B320="","",ROW()-3)</f>
        <v/>
      </c>
      <c r="B320" s="25"/>
      <c r="C320" s="10"/>
      <c r="D320" s="25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26"/>
      <c r="P320" s="24" t="str">
        <f aca="false">IF(K320="","",IFERROR(ABS(K320-L320)/IF(ISNUMBER(SEARCH("JPY",E320)),0.01,IF(ISNUMBER(SEARCH("XAU",E320)),0.01,IF(OR(ISNUMBER(SEARCH("30",E320)),ISNUMBER(SEARCH("500",E320)),ISNUMBER(SEARCH("100",E320))),1,0.0001))),0))</f>
        <v/>
      </c>
      <c r="Q320" s="27" t="str">
        <f aca="false">IF(K320="","",SETTINGS!$B$6*O320)</f>
        <v/>
      </c>
      <c r="R320" s="24" t="str">
        <f aca="false">IF(K320="","",IFERROR(Q320/(P320*IF(ISNUMBER(SEARCH("JPY",E320)),9.09,IF(ISNUMBER(SEARCH("XAU",E320)),1,IF(OR(ISNUMBER(SEARCH("30",E320)),ISNUMBER(SEARCH("500",E320)),ISNUMBER(SEARCH("100",E320))),1,10)))),0))</f>
        <v/>
      </c>
      <c r="S320" s="10"/>
      <c r="T320" s="28"/>
      <c r="U320" s="27" t="str">
        <f aca="false">IF(OR(S320="",T320=0),"",IFERROR((S320-K320)*IF(F320="Sell",-1,1)*R320*T320*IF(ISNUMBER(SEARCH("JPY",E320)),1000,IF(ISNUMBER(SEARCH("XAU",E320)),100,IF(OR(ISNUMBER(SEARCH("30",E320)),ISNUMBER(SEARCH("500",E320)),ISNUMBER(SEARCH("100",E320))),100,100000))),0))</f>
        <v/>
      </c>
      <c r="V320" s="10"/>
      <c r="W320" s="28"/>
      <c r="X320" s="27" t="str">
        <f aca="false">IF(OR(V320="",W320=0),"",IFERROR((V320-K320)*IF(F320="Sell",-1,1)*R320*W320*IF(ISNUMBER(SEARCH("JPY",E320)),1000,IF(ISNUMBER(SEARCH("XAU",E320)),100,IF(OR(ISNUMBER(SEARCH("30",E320)),ISNUMBER(SEARCH("500",E320)),ISNUMBER(SEARCH("100",E320))),100,100000))),0))</f>
        <v/>
      </c>
      <c r="Y320" s="10"/>
      <c r="Z320" s="28"/>
      <c r="AA320" s="27" t="str">
        <f aca="false">IF(OR(Y320="",Z320=0),"",IFERROR((Y320-K320)*IF(F320="Sell",-1,1)*R320*Z320*IF(ISNUMBER(SEARCH("JPY",E320)),1000,IF(ISNUMBER(SEARCH("XAU",E320)),100,IF(OR(ISNUMBER(SEARCH("30",E320)),ISNUMBER(SEARCH("500",E320)),ISNUMBER(SEARCH("100",E320))),100,100000))),0))</f>
        <v/>
      </c>
      <c r="AB320" s="10"/>
      <c r="AC320" s="29" t="str">
        <f aca="false">IF(K320="","",1-IFERROR(T320,0)-IFERROR(W320,0)-IFERROR(Z320,0))</f>
        <v/>
      </c>
      <c r="AD320" s="30" t="str">
        <f aca="false">IF(AB320="","",IFERROR((IFERROR(S320*T320,0)+IFERROR(V320*W320,0)+IFERROR(Y320*Z320,0)+AB320*AC320)/(IFERROR(T320,0)+IFERROR(W320,0)+IFERROR(Z320,0)+AC320),AB320))</f>
        <v/>
      </c>
      <c r="AE320" s="27" t="str">
        <f aca="false">IF(AB320="","",IF(U320="",0,U320)+IF(X320="",0,X320)+IF(AA320="",0,AA320)+IFERROR((AB320-K320)*IF(F320="Sell",-1,1)*R320*AC320*IF(ISNUMBER(SEARCH("JPY",E320)),1000,IF(ISNUMBER(SEARCH("XAU",E320)),100,IF(OR(ISNUMBER(SEARCH("30",E320)),ISNUMBER(SEARCH("500",E320)),ISNUMBER(SEARCH("100",E320))),100,100000))),0))</f>
        <v/>
      </c>
      <c r="AF320" s="31" t="str">
        <f aca="false">IF(OR(K320="",M320="",L320=""),"",IFERROR(ABS(M320-K320)/ABS(K320-L320),0))</f>
        <v/>
      </c>
      <c r="AG320" s="31" t="str">
        <f aca="false">IF(OR(AE320="",AE320=0,Q320=0,Q320=""),"",IFERROR(AE320/Q320,0))</f>
        <v/>
      </c>
      <c r="AH320" s="32" t="str">
        <f aca="false">IF(AB320="","Open",IF(AG320="","Open",IF(AG320&gt;0.1,"Win",IF(AG320&lt;-0.1,"Loss","Breakeven"))))</f>
        <v>Open</v>
      </c>
      <c r="AI320" s="33" t="str">
        <f aca="false">IF(OR(B320="",D320=""),"",D320-B320)</f>
        <v/>
      </c>
      <c r="AJ320" s="24" t="str">
        <f aca="false">IF(AD320="","",IFERROR((AD320-K320)*IF(F320="Sell",-1,1)/IF(ISNUMBER(SEARCH("JPY",E320)),0.01,IF(ISNUMBER(SEARCH("XAU",E320)),0.01,IF(OR(ISNUMBER(SEARCH("30",E320)),ISNUMBER(SEARCH("500",E320)),ISNUMBER(SEARCH("100",E320))),1,0.0001))),0))</f>
        <v/>
      </c>
      <c r="AK320" s="10"/>
      <c r="AL320" s="10"/>
      <c r="AM320" s="10"/>
      <c r="AN320" s="10"/>
      <c r="AO320" s="27" t="str">
        <f aca="false">IF(AE320="","",IFERROR(IF(AO319="",SETTINGS!$B$6,AO319),SETTINGS!$B$6)+IF(AE320="",0,AE320))</f>
        <v/>
      </c>
      <c r="AP320" s="2"/>
    </row>
    <row r="321" customFormat="false" ht="15" hidden="false" customHeight="false" outlineLevel="0" collapsed="false">
      <c r="A321" s="24" t="str">
        <f aca="false">IF(B321="","",ROW()-3)</f>
        <v/>
      </c>
      <c r="B321" s="34"/>
      <c r="C321" s="12"/>
      <c r="D321" s="34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35"/>
      <c r="P321" s="24" t="str">
        <f aca="false">IF(K321="","",IFERROR(ABS(K321-L321)/IF(ISNUMBER(SEARCH("JPY",E321)),0.01,IF(ISNUMBER(SEARCH("XAU",E321)),0.01,IF(OR(ISNUMBER(SEARCH("30",E321)),ISNUMBER(SEARCH("500",E321)),ISNUMBER(SEARCH("100",E321))),1,0.0001))),0))</f>
        <v/>
      </c>
      <c r="Q321" s="27" t="str">
        <f aca="false">IF(K321="","",SETTINGS!$B$6*O321)</f>
        <v/>
      </c>
      <c r="R321" s="24" t="str">
        <f aca="false">IF(K321="","",IFERROR(Q321/(P321*IF(ISNUMBER(SEARCH("JPY",E321)),9.09,IF(ISNUMBER(SEARCH("XAU",E321)),1,IF(OR(ISNUMBER(SEARCH("30",E321)),ISNUMBER(SEARCH("500",E321)),ISNUMBER(SEARCH("100",E321))),1,10)))),0))</f>
        <v/>
      </c>
      <c r="S321" s="12"/>
      <c r="T321" s="36"/>
      <c r="U321" s="27" t="str">
        <f aca="false">IF(OR(S321="",T321=0),"",IFERROR((S321-K321)*IF(F321="Sell",-1,1)*R321*T321*IF(ISNUMBER(SEARCH("JPY",E321)),1000,IF(ISNUMBER(SEARCH("XAU",E321)),100,IF(OR(ISNUMBER(SEARCH("30",E321)),ISNUMBER(SEARCH("500",E321)),ISNUMBER(SEARCH("100",E321))),100,100000))),0))</f>
        <v/>
      </c>
      <c r="V321" s="12"/>
      <c r="W321" s="36"/>
      <c r="X321" s="27" t="str">
        <f aca="false">IF(OR(V321="",W321=0),"",IFERROR((V321-K321)*IF(F321="Sell",-1,1)*R321*W321*IF(ISNUMBER(SEARCH("JPY",E321)),1000,IF(ISNUMBER(SEARCH("XAU",E321)),100,IF(OR(ISNUMBER(SEARCH("30",E321)),ISNUMBER(SEARCH("500",E321)),ISNUMBER(SEARCH("100",E321))),100,100000))),0))</f>
        <v/>
      </c>
      <c r="Y321" s="12"/>
      <c r="Z321" s="36"/>
      <c r="AA321" s="27" t="str">
        <f aca="false">IF(OR(Y321="",Z321=0),"",IFERROR((Y321-K321)*IF(F321="Sell",-1,1)*R321*Z321*IF(ISNUMBER(SEARCH("JPY",E321)),1000,IF(ISNUMBER(SEARCH("XAU",E321)),100,IF(OR(ISNUMBER(SEARCH("30",E321)),ISNUMBER(SEARCH("500",E321)),ISNUMBER(SEARCH("100",E321))),100,100000))),0))</f>
        <v/>
      </c>
      <c r="AB321" s="12"/>
      <c r="AC321" s="29" t="str">
        <f aca="false">IF(K321="","",1-IFERROR(T321,0)-IFERROR(W321,0)-IFERROR(Z321,0))</f>
        <v/>
      </c>
      <c r="AD321" s="30" t="str">
        <f aca="false">IF(AB321="","",IFERROR((IFERROR(S321*T321,0)+IFERROR(V321*W321,0)+IFERROR(Y321*Z321,0)+AB321*AC321)/(IFERROR(T321,0)+IFERROR(W321,0)+IFERROR(Z321,0)+AC321),AB321))</f>
        <v/>
      </c>
      <c r="AE321" s="27" t="str">
        <f aca="false">IF(AB321="","",IF(U321="",0,U321)+IF(X321="",0,X321)+IF(AA321="",0,AA321)+IFERROR((AB321-K321)*IF(F321="Sell",-1,1)*R321*AC321*IF(ISNUMBER(SEARCH("JPY",E321)),1000,IF(ISNUMBER(SEARCH("XAU",E321)),100,IF(OR(ISNUMBER(SEARCH("30",E321)),ISNUMBER(SEARCH("500",E321)),ISNUMBER(SEARCH("100",E321))),100,100000))),0))</f>
        <v/>
      </c>
      <c r="AF321" s="31" t="str">
        <f aca="false">IF(OR(K321="",M321="",L321=""),"",IFERROR(ABS(M321-K321)/ABS(K321-L321),0))</f>
        <v/>
      </c>
      <c r="AG321" s="31" t="str">
        <f aca="false">IF(OR(AE321="",AE321=0,Q321=0,Q321=""),"",IFERROR(AE321/Q321,0))</f>
        <v/>
      </c>
      <c r="AH321" s="32" t="str">
        <f aca="false">IF(AB321="","Open",IF(AG321="","Open",IF(AG321&gt;0.1,"Win",IF(AG321&lt;-0.1,"Loss","Breakeven"))))</f>
        <v>Open</v>
      </c>
      <c r="AI321" s="33" t="str">
        <f aca="false">IF(OR(B321="",D321=""),"",D321-B321)</f>
        <v/>
      </c>
      <c r="AJ321" s="24" t="str">
        <f aca="false">IF(AD321="","",IFERROR((AD321-K321)*IF(F321="Sell",-1,1)/IF(ISNUMBER(SEARCH("JPY",E321)),0.01,IF(ISNUMBER(SEARCH("XAU",E321)),0.01,IF(OR(ISNUMBER(SEARCH("30",E321)),ISNUMBER(SEARCH("500",E321)),ISNUMBER(SEARCH("100",E321))),1,0.0001))),0))</f>
        <v/>
      </c>
      <c r="AK321" s="12"/>
      <c r="AL321" s="12"/>
      <c r="AM321" s="12"/>
      <c r="AN321" s="12"/>
      <c r="AO321" s="27" t="str">
        <f aca="false">IF(AE321="","",IFERROR(IF(AO320="",SETTINGS!$B$6,AO320),SETTINGS!$B$6)+IF(AE321="",0,AE321))</f>
        <v/>
      </c>
      <c r="AP321" s="2"/>
    </row>
    <row r="322" customFormat="false" ht="15" hidden="false" customHeight="false" outlineLevel="0" collapsed="false">
      <c r="A322" s="24" t="str">
        <f aca="false">IF(B322="","",ROW()-3)</f>
        <v/>
      </c>
      <c r="B322" s="25"/>
      <c r="C322" s="10"/>
      <c r="D322" s="25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26"/>
      <c r="P322" s="24" t="str">
        <f aca="false">IF(K322="","",IFERROR(ABS(K322-L322)/IF(ISNUMBER(SEARCH("JPY",E322)),0.01,IF(ISNUMBER(SEARCH("XAU",E322)),0.01,IF(OR(ISNUMBER(SEARCH("30",E322)),ISNUMBER(SEARCH("500",E322)),ISNUMBER(SEARCH("100",E322))),1,0.0001))),0))</f>
        <v/>
      </c>
      <c r="Q322" s="27" t="str">
        <f aca="false">IF(K322="","",SETTINGS!$B$6*O322)</f>
        <v/>
      </c>
      <c r="R322" s="24" t="str">
        <f aca="false">IF(K322="","",IFERROR(Q322/(P322*IF(ISNUMBER(SEARCH("JPY",E322)),9.09,IF(ISNUMBER(SEARCH("XAU",E322)),1,IF(OR(ISNUMBER(SEARCH("30",E322)),ISNUMBER(SEARCH("500",E322)),ISNUMBER(SEARCH("100",E322))),1,10)))),0))</f>
        <v/>
      </c>
      <c r="S322" s="10"/>
      <c r="T322" s="28"/>
      <c r="U322" s="27" t="str">
        <f aca="false">IF(OR(S322="",T322=0),"",IFERROR((S322-K322)*IF(F322="Sell",-1,1)*R322*T322*IF(ISNUMBER(SEARCH("JPY",E322)),1000,IF(ISNUMBER(SEARCH("XAU",E322)),100,IF(OR(ISNUMBER(SEARCH("30",E322)),ISNUMBER(SEARCH("500",E322)),ISNUMBER(SEARCH("100",E322))),100,100000))),0))</f>
        <v/>
      </c>
      <c r="V322" s="10"/>
      <c r="W322" s="28"/>
      <c r="X322" s="27" t="str">
        <f aca="false">IF(OR(V322="",W322=0),"",IFERROR((V322-K322)*IF(F322="Sell",-1,1)*R322*W322*IF(ISNUMBER(SEARCH("JPY",E322)),1000,IF(ISNUMBER(SEARCH("XAU",E322)),100,IF(OR(ISNUMBER(SEARCH("30",E322)),ISNUMBER(SEARCH("500",E322)),ISNUMBER(SEARCH("100",E322))),100,100000))),0))</f>
        <v/>
      </c>
      <c r="Y322" s="10"/>
      <c r="Z322" s="28"/>
      <c r="AA322" s="27" t="str">
        <f aca="false">IF(OR(Y322="",Z322=0),"",IFERROR((Y322-K322)*IF(F322="Sell",-1,1)*R322*Z322*IF(ISNUMBER(SEARCH("JPY",E322)),1000,IF(ISNUMBER(SEARCH("XAU",E322)),100,IF(OR(ISNUMBER(SEARCH("30",E322)),ISNUMBER(SEARCH("500",E322)),ISNUMBER(SEARCH("100",E322))),100,100000))),0))</f>
        <v/>
      </c>
      <c r="AB322" s="10"/>
      <c r="AC322" s="29" t="str">
        <f aca="false">IF(K322="","",1-IFERROR(T322,0)-IFERROR(W322,0)-IFERROR(Z322,0))</f>
        <v/>
      </c>
      <c r="AD322" s="30" t="str">
        <f aca="false">IF(AB322="","",IFERROR((IFERROR(S322*T322,0)+IFERROR(V322*W322,0)+IFERROR(Y322*Z322,0)+AB322*AC322)/(IFERROR(T322,0)+IFERROR(W322,0)+IFERROR(Z322,0)+AC322),AB322))</f>
        <v/>
      </c>
      <c r="AE322" s="27" t="str">
        <f aca="false">IF(AB322="","",IF(U322="",0,U322)+IF(X322="",0,X322)+IF(AA322="",0,AA322)+IFERROR((AB322-K322)*IF(F322="Sell",-1,1)*R322*AC322*IF(ISNUMBER(SEARCH("JPY",E322)),1000,IF(ISNUMBER(SEARCH("XAU",E322)),100,IF(OR(ISNUMBER(SEARCH("30",E322)),ISNUMBER(SEARCH("500",E322)),ISNUMBER(SEARCH("100",E322))),100,100000))),0))</f>
        <v/>
      </c>
      <c r="AF322" s="31" t="str">
        <f aca="false">IF(OR(K322="",M322="",L322=""),"",IFERROR(ABS(M322-K322)/ABS(K322-L322),0))</f>
        <v/>
      </c>
      <c r="AG322" s="31" t="str">
        <f aca="false">IF(OR(AE322="",AE322=0,Q322=0,Q322=""),"",IFERROR(AE322/Q322,0))</f>
        <v/>
      </c>
      <c r="AH322" s="32" t="str">
        <f aca="false">IF(AB322="","Open",IF(AG322="","Open",IF(AG322&gt;0.1,"Win",IF(AG322&lt;-0.1,"Loss","Breakeven"))))</f>
        <v>Open</v>
      </c>
      <c r="AI322" s="33" t="str">
        <f aca="false">IF(OR(B322="",D322=""),"",D322-B322)</f>
        <v/>
      </c>
      <c r="AJ322" s="24" t="str">
        <f aca="false">IF(AD322="","",IFERROR((AD322-K322)*IF(F322="Sell",-1,1)/IF(ISNUMBER(SEARCH("JPY",E322)),0.01,IF(ISNUMBER(SEARCH("XAU",E322)),0.01,IF(OR(ISNUMBER(SEARCH("30",E322)),ISNUMBER(SEARCH("500",E322)),ISNUMBER(SEARCH("100",E322))),1,0.0001))),0))</f>
        <v/>
      </c>
      <c r="AK322" s="10"/>
      <c r="AL322" s="10"/>
      <c r="AM322" s="10"/>
      <c r="AN322" s="10"/>
      <c r="AO322" s="27" t="str">
        <f aca="false">IF(AE322="","",IFERROR(IF(AO321="",SETTINGS!$B$6,AO321),SETTINGS!$B$6)+IF(AE322="",0,AE322))</f>
        <v/>
      </c>
      <c r="AP322" s="2"/>
    </row>
    <row r="323" customFormat="false" ht="15" hidden="false" customHeight="false" outlineLevel="0" collapsed="false">
      <c r="A323" s="24" t="str">
        <f aca="false">IF(B323="","",ROW()-3)</f>
        <v/>
      </c>
      <c r="B323" s="34"/>
      <c r="C323" s="12"/>
      <c r="D323" s="34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35"/>
      <c r="P323" s="24" t="str">
        <f aca="false">IF(K323="","",IFERROR(ABS(K323-L323)/IF(ISNUMBER(SEARCH("JPY",E323)),0.01,IF(ISNUMBER(SEARCH("XAU",E323)),0.01,IF(OR(ISNUMBER(SEARCH("30",E323)),ISNUMBER(SEARCH("500",E323)),ISNUMBER(SEARCH("100",E323))),1,0.0001))),0))</f>
        <v/>
      </c>
      <c r="Q323" s="27" t="str">
        <f aca="false">IF(K323="","",SETTINGS!$B$6*O323)</f>
        <v/>
      </c>
      <c r="R323" s="24" t="str">
        <f aca="false">IF(K323="","",IFERROR(Q323/(P323*IF(ISNUMBER(SEARCH("JPY",E323)),9.09,IF(ISNUMBER(SEARCH("XAU",E323)),1,IF(OR(ISNUMBER(SEARCH("30",E323)),ISNUMBER(SEARCH("500",E323)),ISNUMBER(SEARCH("100",E323))),1,10)))),0))</f>
        <v/>
      </c>
      <c r="S323" s="12"/>
      <c r="T323" s="36"/>
      <c r="U323" s="27" t="str">
        <f aca="false">IF(OR(S323="",T323=0),"",IFERROR((S323-K323)*IF(F323="Sell",-1,1)*R323*T323*IF(ISNUMBER(SEARCH("JPY",E323)),1000,IF(ISNUMBER(SEARCH("XAU",E323)),100,IF(OR(ISNUMBER(SEARCH("30",E323)),ISNUMBER(SEARCH("500",E323)),ISNUMBER(SEARCH("100",E323))),100,100000))),0))</f>
        <v/>
      </c>
      <c r="V323" s="12"/>
      <c r="W323" s="36"/>
      <c r="X323" s="27" t="str">
        <f aca="false">IF(OR(V323="",W323=0),"",IFERROR((V323-K323)*IF(F323="Sell",-1,1)*R323*W323*IF(ISNUMBER(SEARCH("JPY",E323)),1000,IF(ISNUMBER(SEARCH("XAU",E323)),100,IF(OR(ISNUMBER(SEARCH("30",E323)),ISNUMBER(SEARCH("500",E323)),ISNUMBER(SEARCH("100",E323))),100,100000))),0))</f>
        <v/>
      </c>
      <c r="Y323" s="12"/>
      <c r="Z323" s="36"/>
      <c r="AA323" s="27" t="str">
        <f aca="false">IF(OR(Y323="",Z323=0),"",IFERROR((Y323-K323)*IF(F323="Sell",-1,1)*R323*Z323*IF(ISNUMBER(SEARCH("JPY",E323)),1000,IF(ISNUMBER(SEARCH("XAU",E323)),100,IF(OR(ISNUMBER(SEARCH("30",E323)),ISNUMBER(SEARCH("500",E323)),ISNUMBER(SEARCH("100",E323))),100,100000))),0))</f>
        <v/>
      </c>
      <c r="AB323" s="12"/>
      <c r="AC323" s="29" t="str">
        <f aca="false">IF(K323="","",1-IFERROR(T323,0)-IFERROR(W323,0)-IFERROR(Z323,0))</f>
        <v/>
      </c>
      <c r="AD323" s="30" t="str">
        <f aca="false">IF(AB323="","",IFERROR((IFERROR(S323*T323,0)+IFERROR(V323*W323,0)+IFERROR(Y323*Z323,0)+AB323*AC323)/(IFERROR(T323,0)+IFERROR(W323,0)+IFERROR(Z323,0)+AC323),AB323))</f>
        <v/>
      </c>
      <c r="AE323" s="27" t="str">
        <f aca="false">IF(AB323="","",IF(U323="",0,U323)+IF(X323="",0,X323)+IF(AA323="",0,AA323)+IFERROR((AB323-K323)*IF(F323="Sell",-1,1)*R323*AC323*IF(ISNUMBER(SEARCH("JPY",E323)),1000,IF(ISNUMBER(SEARCH("XAU",E323)),100,IF(OR(ISNUMBER(SEARCH("30",E323)),ISNUMBER(SEARCH("500",E323)),ISNUMBER(SEARCH("100",E323))),100,100000))),0))</f>
        <v/>
      </c>
      <c r="AF323" s="31" t="str">
        <f aca="false">IF(OR(K323="",M323="",L323=""),"",IFERROR(ABS(M323-K323)/ABS(K323-L323),0))</f>
        <v/>
      </c>
      <c r="AG323" s="31" t="str">
        <f aca="false">IF(OR(AE323="",AE323=0,Q323=0,Q323=""),"",IFERROR(AE323/Q323,0))</f>
        <v/>
      </c>
      <c r="AH323" s="32" t="str">
        <f aca="false">IF(AB323="","Open",IF(AG323="","Open",IF(AG323&gt;0.1,"Win",IF(AG323&lt;-0.1,"Loss","Breakeven"))))</f>
        <v>Open</v>
      </c>
      <c r="AI323" s="33" t="str">
        <f aca="false">IF(OR(B323="",D323=""),"",D323-B323)</f>
        <v/>
      </c>
      <c r="AJ323" s="24" t="str">
        <f aca="false">IF(AD323="","",IFERROR((AD323-K323)*IF(F323="Sell",-1,1)/IF(ISNUMBER(SEARCH("JPY",E323)),0.01,IF(ISNUMBER(SEARCH("XAU",E323)),0.01,IF(OR(ISNUMBER(SEARCH("30",E323)),ISNUMBER(SEARCH("500",E323)),ISNUMBER(SEARCH("100",E323))),1,0.0001))),0))</f>
        <v/>
      </c>
      <c r="AK323" s="12"/>
      <c r="AL323" s="12"/>
      <c r="AM323" s="12"/>
      <c r="AN323" s="12"/>
      <c r="AO323" s="27" t="str">
        <f aca="false">IF(AE323="","",IFERROR(IF(AO322="",SETTINGS!$B$6,AO322),SETTINGS!$B$6)+IF(AE323="",0,AE323))</f>
        <v/>
      </c>
      <c r="AP323" s="2"/>
    </row>
    <row r="324" customFormat="false" ht="15" hidden="false" customHeight="false" outlineLevel="0" collapsed="false">
      <c r="A324" s="24" t="str">
        <f aca="false">IF(B324="","",ROW()-3)</f>
        <v/>
      </c>
      <c r="B324" s="25"/>
      <c r="C324" s="10"/>
      <c r="D324" s="25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26"/>
      <c r="P324" s="24" t="str">
        <f aca="false">IF(K324="","",IFERROR(ABS(K324-L324)/IF(ISNUMBER(SEARCH("JPY",E324)),0.01,IF(ISNUMBER(SEARCH("XAU",E324)),0.01,IF(OR(ISNUMBER(SEARCH("30",E324)),ISNUMBER(SEARCH("500",E324)),ISNUMBER(SEARCH("100",E324))),1,0.0001))),0))</f>
        <v/>
      </c>
      <c r="Q324" s="27" t="str">
        <f aca="false">IF(K324="","",SETTINGS!$B$6*O324)</f>
        <v/>
      </c>
      <c r="R324" s="24" t="str">
        <f aca="false">IF(K324="","",IFERROR(Q324/(P324*IF(ISNUMBER(SEARCH("JPY",E324)),9.09,IF(ISNUMBER(SEARCH("XAU",E324)),1,IF(OR(ISNUMBER(SEARCH("30",E324)),ISNUMBER(SEARCH("500",E324)),ISNUMBER(SEARCH("100",E324))),1,10)))),0))</f>
        <v/>
      </c>
      <c r="S324" s="10"/>
      <c r="T324" s="28"/>
      <c r="U324" s="27" t="str">
        <f aca="false">IF(OR(S324="",T324=0),"",IFERROR((S324-K324)*IF(F324="Sell",-1,1)*R324*T324*IF(ISNUMBER(SEARCH("JPY",E324)),1000,IF(ISNUMBER(SEARCH("XAU",E324)),100,IF(OR(ISNUMBER(SEARCH("30",E324)),ISNUMBER(SEARCH("500",E324)),ISNUMBER(SEARCH("100",E324))),100,100000))),0))</f>
        <v/>
      </c>
      <c r="V324" s="10"/>
      <c r="W324" s="28"/>
      <c r="X324" s="27" t="str">
        <f aca="false">IF(OR(V324="",W324=0),"",IFERROR((V324-K324)*IF(F324="Sell",-1,1)*R324*W324*IF(ISNUMBER(SEARCH("JPY",E324)),1000,IF(ISNUMBER(SEARCH("XAU",E324)),100,IF(OR(ISNUMBER(SEARCH("30",E324)),ISNUMBER(SEARCH("500",E324)),ISNUMBER(SEARCH("100",E324))),100,100000))),0))</f>
        <v/>
      </c>
      <c r="Y324" s="10"/>
      <c r="Z324" s="28"/>
      <c r="AA324" s="27" t="str">
        <f aca="false">IF(OR(Y324="",Z324=0),"",IFERROR((Y324-K324)*IF(F324="Sell",-1,1)*R324*Z324*IF(ISNUMBER(SEARCH("JPY",E324)),1000,IF(ISNUMBER(SEARCH("XAU",E324)),100,IF(OR(ISNUMBER(SEARCH("30",E324)),ISNUMBER(SEARCH("500",E324)),ISNUMBER(SEARCH("100",E324))),100,100000))),0))</f>
        <v/>
      </c>
      <c r="AB324" s="10"/>
      <c r="AC324" s="29" t="str">
        <f aca="false">IF(K324="","",1-IFERROR(T324,0)-IFERROR(W324,0)-IFERROR(Z324,0))</f>
        <v/>
      </c>
      <c r="AD324" s="30" t="str">
        <f aca="false">IF(AB324="","",IFERROR((IFERROR(S324*T324,0)+IFERROR(V324*W324,0)+IFERROR(Y324*Z324,0)+AB324*AC324)/(IFERROR(T324,0)+IFERROR(W324,0)+IFERROR(Z324,0)+AC324),AB324))</f>
        <v/>
      </c>
      <c r="AE324" s="27" t="str">
        <f aca="false">IF(AB324="","",IF(U324="",0,U324)+IF(X324="",0,X324)+IF(AA324="",0,AA324)+IFERROR((AB324-K324)*IF(F324="Sell",-1,1)*R324*AC324*IF(ISNUMBER(SEARCH("JPY",E324)),1000,IF(ISNUMBER(SEARCH("XAU",E324)),100,IF(OR(ISNUMBER(SEARCH("30",E324)),ISNUMBER(SEARCH("500",E324)),ISNUMBER(SEARCH("100",E324))),100,100000))),0))</f>
        <v/>
      </c>
      <c r="AF324" s="31" t="str">
        <f aca="false">IF(OR(K324="",M324="",L324=""),"",IFERROR(ABS(M324-K324)/ABS(K324-L324),0))</f>
        <v/>
      </c>
      <c r="AG324" s="31" t="str">
        <f aca="false">IF(OR(AE324="",AE324=0,Q324=0,Q324=""),"",IFERROR(AE324/Q324,0))</f>
        <v/>
      </c>
      <c r="AH324" s="32" t="str">
        <f aca="false">IF(AB324="","Open",IF(AG324="","Open",IF(AG324&gt;0.1,"Win",IF(AG324&lt;-0.1,"Loss","Breakeven"))))</f>
        <v>Open</v>
      </c>
      <c r="AI324" s="33" t="str">
        <f aca="false">IF(OR(B324="",D324=""),"",D324-B324)</f>
        <v/>
      </c>
      <c r="AJ324" s="24" t="str">
        <f aca="false">IF(AD324="","",IFERROR((AD324-K324)*IF(F324="Sell",-1,1)/IF(ISNUMBER(SEARCH("JPY",E324)),0.01,IF(ISNUMBER(SEARCH("XAU",E324)),0.01,IF(OR(ISNUMBER(SEARCH("30",E324)),ISNUMBER(SEARCH("500",E324)),ISNUMBER(SEARCH("100",E324))),1,0.0001))),0))</f>
        <v/>
      </c>
      <c r="AK324" s="10"/>
      <c r="AL324" s="10"/>
      <c r="AM324" s="10"/>
      <c r="AN324" s="10"/>
      <c r="AO324" s="27" t="str">
        <f aca="false">IF(AE324="","",IFERROR(IF(AO323="",SETTINGS!$B$6,AO323),SETTINGS!$B$6)+IF(AE324="",0,AE324))</f>
        <v/>
      </c>
      <c r="AP324" s="2"/>
    </row>
    <row r="325" customFormat="false" ht="15" hidden="false" customHeight="false" outlineLevel="0" collapsed="false">
      <c r="A325" s="24" t="str">
        <f aca="false">IF(B325="","",ROW()-3)</f>
        <v/>
      </c>
      <c r="B325" s="34"/>
      <c r="C325" s="12"/>
      <c r="D325" s="34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35"/>
      <c r="P325" s="24" t="str">
        <f aca="false">IF(K325="","",IFERROR(ABS(K325-L325)/IF(ISNUMBER(SEARCH("JPY",E325)),0.01,IF(ISNUMBER(SEARCH("XAU",E325)),0.01,IF(OR(ISNUMBER(SEARCH("30",E325)),ISNUMBER(SEARCH("500",E325)),ISNUMBER(SEARCH("100",E325))),1,0.0001))),0))</f>
        <v/>
      </c>
      <c r="Q325" s="27" t="str">
        <f aca="false">IF(K325="","",SETTINGS!$B$6*O325)</f>
        <v/>
      </c>
      <c r="R325" s="24" t="str">
        <f aca="false">IF(K325="","",IFERROR(Q325/(P325*IF(ISNUMBER(SEARCH("JPY",E325)),9.09,IF(ISNUMBER(SEARCH("XAU",E325)),1,IF(OR(ISNUMBER(SEARCH("30",E325)),ISNUMBER(SEARCH("500",E325)),ISNUMBER(SEARCH("100",E325))),1,10)))),0))</f>
        <v/>
      </c>
      <c r="S325" s="12"/>
      <c r="T325" s="36"/>
      <c r="U325" s="27" t="str">
        <f aca="false">IF(OR(S325="",T325=0),"",IFERROR((S325-K325)*IF(F325="Sell",-1,1)*R325*T325*IF(ISNUMBER(SEARCH("JPY",E325)),1000,IF(ISNUMBER(SEARCH("XAU",E325)),100,IF(OR(ISNUMBER(SEARCH("30",E325)),ISNUMBER(SEARCH("500",E325)),ISNUMBER(SEARCH("100",E325))),100,100000))),0))</f>
        <v/>
      </c>
      <c r="V325" s="12"/>
      <c r="W325" s="36"/>
      <c r="X325" s="27" t="str">
        <f aca="false">IF(OR(V325="",W325=0),"",IFERROR((V325-K325)*IF(F325="Sell",-1,1)*R325*W325*IF(ISNUMBER(SEARCH("JPY",E325)),1000,IF(ISNUMBER(SEARCH("XAU",E325)),100,IF(OR(ISNUMBER(SEARCH("30",E325)),ISNUMBER(SEARCH("500",E325)),ISNUMBER(SEARCH("100",E325))),100,100000))),0))</f>
        <v/>
      </c>
      <c r="Y325" s="12"/>
      <c r="Z325" s="36"/>
      <c r="AA325" s="27" t="str">
        <f aca="false">IF(OR(Y325="",Z325=0),"",IFERROR((Y325-K325)*IF(F325="Sell",-1,1)*R325*Z325*IF(ISNUMBER(SEARCH("JPY",E325)),1000,IF(ISNUMBER(SEARCH("XAU",E325)),100,IF(OR(ISNUMBER(SEARCH("30",E325)),ISNUMBER(SEARCH("500",E325)),ISNUMBER(SEARCH("100",E325))),100,100000))),0))</f>
        <v/>
      </c>
      <c r="AB325" s="12"/>
      <c r="AC325" s="29" t="str">
        <f aca="false">IF(K325="","",1-IFERROR(T325,0)-IFERROR(W325,0)-IFERROR(Z325,0))</f>
        <v/>
      </c>
      <c r="AD325" s="30" t="str">
        <f aca="false">IF(AB325="","",IFERROR((IFERROR(S325*T325,0)+IFERROR(V325*W325,0)+IFERROR(Y325*Z325,0)+AB325*AC325)/(IFERROR(T325,0)+IFERROR(W325,0)+IFERROR(Z325,0)+AC325),AB325))</f>
        <v/>
      </c>
      <c r="AE325" s="27" t="str">
        <f aca="false">IF(AB325="","",IF(U325="",0,U325)+IF(X325="",0,X325)+IF(AA325="",0,AA325)+IFERROR((AB325-K325)*IF(F325="Sell",-1,1)*R325*AC325*IF(ISNUMBER(SEARCH("JPY",E325)),1000,IF(ISNUMBER(SEARCH("XAU",E325)),100,IF(OR(ISNUMBER(SEARCH("30",E325)),ISNUMBER(SEARCH("500",E325)),ISNUMBER(SEARCH("100",E325))),100,100000))),0))</f>
        <v/>
      </c>
      <c r="AF325" s="31" t="str">
        <f aca="false">IF(OR(K325="",M325="",L325=""),"",IFERROR(ABS(M325-K325)/ABS(K325-L325),0))</f>
        <v/>
      </c>
      <c r="AG325" s="31" t="str">
        <f aca="false">IF(OR(AE325="",AE325=0,Q325=0,Q325=""),"",IFERROR(AE325/Q325,0))</f>
        <v/>
      </c>
      <c r="AH325" s="32" t="str">
        <f aca="false">IF(AB325="","Open",IF(AG325="","Open",IF(AG325&gt;0.1,"Win",IF(AG325&lt;-0.1,"Loss","Breakeven"))))</f>
        <v>Open</v>
      </c>
      <c r="AI325" s="33" t="str">
        <f aca="false">IF(OR(B325="",D325=""),"",D325-B325)</f>
        <v/>
      </c>
      <c r="AJ325" s="24" t="str">
        <f aca="false">IF(AD325="","",IFERROR((AD325-K325)*IF(F325="Sell",-1,1)/IF(ISNUMBER(SEARCH("JPY",E325)),0.01,IF(ISNUMBER(SEARCH("XAU",E325)),0.01,IF(OR(ISNUMBER(SEARCH("30",E325)),ISNUMBER(SEARCH("500",E325)),ISNUMBER(SEARCH("100",E325))),1,0.0001))),0))</f>
        <v/>
      </c>
      <c r="AK325" s="12"/>
      <c r="AL325" s="12"/>
      <c r="AM325" s="12"/>
      <c r="AN325" s="12"/>
      <c r="AO325" s="27" t="str">
        <f aca="false">IF(AE325="","",IFERROR(IF(AO324="",SETTINGS!$B$6,AO324),SETTINGS!$B$6)+IF(AE325="",0,AE325))</f>
        <v/>
      </c>
      <c r="AP325" s="2"/>
    </row>
    <row r="326" customFormat="false" ht="15" hidden="false" customHeight="false" outlineLevel="0" collapsed="false">
      <c r="A326" s="24" t="str">
        <f aca="false">IF(B326="","",ROW()-3)</f>
        <v/>
      </c>
      <c r="B326" s="25"/>
      <c r="C326" s="10"/>
      <c r="D326" s="25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26"/>
      <c r="P326" s="24" t="str">
        <f aca="false">IF(K326="","",IFERROR(ABS(K326-L326)/IF(ISNUMBER(SEARCH("JPY",E326)),0.01,IF(ISNUMBER(SEARCH("XAU",E326)),0.01,IF(OR(ISNUMBER(SEARCH("30",E326)),ISNUMBER(SEARCH("500",E326)),ISNUMBER(SEARCH("100",E326))),1,0.0001))),0))</f>
        <v/>
      </c>
      <c r="Q326" s="27" t="str">
        <f aca="false">IF(K326="","",SETTINGS!$B$6*O326)</f>
        <v/>
      </c>
      <c r="R326" s="24" t="str">
        <f aca="false">IF(K326="","",IFERROR(Q326/(P326*IF(ISNUMBER(SEARCH("JPY",E326)),9.09,IF(ISNUMBER(SEARCH("XAU",E326)),1,IF(OR(ISNUMBER(SEARCH("30",E326)),ISNUMBER(SEARCH("500",E326)),ISNUMBER(SEARCH("100",E326))),1,10)))),0))</f>
        <v/>
      </c>
      <c r="S326" s="10"/>
      <c r="T326" s="28"/>
      <c r="U326" s="27" t="str">
        <f aca="false">IF(OR(S326="",T326=0),"",IFERROR((S326-K326)*IF(F326="Sell",-1,1)*R326*T326*IF(ISNUMBER(SEARCH("JPY",E326)),1000,IF(ISNUMBER(SEARCH("XAU",E326)),100,IF(OR(ISNUMBER(SEARCH("30",E326)),ISNUMBER(SEARCH("500",E326)),ISNUMBER(SEARCH("100",E326))),100,100000))),0))</f>
        <v/>
      </c>
      <c r="V326" s="10"/>
      <c r="W326" s="28"/>
      <c r="X326" s="27" t="str">
        <f aca="false">IF(OR(V326="",W326=0),"",IFERROR((V326-K326)*IF(F326="Sell",-1,1)*R326*W326*IF(ISNUMBER(SEARCH("JPY",E326)),1000,IF(ISNUMBER(SEARCH("XAU",E326)),100,IF(OR(ISNUMBER(SEARCH("30",E326)),ISNUMBER(SEARCH("500",E326)),ISNUMBER(SEARCH("100",E326))),100,100000))),0))</f>
        <v/>
      </c>
      <c r="Y326" s="10"/>
      <c r="Z326" s="28"/>
      <c r="AA326" s="27" t="str">
        <f aca="false">IF(OR(Y326="",Z326=0),"",IFERROR((Y326-K326)*IF(F326="Sell",-1,1)*R326*Z326*IF(ISNUMBER(SEARCH("JPY",E326)),1000,IF(ISNUMBER(SEARCH("XAU",E326)),100,IF(OR(ISNUMBER(SEARCH("30",E326)),ISNUMBER(SEARCH("500",E326)),ISNUMBER(SEARCH("100",E326))),100,100000))),0))</f>
        <v/>
      </c>
      <c r="AB326" s="10"/>
      <c r="AC326" s="29" t="str">
        <f aca="false">IF(K326="","",1-IFERROR(T326,0)-IFERROR(W326,0)-IFERROR(Z326,0))</f>
        <v/>
      </c>
      <c r="AD326" s="30" t="str">
        <f aca="false">IF(AB326="","",IFERROR((IFERROR(S326*T326,0)+IFERROR(V326*W326,0)+IFERROR(Y326*Z326,0)+AB326*AC326)/(IFERROR(T326,0)+IFERROR(W326,0)+IFERROR(Z326,0)+AC326),AB326))</f>
        <v/>
      </c>
      <c r="AE326" s="27" t="str">
        <f aca="false">IF(AB326="","",IF(U326="",0,U326)+IF(X326="",0,X326)+IF(AA326="",0,AA326)+IFERROR((AB326-K326)*IF(F326="Sell",-1,1)*R326*AC326*IF(ISNUMBER(SEARCH("JPY",E326)),1000,IF(ISNUMBER(SEARCH("XAU",E326)),100,IF(OR(ISNUMBER(SEARCH("30",E326)),ISNUMBER(SEARCH("500",E326)),ISNUMBER(SEARCH("100",E326))),100,100000))),0))</f>
        <v/>
      </c>
      <c r="AF326" s="31" t="str">
        <f aca="false">IF(OR(K326="",M326="",L326=""),"",IFERROR(ABS(M326-K326)/ABS(K326-L326),0))</f>
        <v/>
      </c>
      <c r="AG326" s="31" t="str">
        <f aca="false">IF(OR(AE326="",AE326=0,Q326=0,Q326=""),"",IFERROR(AE326/Q326,0))</f>
        <v/>
      </c>
      <c r="AH326" s="32" t="str">
        <f aca="false">IF(AB326="","Open",IF(AG326="","Open",IF(AG326&gt;0.1,"Win",IF(AG326&lt;-0.1,"Loss","Breakeven"))))</f>
        <v>Open</v>
      </c>
      <c r="AI326" s="33" t="str">
        <f aca="false">IF(OR(B326="",D326=""),"",D326-B326)</f>
        <v/>
      </c>
      <c r="AJ326" s="24" t="str">
        <f aca="false">IF(AD326="","",IFERROR((AD326-K326)*IF(F326="Sell",-1,1)/IF(ISNUMBER(SEARCH("JPY",E326)),0.01,IF(ISNUMBER(SEARCH("XAU",E326)),0.01,IF(OR(ISNUMBER(SEARCH("30",E326)),ISNUMBER(SEARCH("500",E326)),ISNUMBER(SEARCH("100",E326))),1,0.0001))),0))</f>
        <v/>
      </c>
      <c r="AK326" s="10"/>
      <c r="AL326" s="10"/>
      <c r="AM326" s="10"/>
      <c r="AN326" s="10"/>
      <c r="AO326" s="27" t="str">
        <f aca="false">IF(AE326="","",IFERROR(IF(AO325="",SETTINGS!$B$6,AO325),SETTINGS!$B$6)+IF(AE326="",0,AE326))</f>
        <v/>
      </c>
      <c r="AP326" s="2"/>
    </row>
    <row r="327" customFormat="false" ht="15" hidden="false" customHeight="false" outlineLevel="0" collapsed="false">
      <c r="A327" s="24" t="str">
        <f aca="false">IF(B327="","",ROW()-3)</f>
        <v/>
      </c>
      <c r="B327" s="34"/>
      <c r="C327" s="12"/>
      <c r="D327" s="34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35"/>
      <c r="P327" s="24" t="str">
        <f aca="false">IF(K327="","",IFERROR(ABS(K327-L327)/IF(ISNUMBER(SEARCH("JPY",E327)),0.01,IF(ISNUMBER(SEARCH("XAU",E327)),0.01,IF(OR(ISNUMBER(SEARCH("30",E327)),ISNUMBER(SEARCH("500",E327)),ISNUMBER(SEARCH("100",E327))),1,0.0001))),0))</f>
        <v/>
      </c>
      <c r="Q327" s="27" t="str">
        <f aca="false">IF(K327="","",SETTINGS!$B$6*O327)</f>
        <v/>
      </c>
      <c r="R327" s="24" t="str">
        <f aca="false">IF(K327="","",IFERROR(Q327/(P327*IF(ISNUMBER(SEARCH("JPY",E327)),9.09,IF(ISNUMBER(SEARCH("XAU",E327)),1,IF(OR(ISNUMBER(SEARCH("30",E327)),ISNUMBER(SEARCH("500",E327)),ISNUMBER(SEARCH("100",E327))),1,10)))),0))</f>
        <v/>
      </c>
      <c r="S327" s="12"/>
      <c r="T327" s="36"/>
      <c r="U327" s="27" t="str">
        <f aca="false">IF(OR(S327="",T327=0),"",IFERROR((S327-K327)*IF(F327="Sell",-1,1)*R327*T327*IF(ISNUMBER(SEARCH("JPY",E327)),1000,IF(ISNUMBER(SEARCH("XAU",E327)),100,IF(OR(ISNUMBER(SEARCH("30",E327)),ISNUMBER(SEARCH("500",E327)),ISNUMBER(SEARCH("100",E327))),100,100000))),0))</f>
        <v/>
      </c>
      <c r="V327" s="12"/>
      <c r="W327" s="36"/>
      <c r="X327" s="27" t="str">
        <f aca="false">IF(OR(V327="",W327=0),"",IFERROR((V327-K327)*IF(F327="Sell",-1,1)*R327*W327*IF(ISNUMBER(SEARCH("JPY",E327)),1000,IF(ISNUMBER(SEARCH("XAU",E327)),100,IF(OR(ISNUMBER(SEARCH("30",E327)),ISNUMBER(SEARCH("500",E327)),ISNUMBER(SEARCH("100",E327))),100,100000))),0))</f>
        <v/>
      </c>
      <c r="Y327" s="12"/>
      <c r="Z327" s="36"/>
      <c r="AA327" s="27" t="str">
        <f aca="false">IF(OR(Y327="",Z327=0),"",IFERROR((Y327-K327)*IF(F327="Sell",-1,1)*R327*Z327*IF(ISNUMBER(SEARCH("JPY",E327)),1000,IF(ISNUMBER(SEARCH("XAU",E327)),100,IF(OR(ISNUMBER(SEARCH("30",E327)),ISNUMBER(SEARCH("500",E327)),ISNUMBER(SEARCH("100",E327))),100,100000))),0))</f>
        <v/>
      </c>
      <c r="AB327" s="12"/>
      <c r="AC327" s="29" t="str">
        <f aca="false">IF(K327="","",1-IFERROR(T327,0)-IFERROR(W327,0)-IFERROR(Z327,0))</f>
        <v/>
      </c>
      <c r="AD327" s="30" t="str">
        <f aca="false">IF(AB327="","",IFERROR((IFERROR(S327*T327,0)+IFERROR(V327*W327,0)+IFERROR(Y327*Z327,0)+AB327*AC327)/(IFERROR(T327,0)+IFERROR(W327,0)+IFERROR(Z327,0)+AC327),AB327))</f>
        <v/>
      </c>
      <c r="AE327" s="27" t="str">
        <f aca="false">IF(AB327="","",IF(U327="",0,U327)+IF(X327="",0,X327)+IF(AA327="",0,AA327)+IFERROR((AB327-K327)*IF(F327="Sell",-1,1)*R327*AC327*IF(ISNUMBER(SEARCH("JPY",E327)),1000,IF(ISNUMBER(SEARCH("XAU",E327)),100,IF(OR(ISNUMBER(SEARCH("30",E327)),ISNUMBER(SEARCH("500",E327)),ISNUMBER(SEARCH("100",E327))),100,100000))),0))</f>
        <v/>
      </c>
      <c r="AF327" s="31" t="str">
        <f aca="false">IF(OR(K327="",M327="",L327=""),"",IFERROR(ABS(M327-K327)/ABS(K327-L327),0))</f>
        <v/>
      </c>
      <c r="AG327" s="31" t="str">
        <f aca="false">IF(OR(AE327="",AE327=0,Q327=0,Q327=""),"",IFERROR(AE327/Q327,0))</f>
        <v/>
      </c>
      <c r="AH327" s="32" t="str">
        <f aca="false">IF(AB327="","Open",IF(AG327="","Open",IF(AG327&gt;0.1,"Win",IF(AG327&lt;-0.1,"Loss","Breakeven"))))</f>
        <v>Open</v>
      </c>
      <c r="AI327" s="33" t="str">
        <f aca="false">IF(OR(B327="",D327=""),"",D327-B327)</f>
        <v/>
      </c>
      <c r="AJ327" s="24" t="str">
        <f aca="false">IF(AD327="","",IFERROR((AD327-K327)*IF(F327="Sell",-1,1)/IF(ISNUMBER(SEARCH("JPY",E327)),0.01,IF(ISNUMBER(SEARCH("XAU",E327)),0.01,IF(OR(ISNUMBER(SEARCH("30",E327)),ISNUMBER(SEARCH("500",E327)),ISNUMBER(SEARCH("100",E327))),1,0.0001))),0))</f>
        <v/>
      </c>
      <c r="AK327" s="12"/>
      <c r="AL327" s="12"/>
      <c r="AM327" s="12"/>
      <c r="AN327" s="12"/>
      <c r="AO327" s="27" t="str">
        <f aca="false">IF(AE327="","",IFERROR(IF(AO326="",SETTINGS!$B$6,AO326),SETTINGS!$B$6)+IF(AE327="",0,AE327))</f>
        <v/>
      </c>
      <c r="AP327" s="2"/>
    </row>
    <row r="328" customFormat="false" ht="15" hidden="false" customHeight="false" outlineLevel="0" collapsed="false">
      <c r="A328" s="24" t="str">
        <f aca="false">IF(B328="","",ROW()-3)</f>
        <v/>
      </c>
      <c r="B328" s="25"/>
      <c r="C328" s="10"/>
      <c r="D328" s="25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26"/>
      <c r="P328" s="24" t="str">
        <f aca="false">IF(K328="","",IFERROR(ABS(K328-L328)/IF(ISNUMBER(SEARCH("JPY",E328)),0.01,IF(ISNUMBER(SEARCH("XAU",E328)),0.01,IF(OR(ISNUMBER(SEARCH("30",E328)),ISNUMBER(SEARCH("500",E328)),ISNUMBER(SEARCH("100",E328))),1,0.0001))),0))</f>
        <v/>
      </c>
      <c r="Q328" s="27" t="str">
        <f aca="false">IF(K328="","",SETTINGS!$B$6*O328)</f>
        <v/>
      </c>
      <c r="R328" s="24" t="str">
        <f aca="false">IF(K328="","",IFERROR(Q328/(P328*IF(ISNUMBER(SEARCH("JPY",E328)),9.09,IF(ISNUMBER(SEARCH("XAU",E328)),1,IF(OR(ISNUMBER(SEARCH("30",E328)),ISNUMBER(SEARCH("500",E328)),ISNUMBER(SEARCH("100",E328))),1,10)))),0))</f>
        <v/>
      </c>
      <c r="S328" s="10"/>
      <c r="T328" s="28"/>
      <c r="U328" s="27" t="str">
        <f aca="false">IF(OR(S328="",T328=0),"",IFERROR((S328-K328)*IF(F328="Sell",-1,1)*R328*T328*IF(ISNUMBER(SEARCH("JPY",E328)),1000,IF(ISNUMBER(SEARCH("XAU",E328)),100,IF(OR(ISNUMBER(SEARCH("30",E328)),ISNUMBER(SEARCH("500",E328)),ISNUMBER(SEARCH("100",E328))),100,100000))),0))</f>
        <v/>
      </c>
      <c r="V328" s="10"/>
      <c r="W328" s="28"/>
      <c r="X328" s="27" t="str">
        <f aca="false">IF(OR(V328="",W328=0),"",IFERROR((V328-K328)*IF(F328="Sell",-1,1)*R328*W328*IF(ISNUMBER(SEARCH("JPY",E328)),1000,IF(ISNUMBER(SEARCH("XAU",E328)),100,IF(OR(ISNUMBER(SEARCH("30",E328)),ISNUMBER(SEARCH("500",E328)),ISNUMBER(SEARCH("100",E328))),100,100000))),0))</f>
        <v/>
      </c>
      <c r="Y328" s="10"/>
      <c r="Z328" s="28"/>
      <c r="AA328" s="27" t="str">
        <f aca="false">IF(OR(Y328="",Z328=0),"",IFERROR((Y328-K328)*IF(F328="Sell",-1,1)*R328*Z328*IF(ISNUMBER(SEARCH("JPY",E328)),1000,IF(ISNUMBER(SEARCH("XAU",E328)),100,IF(OR(ISNUMBER(SEARCH("30",E328)),ISNUMBER(SEARCH("500",E328)),ISNUMBER(SEARCH("100",E328))),100,100000))),0))</f>
        <v/>
      </c>
      <c r="AB328" s="10"/>
      <c r="AC328" s="29" t="str">
        <f aca="false">IF(K328="","",1-IFERROR(T328,0)-IFERROR(W328,0)-IFERROR(Z328,0))</f>
        <v/>
      </c>
      <c r="AD328" s="30" t="str">
        <f aca="false">IF(AB328="","",IFERROR((IFERROR(S328*T328,0)+IFERROR(V328*W328,0)+IFERROR(Y328*Z328,0)+AB328*AC328)/(IFERROR(T328,0)+IFERROR(W328,0)+IFERROR(Z328,0)+AC328),AB328))</f>
        <v/>
      </c>
      <c r="AE328" s="27" t="str">
        <f aca="false">IF(AB328="","",IF(U328="",0,U328)+IF(X328="",0,X328)+IF(AA328="",0,AA328)+IFERROR((AB328-K328)*IF(F328="Sell",-1,1)*R328*AC328*IF(ISNUMBER(SEARCH("JPY",E328)),1000,IF(ISNUMBER(SEARCH("XAU",E328)),100,IF(OR(ISNUMBER(SEARCH("30",E328)),ISNUMBER(SEARCH("500",E328)),ISNUMBER(SEARCH("100",E328))),100,100000))),0))</f>
        <v/>
      </c>
      <c r="AF328" s="31" t="str">
        <f aca="false">IF(OR(K328="",M328="",L328=""),"",IFERROR(ABS(M328-K328)/ABS(K328-L328),0))</f>
        <v/>
      </c>
      <c r="AG328" s="31" t="str">
        <f aca="false">IF(OR(AE328="",AE328=0,Q328=0,Q328=""),"",IFERROR(AE328/Q328,0))</f>
        <v/>
      </c>
      <c r="AH328" s="32" t="str">
        <f aca="false">IF(AB328="","Open",IF(AG328="","Open",IF(AG328&gt;0.1,"Win",IF(AG328&lt;-0.1,"Loss","Breakeven"))))</f>
        <v>Open</v>
      </c>
      <c r="AI328" s="33" t="str">
        <f aca="false">IF(OR(B328="",D328=""),"",D328-B328)</f>
        <v/>
      </c>
      <c r="AJ328" s="24" t="str">
        <f aca="false">IF(AD328="","",IFERROR((AD328-K328)*IF(F328="Sell",-1,1)/IF(ISNUMBER(SEARCH("JPY",E328)),0.01,IF(ISNUMBER(SEARCH("XAU",E328)),0.01,IF(OR(ISNUMBER(SEARCH("30",E328)),ISNUMBER(SEARCH("500",E328)),ISNUMBER(SEARCH("100",E328))),1,0.0001))),0))</f>
        <v/>
      </c>
      <c r="AK328" s="10"/>
      <c r="AL328" s="10"/>
      <c r="AM328" s="10"/>
      <c r="AN328" s="10"/>
      <c r="AO328" s="27" t="str">
        <f aca="false">IF(AE328="","",IFERROR(IF(AO327="",SETTINGS!$B$6,AO327),SETTINGS!$B$6)+IF(AE328="",0,AE328))</f>
        <v/>
      </c>
      <c r="AP328" s="2"/>
    </row>
    <row r="329" customFormat="false" ht="15" hidden="false" customHeight="false" outlineLevel="0" collapsed="false">
      <c r="A329" s="24" t="str">
        <f aca="false">IF(B329="","",ROW()-3)</f>
        <v/>
      </c>
      <c r="B329" s="34"/>
      <c r="C329" s="12"/>
      <c r="D329" s="34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35"/>
      <c r="P329" s="24" t="str">
        <f aca="false">IF(K329="","",IFERROR(ABS(K329-L329)/IF(ISNUMBER(SEARCH("JPY",E329)),0.01,IF(ISNUMBER(SEARCH("XAU",E329)),0.01,IF(OR(ISNUMBER(SEARCH("30",E329)),ISNUMBER(SEARCH("500",E329)),ISNUMBER(SEARCH("100",E329))),1,0.0001))),0))</f>
        <v/>
      </c>
      <c r="Q329" s="27" t="str">
        <f aca="false">IF(K329="","",SETTINGS!$B$6*O329)</f>
        <v/>
      </c>
      <c r="R329" s="24" t="str">
        <f aca="false">IF(K329="","",IFERROR(Q329/(P329*IF(ISNUMBER(SEARCH("JPY",E329)),9.09,IF(ISNUMBER(SEARCH("XAU",E329)),1,IF(OR(ISNUMBER(SEARCH("30",E329)),ISNUMBER(SEARCH("500",E329)),ISNUMBER(SEARCH("100",E329))),1,10)))),0))</f>
        <v/>
      </c>
      <c r="S329" s="12"/>
      <c r="T329" s="36"/>
      <c r="U329" s="27" t="str">
        <f aca="false">IF(OR(S329="",T329=0),"",IFERROR((S329-K329)*IF(F329="Sell",-1,1)*R329*T329*IF(ISNUMBER(SEARCH("JPY",E329)),1000,IF(ISNUMBER(SEARCH("XAU",E329)),100,IF(OR(ISNUMBER(SEARCH("30",E329)),ISNUMBER(SEARCH("500",E329)),ISNUMBER(SEARCH("100",E329))),100,100000))),0))</f>
        <v/>
      </c>
      <c r="V329" s="12"/>
      <c r="W329" s="36"/>
      <c r="X329" s="27" t="str">
        <f aca="false">IF(OR(V329="",W329=0),"",IFERROR((V329-K329)*IF(F329="Sell",-1,1)*R329*W329*IF(ISNUMBER(SEARCH("JPY",E329)),1000,IF(ISNUMBER(SEARCH("XAU",E329)),100,IF(OR(ISNUMBER(SEARCH("30",E329)),ISNUMBER(SEARCH("500",E329)),ISNUMBER(SEARCH("100",E329))),100,100000))),0))</f>
        <v/>
      </c>
      <c r="Y329" s="12"/>
      <c r="Z329" s="36"/>
      <c r="AA329" s="27" t="str">
        <f aca="false">IF(OR(Y329="",Z329=0),"",IFERROR((Y329-K329)*IF(F329="Sell",-1,1)*R329*Z329*IF(ISNUMBER(SEARCH("JPY",E329)),1000,IF(ISNUMBER(SEARCH("XAU",E329)),100,IF(OR(ISNUMBER(SEARCH("30",E329)),ISNUMBER(SEARCH("500",E329)),ISNUMBER(SEARCH("100",E329))),100,100000))),0))</f>
        <v/>
      </c>
      <c r="AB329" s="12"/>
      <c r="AC329" s="29" t="str">
        <f aca="false">IF(K329="","",1-IFERROR(T329,0)-IFERROR(W329,0)-IFERROR(Z329,0))</f>
        <v/>
      </c>
      <c r="AD329" s="30" t="str">
        <f aca="false">IF(AB329="","",IFERROR((IFERROR(S329*T329,0)+IFERROR(V329*W329,0)+IFERROR(Y329*Z329,0)+AB329*AC329)/(IFERROR(T329,0)+IFERROR(W329,0)+IFERROR(Z329,0)+AC329),AB329))</f>
        <v/>
      </c>
      <c r="AE329" s="27" t="str">
        <f aca="false">IF(AB329="","",IF(U329="",0,U329)+IF(X329="",0,X329)+IF(AA329="",0,AA329)+IFERROR((AB329-K329)*IF(F329="Sell",-1,1)*R329*AC329*IF(ISNUMBER(SEARCH("JPY",E329)),1000,IF(ISNUMBER(SEARCH("XAU",E329)),100,IF(OR(ISNUMBER(SEARCH("30",E329)),ISNUMBER(SEARCH("500",E329)),ISNUMBER(SEARCH("100",E329))),100,100000))),0))</f>
        <v/>
      </c>
      <c r="AF329" s="31" t="str">
        <f aca="false">IF(OR(K329="",M329="",L329=""),"",IFERROR(ABS(M329-K329)/ABS(K329-L329),0))</f>
        <v/>
      </c>
      <c r="AG329" s="31" t="str">
        <f aca="false">IF(OR(AE329="",AE329=0,Q329=0,Q329=""),"",IFERROR(AE329/Q329,0))</f>
        <v/>
      </c>
      <c r="AH329" s="32" t="str">
        <f aca="false">IF(AB329="","Open",IF(AG329="","Open",IF(AG329&gt;0.1,"Win",IF(AG329&lt;-0.1,"Loss","Breakeven"))))</f>
        <v>Open</v>
      </c>
      <c r="AI329" s="33" t="str">
        <f aca="false">IF(OR(B329="",D329=""),"",D329-B329)</f>
        <v/>
      </c>
      <c r="AJ329" s="24" t="str">
        <f aca="false">IF(AD329="","",IFERROR((AD329-K329)*IF(F329="Sell",-1,1)/IF(ISNUMBER(SEARCH("JPY",E329)),0.01,IF(ISNUMBER(SEARCH("XAU",E329)),0.01,IF(OR(ISNUMBER(SEARCH("30",E329)),ISNUMBER(SEARCH("500",E329)),ISNUMBER(SEARCH("100",E329))),1,0.0001))),0))</f>
        <v/>
      </c>
      <c r="AK329" s="12"/>
      <c r="AL329" s="12"/>
      <c r="AM329" s="12"/>
      <c r="AN329" s="12"/>
      <c r="AO329" s="27" t="str">
        <f aca="false">IF(AE329="","",IFERROR(IF(AO328="",SETTINGS!$B$6,AO328),SETTINGS!$B$6)+IF(AE329="",0,AE329))</f>
        <v/>
      </c>
      <c r="AP329" s="2"/>
    </row>
    <row r="330" customFormat="false" ht="15" hidden="false" customHeight="false" outlineLevel="0" collapsed="false">
      <c r="A330" s="24" t="str">
        <f aca="false">IF(B330="","",ROW()-3)</f>
        <v/>
      </c>
      <c r="B330" s="25"/>
      <c r="C330" s="10"/>
      <c r="D330" s="25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26"/>
      <c r="P330" s="24" t="str">
        <f aca="false">IF(K330="","",IFERROR(ABS(K330-L330)/IF(ISNUMBER(SEARCH("JPY",E330)),0.01,IF(ISNUMBER(SEARCH("XAU",E330)),0.01,IF(OR(ISNUMBER(SEARCH("30",E330)),ISNUMBER(SEARCH("500",E330)),ISNUMBER(SEARCH("100",E330))),1,0.0001))),0))</f>
        <v/>
      </c>
      <c r="Q330" s="27" t="str">
        <f aca="false">IF(K330="","",SETTINGS!$B$6*O330)</f>
        <v/>
      </c>
      <c r="R330" s="24" t="str">
        <f aca="false">IF(K330="","",IFERROR(Q330/(P330*IF(ISNUMBER(SEARCH("JPY",E330)),9.09,IF(ISNUMBER(SEARCH("XAU",E330)),1,IF(OR(ISNUMBER(SEARCH("30",E330)),ISNUMBER(SEARCH("500",E330)),ISNUMBER(SEARCH("100",E330))),1,10)))),0))</f>
        <v/>
      </c>
      <c r="S330" s="10"/>
      <c r="T330" s="28"/>
      <c r="U330" s="27" t="str">
        <f aca="false">IF(OR(S330="",T330=0),"",IFERROR((S330-K330)*IF(F330="Sell",-1,1)*R330*T330*IF(ISNUMBER(SEARCH("JPY",E330)),1000,IF(ISNUMBER(SEARCH("XAU",E330)),100,IF(OR(ISNUMBER(SEARCH("30",E330)),ISNUMBER(SEARCH("500",E330)),ISNUMBER(SEARCH("100",E330))),100,100000))),0))</f>
        <v/>
      </c>
      <c r="V330" s="10"/>
      <c r="W330" s="28"/>
      <c r="X330" s="27" t="str">
        <f aca="false">IF(OR(V330="",W330=0),"",IFERROR((V330-K330)*IF(F330="Sell",-1,1)*R330*W330*IF(ISNUMBER(SEARCH("JPY",E330)),1000,IF(ISNUMBER(SEARCH("XAU",E330)),100,IF(OR(ISNUMBER(SEARCH("30",E330)),ISNUMBER(SEARCH("500",E330)),ISNUMBER(SEARCH("100",E330))),100,100000))),0))</f>
        <v/>
      </c>
      <c r="Y330" s="10"/>
      <c r="Z330" s="28"/>
      <c r="AA330" s="27" t="str">
        <f aca="false">IF(OR(Y330="",Z330=0),"",IFERROR((Y330-K330)*IF(F330="Sell",-1,1)*R330*Z330*IF(ISNUMBER(SEARCH("JPY",E330)),1000,IF(ISNUMBER(SEARCH("XAU",E330)),100,IF(OR(ISNUMBER(SEARCH("30",E330)),ISNUMBER(SEARCH("500",E330)),ISNUMBER(SEARCH("100",E330))),100,100000))),0))</f>
        <v/>
      </c>
      <c r="AB330" s="10"/>
      <c r="AC330" s="29" t="str">
        <f aca="false">IF(K330="","",1-IFERROR(T330,0)-IFERROR(W330,0)-IFERROR(Z330,0))</f>
        <v/>
      </c>
      <c r="AD330" s="30" t="str">
        <f aca="false">IF(AB330="","",IFERROR((IFERROR(S330*T330,0)+IFERROR(V330*W330,0)+IFERROR(Y330*Z330,0)+AB330*AC330)/(IFERROR(T330,0)+IFERROR(W330,0)+IFERROR(Z330,0)+AC330),AB330))</f>
        <v/>
      </c>
      <c r="AE330" s="27" t="str">
        <f aca="false">IF(AB330="","",IF(U330="",0,U330)+IF(X330="",0,X330)+IF(AA330="",0,AA330)+IFERROR((AB330-K330)*IF(F330="Sell",-1,1)*R330*AC330*IF(ISNUMBER(SEARCH("JPY",E330)),1000,IF(ISNUMBER(SEARCH("XAU",E330)),100,IF(OR(ISNUMBER(SEARCH("30",E330)),ISNUMBER(SEARCH("500",E330)),ISNUMBER(SEARCH("100",E330))),100,100000))),0))</f>
        <v/>
      </c>
      <c r="AF330" s="31" t="str">
        <f aca="false">IF(OR(K330="",M330="",L330=""),"",IFERROR(ABS(M330-K330)/ABS(K330-L330),0))</f>
        <v/>
      </c>
      <c r="AG330" s="31" t="str">
        <f aca="false">IF(OR(AE330="",AE330=0,Q330=0,Q330=""),"",IFERROR(AE330/Q330,0))</f>
        <v/>
      </c>
      <c r="AH330" s="32" t="str">
        <f aca="false">IF(AB330="","Open",IF(AG330="","Open",IF(AG330&gt;0.1,"Win",IF(AG330&lt;-0.1,"Loss","Breakeven"))))</f>
        <v>Open</v>
      </c>
      <c r="AI330" s="33" t="str">
        <f aca="false">IF(OR(B330="",D330=""),"",D330-B330)</f>
        <v/>
      </c>
      <c r="AJ330" s="24" t="str">
        <f aca="false">IF(AD330="","",IFERROR((AD330-K330)*IF(F330="Sell",-1,1)/IF(ISNUMBER(SEARCH("JPY",E330)),0.01,IF(ISNUMBER(SEARCH("XAU",E330)),0.01,IF(OR(ISNUMBER(SEARCH("30",E330)),ISNUMBER(SEARCH("500",E330)),ISNUMBER(SEARCH("100",E330))),1,0.0001))),0))</f>
        <v/>
      </c>
      <c r="AK330" s="10"/>
      <c r="AL330" s="10"/>
      <c r="AM330" s="10"/>
      <c r="AN330" s="10"/>
      <c r="AO330" s="27" t="str">
        <f aca="false">IF(AE330="","",IFERROR(IF(AO329="",SETTINGS!$B$6,AO329),SETTINGS!$B$6)+IF(AE330="",0,AE330))</f>
        <v/>
      </c>
      <c r="AP330" s="2"/>
    </row>
    <row r="331" customFormat="false" ht="15" hidden="false" customHeight="false" outlineLevel="0" collapsed="false">
      <c r="A331" s="24" t="str">
        <f aca="false">IF(B331="","",ROW()-3)</f>
        <v/>
      </c>
      <c r="B331" s="34"/>
      <c r="C331" s="12"/>
      <c r="D331" s="34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35"/>
      <c r="P331" s="24" t="str">
        <f aca="false">IF(K331="","",IFERROR(ABS(K331-L331)/IF(ISNUMBER(SEARCH("JPY",E331)),0.01,IF(ISNUMBER(SEARCH("XAU",E331)),0.01,IF(OR(ISNUMBER(SEARCH("30",E331)),ISNUMBER(SEARCH("500",E331)),ISNUMBER(SEARCH("100",E331))),1,0.0001))),0))</f>
        <v/>
      </c>
      <c r="Q331" s="27" t="str">
        <f aca="false">IF(K331="","",SETTINGS!$B$6*O331)</f>
        <v/>
      </c>
      <c r="R331" s="24" t="str">
        <f aca="false">IF(K331="","",IFERROR(Q331/(P331*IF(ISNUMBER(SEARCH("JPY",E331)),9.09,IF(ISNUMBER(SEARCH("XAU",E331)),1,IF(OR(ISNUMBER(SEARCH("30",E331)),ISNUMBER(SEARCH("500",E331)),ISNUMBER(SEARCH("100",E331))),1,10)))),0))</f>
        <v/>
      </c>
      <c r="S331" s="12"/>
      <c r="T331" s="36"/>
      <c r="U331" s="27" t="str">
        <f aca="false">IF(OR(S331="",T331=0),"",IFERROR((S331-K331)*IF(F331="Sell",-1,1)*R331*T331*IF(ISNUMBER(SEARCH("JPY",E331)),1000,IF(ISNUMBER(SEARCH("XAU",E331)),100,IF(OR(ISNUMBER(SEARCH("30",E331)),ISNUMBER(SEARCH("500",E331)),ISNUMBER(SEARCH("100",E331))),100,100000))),0))</f>
        <v/>
      </c>
      <c r="V331" s="12"/>
      <c r="W331" s="36"/>
      <c r="X331" s="27" t="str">
        <f aca="false">IF(OR(V331="",W331=0),"",IFERROR((V331-K331)*IF(F331="Sell",-1,1)*R331*W331*IF(ISNUMBER(SEARCH("JPY",E331)),1000,IF(ISNUMBER(SEARCH("XAU",E331)),100,IF(OR(ISNUMBER(SEARCH("30",E331)),ISNUMBER(SEARCH("500",E331)),ISNUMBER(SEARCH("100",E331))),100,100000))),0))</f>
        <v/>
      </c>
      <c r="Y331" s="12"/>
      <c r="Z331" s="36"/>
      <c r="AA331" s="27" t="str">
        <f aca="false">IF(OR(Y331="",Z331=0),"",IFERROR((Y331-K331)*IF(F331="Sell",-1,1)*R331*Z331*IF(ISNUMBER(SEARCH("JPY",E331)),1000,IF(ISNUMBER(SEARCH("XAU",E331)),100,IF(OR(ISNUMBER(SEARCH("30",E331)),ISNUMBER(SEARCH("500",E331)),ISNUMBER(SEARCH("100",E331))),100,100000))),0))</f>
        <v/>
      </c>
      <c r="AB331" s="12"/>
      <c r="AC331" s="29" t="str">
        <f aca="false">IF(K331="","",1-IFERROR(T331,0)-IFERROR(W331,0)-IFERROR(Z331,0))</f>
        <v/>
      </c>
      <c r="AD331" s="30" t="str">
        <f aca="false">IF(AB331="","",IFERROR((IFERROR(S331*T331,0)+IFERROR(V331*W331,0)+IFERROR(Y331*Z331,0)+AB331*AC331)/(IFERROR(T331,0)+IFERROR(W331,0)+IFERROR(Z331,0)+AC331),AB331))</f>
        <v/>
      </c>
      <c r="AE331" s="27" t="str">
        <f aca="false">IF(AB331="","",IF(U331="",0,U331)+IF(X331="",0,X331)+IF(AA331="",0,AA331)+IFERROR((AB331-K331)*IF(F331="Sell",-1,1)*R331*AC331*IF(ISNUMBER(SEARCH("JPY",E331)),1000,IF(ISNUMBER(SEARCH("XAU",E331)),100,IF(OR(ISNUMBER(SEARCH("30",E331)),ISNUMBER(SEARCH("500",E331)),ISNUMBER(SEARCH("100",E331))),100,100000))),0))</f>
        <v/>
      </c>
      <c r="AF331" s="31" t="str">
        <f aca="false">IF(OR(K331="",M331="",L331=""),"",IFERROR(ABS(M331-K331)/ABS(K331-L331),0))</f>
        <v/>
      </c>
      <c r="AG331" s="31" t="str">
        <f aca="false">IF(OR(AE331="",AE331=0,Q331=0,Q331=""),"",IFERROR(AE331/Q331,0))</f>
        <v/>
      </c>
      <c r="AH331" s="32" t="str">
        <f aca="false">IF(AB331="","Open",IF(AG331="","Open",IF(AG331&gt;0.1,"Win",IF(AG331&lt;-0.1,"Loss","Breakeven"))))</f>
        <v>Open</v>
      </c>
      <c r="AI331" s="33" t="str">
        <f aca="false">IF(OR(B331="",D331=""),"",D331-B331)</f>
        <v/>
      </c>
      <c r="AJ331" s="24" t="str">
        <f aca="false">IF(AD331="","",IFERROR((AD331-K331)*IF(F331="Sell",-1,1)/IF(ISNUMBER(SEARCH("JPY",E331)),0.01,IF(ISNUMBER(SEARCH("XAU",E331)),0.01,IF(OR(ISNUMBER(SEARCH("30",E331)),ISNUMBER(SEARCH("500",E331)),ISNUMBER(SEARCH("100",E331))),1,0.0001))),0))</f>
        <v/>
      </c>
      <c r="AK331" s="12"/>
      <c r="AL331" s="12"/>
      <c r="AM331" s="12"/>
      <c r="AN331" s="12"/>
      <c r="AO331" s="27" t="str">
        <f aca="false">IF(AE331="","",IFERROR(IF(AO330="",SETTINGS!$B$6,AO330),SETTINGS!$B$6)+IF(AE331="",0,AE331))</f>
        <v/>
      </c>
      <c r="AP331" s="2"/>
    </row>
    <row r="332" customFormat="false" ht="15" hidden="false" customHeight="false" outlineLevel="0" collapsed="false">
      <c r="A332" s="24" t="str">
        <f aca="false">IF(B332="","",ROW()-3)</f>
        <v/>
      </c>
      <c r="B332" s="25"/>
      <c r="C332" s="10"/>
      <c r="D332" s="25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26"/>
      <c r="P332" s="24" t="str">
        <f aca="false">IF(K332="","",IFERROR(ABS(K332-L332)/IF(ISNUMBER(SEARCH("JPY",E332)),0.01,IF(ISNUMBER(SEARCH("XAU",E332)),0.01,IF(OR(ISNUMBER(SEARCH("30",E332)),ISNUMBER(SEARCH("500",E332)),ISNUMBER(SEARCH("100",E332))),1,0.0001))),0))</f>
        <v/>
      </c>
      <c r="Q332" s="27" t="str">
        <f aca="false">IF(K332="","",SETTINGS!$B$6*O332)</f>
        <v/>
      </c>
      <c r="R332" s="24" t="str">
        <f aca="false">IF(K332="","",IFERROR(Q332/(P332*IF(ISNUMBER(SEARCH("JPY",E332)),9.09,IF(ISNUMBER(SEARCH("XAU",E332)),1,IF(OR(ISNUMBER(SEARCH("30",E332)),ISNUMBER(SEARCH("500",E332)),ISNUMBER(SEARCH("100",E332))),1,10)))),0))</f>
        <v/>
      </c>
      <c r="S332" s="10"/>
      <c r="T332" s="28"/>
      <c r="U332" s="27" t="str">
        <f aca="false">IF(OR(S332="",T332=0),"",IFERROR((S332-K332)*IF(F332="Sell",-1,1)*R332*T332*IF(ISNUMBER(SEARCH("JPY",E332)),1000,IF(ISNUMBER(SEARCH("XAU",E332)),100,IF(OR(ISNUMBER(SEARCH("30",E332)),ISNUMBER(SEARCH("500",E332)),ISNUMBER(SEARCH("100",E332))),100,100000))),0))</f>
        <v/>
      </c>
      <c r="V332" s="10"/>
      <c r="W332" s="28"/>
      <c r="X332" s="27" t="str">
        <f aca="false">IF(OR(V332="",W332=0),"",IFERROR((V332-K332)*IF(F332="Sell",-1,1)*R332*W332*IF(ISNUMBER(SEARCH("JPY",E332)),1000,IF(ISNUMBER(SEARCH("XAU",E332)),100,IF(OR(ISNUMBER(SEARCH("30",E332)),ISNUMBER(SEARCH("500",E332)),ISNUMBER(SEARCH("100",E332))),100,100000))),0))</f>
        <v/>
      </c>
      <c r="Y332" s="10"/>
      <c r="Z332" s="28"/>
      <c r="AA332" s="27" t="str">
        <f aca="false">IF(OR(Y332="",Z332=0),"",IFERROR((Y332-K332)*IF(F332="Sell",-1,1)*R332*Z332*IF(ISNUMBER(SEARCH("JPY",E332)),1000,IF(ISNUMBER(SEARCH("XAU",E332)),100,IF(OR(ISNUMBER(SEARCH("30",E332)),ISNUMBER(SEARCH("500",E332)),ISNUMBER(SEARCH("100",E332))),100,100000))),0))</f>
        <v/>
      </c>
      <c r="AB332" s="10"/>
      <c r="AC332" s="29" t="str">
        <f aca="false">IF(K332="","",1-IFERROR(T332,0)-IFERROR(W332,0)-IFERROR(Z332,0))</f>
        <v/>
      </c>
      <c r="AD332" s="30" t="str">
        <f aca="false">IF(AB332="","",IFERROR((IFERROR(S332*T332,0)+IFERROR(V332*W332,0)+IFERROR(Y332*Z332,0)+AB332*AC332)/(IFERROR(T332,0)+IFERROR(W332,0)+IFERROR(Z332,0)+AC332),AB332))</f>
        <v/>
      </c>
      <c r="AE332" s="27" t="str">
        <f aca="false">IF(AB332="","",IF(U332="",0,U332)+IF(X332="",0,X332)+IF(AA332="",0,AA332)+IFERROR((AB332-K332)*IF(F332="Sell",-1,1)*R332*AC332*IF(ISNUMBER(SEARCH("JPY",E332)),1000,IF(ISNUMBER(SEARCH("XAU",E332)),100,IF(OR(ISNUMBER(SEARCH("30",E332)),ISNUMBER(SEARCH("500",E332)),ISNUMBER(SEARCH("100",E332))),100,100000))),0))</f>
        <v/>
      </c>
      <c r="AF332" s="31" t="str">
        <f aca="false">IF(OR(K332="",M332="",L332=""),"",IFERROR(ABS(M332-K332)/ABS(K332-L332),0))</f>
        <v/>
      </c>
      <c r="AG332" s="31" t="str">
        <f aca="false">IF(OR(AE332="",AE332=0,Q332=0,Q332=""),"",IFERROR(AE332/Q332,0))</f>
        <v/>
      </c>
      <c r="AH332" s="32" t="str">
        <f aca="false">IF(AB332="","Open",IF(AG332="","Open",IF(AG332&gt;0.1,"Win",IF(AG332&lt;-0.1,"Loss","Breakeven"))))</f>
        <v>Open</v>
      </c>
      <c r="AI332" s="33" t="str">
        <f aca="false">IF(OR(B332="",D332=""),"",D332-B332)</f>
        <v/>
      </c>
      <c r="AJ332" s="24" t="str">
        <f aca="false">IF(AD332="","",IFERROR((AD332-K332)*IF(F332="Sell",-1,1)/IF(ISNUMBER(SEARCH("JPY",E332)),0.01,IF(ISNUMBER(SEARCH("XAU",E332)),0.01,IF(OR(ISNUMBER(SEARCH("30",E332)),ISNUMBER(SEARCH("500",E332)),ISNUMBER(SEARCH("100",E332))),1,0.0001))),0))</f>
        <v/>
      </c>
      <c r="AK332" s="10"/>
      <c r="AL332" s="10"/>
      <c r="AM332" s="10"/>
      <c r="AN332" s="10"/>
      <c r="AO332" s="27" t="str">
        <f aca="false">IF(AE332="","",IFERROR(IF(AO331="",SETTINGS!$B$6,AO331),SETTINGS!$B$6)+IF(AE332="",0,AE332))</f>
        <v/>
      </c>
      <c r="AP332" s="2"/>
    </row>
    <row r="333" customFormat="false" ht="15" hidden="false" customHeight="false" outlineLevel="0" collapsed="false">
      <c r="A333" s="24" t="str">
        <f aca="false">IF(B333="","",ROW()-3)</f>
        <v/>
      </c>
      <c r="B333" s="34"/>
      <c r="C333" s="12"/>
      <c r="D333" s="34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35"/>
      <c r="P333" s="24" t="str">
        <f aca="false">IF(K333="","",IFERROR(ABS(K333-L333)/IF(ISNUMBER(SEARCH("JPY",E333)),0.01,IF(ISNUMBER(SEARCH("XAU",E333)),0.01,IF(OR(ISNUMBER(SEARCH("30",E333)),ISNUMBER(SEARCH("500",E333)),ISNUMBER(SEARCH("100",E333))),1,0.0001))),0))</f>
        <v/>
      </c>
      <c r="Q333" s="27" t="str">
        <f aca="false">IF(K333="","",SETTINGS!$B$6*O333)</f>
        <v/>
      </c>
      <c r="R333" s="24" t="str">
        <f aca="false">IF(K333="","",IFERROR(Q333/(P333*IF(ISNUMBER(SEARCH("JPY",E333)),9.09,IF(ISNUMBER(SEARCH("XAU",E333)),1,IF(OR(ISNUMBER(SEARCH("30",E333)),ISNUMBER(SEARCH("500",E333)),ISNUMBER(SEARCH("100",E333))),1,10)))),0))</f>
        <v/>
      </c>
      <c r="S333" s="12"/>
      <c r="T333" s="36"/>
      <c r="U333" s="27" t="str">
        <f aca="false">IF(OR(S333="",T333=0),"",IFERROR((S333-K333)*IF(F333="Sell",-1,1)*R333*T333*IF(ISNUMBER(SEARCH("JPY",E333)),1000,IF(ISNUMBER(SEARCH("XAU",E333)),100,IF(OR(ISNUMBER(SEARCH("30",E333)),ISNUMBER(SEARCH("500",E333)),ISNUMBER(SEARCH("100",E333))),100,100000))),0))</f>
        <v/>
      </c>
      <c r="V333" s="12"/>
      <c r="W333" s="36"/>
      <c r="X333" s="27" t="str">
        <f aca="false">IF(OR(V333="",W333=0),"",IFERROR((V333-K333)*IF(F333="Sell",-1,1)*R333*W333*IF(ISNUMBER(SEARCH("JPY",E333)),1000,IF(ISNUMBER(SEARCH("XAU",E333)),100,IF(OR(ISNUMBER(SEARCH("30",E333)),ISNUMBER(SEARCH("500",E333)),ISNUMBER(SEARCH("100",E333))),100,100000))),0))</f>
        <v/>
      </c>
      <c r="Y333" s="12"/>
      <c r="Z333" s="36"/>
      <c r="AA333" s="27" t="str">
        <f aca="false">IF(OR(Y333="",Z333=0),"",IFERROR((Y333-K333)*IF(F333="Sell",-1,1)*R333*Z333*IF(ISNUMBER(SEARCH("JPY",E333)),1000,IF(ISNUMBER(SEARCH("XAU",E333)),100,IF(OR(ISNUMBER(SEARCH("30",E333)),ISNUMBER(SEARCH("500",E333)),ISNUMBER(SEARCH("100",E333))),100,100000))),0))</f>
        <v/>
      </c>
      <c r="AB333" s="12"/>
      <c r="AC333" s="29" t="str">
        <f aca="false">IF(K333="","",1-IFERROR(T333,0)-IFERROR(W333,0)-IFERROR(Z333,0))</f>
        <v/>
      </c>
      <c r="AD333" s="30" t="str">
        <f aca="false">IF(AB333="","",IFERROR((IFERROR(S333*T333,0)+IFERROR(V333*W333,0)+IFERROR(Y333*Z333,0)+AB333*AC333)/(IFERROR(T333,0)+IFERROR(W333,0)+IFERROR(Z333,0)+AC333),AB333))</f>
        <v/>
      </c>
      <c r="AE333" s="27" t="str">
        <f aca="false">IF(AB333="","",IF(U333="",0,U333)+IF(X333="",0,X333)+IF(AA333="",0,AA333)+IFERROR((AB333-K333)*IF(F333="Sell",-1,1)*R333*AC333*IF(ISNUMBER(SEARCH("JPY",E333)),1000,IF(ISNUMBER(SEARCH("XAU",E333)),100,IF(OR(ISNUMBER(SEARCH("30",E333)),ISNUMBER(SEARCH("500",E333)),ISNUMBER(SEARCH("100",E333))),100,100000))),0))</f>
        <v/>
      </c>
      <c r="AF333" s="31" t="str">
        <f aca="false">IF(OR(K333="",M333="",L333=""),"",IFERROR(ABS(M333-K333)/ABS(K333-L333),0))</f>
        <v/>
      </c>
      <c r="AG333" s="31" t="str">
        <f aca="false">IF(OR(AE333="",AE333=0,Q333=0,Q333=""),"",IFERROR(AE333/Q333,0))</f>
        <v/>
      </c>
      <c r="AH333" s="32" t="str">
        <f aca="false">IF(AB333="","Open",IF(AG333="","Open",IF(AG333&gt;0.1,"Win",IF(AG333&lt;-0.1,"Loss","Breakeven"))))</f>
        <v>Open</v>
      </c>
      <c r="AI333" s="33" t="str">
        <f aca="false">IF(OR(B333="",D333=""),"",D333-B333)</f>
        <v/>
      </c>
      <c r="AJ333" s="24" t="str">
        <f aca="false">IF(AD333="","",IFERROR((AD333-K333)*IF(F333="Sell",-1,1)/IF(ISNUMBER(SEARCH("JPY",E333)),0.01,IF(ISNUMBER(SEARCH("XAU",E333)),0.01,IF(OR(ISNUMBER(SEARCH("30",E333)),ISNUMBER(SEARCH("500",E333)),ISNUMBER(SEARCH("100",E333))),1,0.0001))),0))</f>
        <v/>
      </c>
      <c r="AK333" s="12"/>
      <c r="AL333" s="12"/>
      <c r="AM333" s="12"/>
      <c r="AN333" s="12"/>
      <c r="AO333" s="27" t="str">
        <f aca="false">IF(AE333="","",IFERROR(IF(AO332="",SETTINGS!$B$6,AO332),SETTINGS!$B$6)+IF(AE333="",0,AE333))</f>
        <v/>
      </c>
      <c r="AP333" s="2"/>
    </row>
    <row r="334" customFormat="false" ht="15" hidden="false" customHeight="false" outlineLevel="0" collapsed="false">
      <c r="A334" s="24" t="str">
        <f aca="false">IF(B334="","",ROW()-3)</f>
        <v/>
      </c>
      <c r="B334" s="25"/>
      <c r="C334" s="10"/>
      <c r="D334" s="25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26"/>
      <c r="P334" s="24" t="str">
        <f aca="false">IF(K334="","",IFERROR(ABS(K334-L334)/IF(ISNUMBER(SEARCH("JPY",E334)),0.01,IF(ISNUMBER(SEARCH("XAU",E334)),0.01,IF(OR(ISNUMBER(SEARCH("30",E334)),ISNUMBER(SEARCH("500",E334)),ISNUMBER(SEARCH("100",E334))),1,0.0001))),0))</f>
        <v/>
      </c>
      <c r="Q334" s="27" t="str">
        <f aca="false">IF(K334="","",SETTINGS!$B$6*O334)</f>
        <v/>
      </c>
      <c r="R334" s="24" t="str">
        <f aca="false">IF(K334="","",IFERROR(Q334/(P334*IF(ISNUMBER(SEARCH("JPY",E334)),9.09,IF(ISNUMBER(SEARCH("XAU",E334)),1,IF(OR(ISNUMBER(SEARCH("30",E334)),ISNUMBER(SEARCH("500",E334)),ISNUMBER(SEARCH("100",E334))),1,10)))),0))</f>
        <v/>
      </c>
      <c r="S334" s="10"/>
      <c r="T334" s="28"/>
      <c r="U334" s="27" t="str">
        <f aca="false">IF(OR(S334="",T334=0),"",IFERROR((S334-K334)*IF(F334="Sell",-1,1)*R334*T334*IF(ISNUMBER(SEARCH("JPY",E334)),1000,IF(ISNUMBER(SEARCH("XAU",E334)),100,IF(OR(ISNUMBER(SEARCH("30",E334)),ISNUMBER(SEARCH("500",E334)),ISNUMBER(SEARCH("100",E334))),100,100000))),0))</f>
        <v/>
      </c>
      <c r="V334" s="10"/>
      <c r="W334" s="28"/>
      <c r="X334" s="27" t="str">
        <f aca="false">IF(OR(V334="",W334=0),"",IFERROR((V334-K334)*IF(F334="Sell",-1,1)*R334*W334*IF(ISNUMBER(SEARCH("JPY",E334)),1000,IF(ISNUMBER(SEARCH("XAU",E334)),100,IF(OR(ISNUMBER(SEARCH("30",E334)),ISNUMBER(SEARCH("500",E334)),ISNUMBER(SEARCH("100",E334))),100,100000))),0))</f>
        <v/>
      </c>
      <c r="Y334" s="10"/>
      <c r="Z334" s="28"/>
      <c r="AA334" s="27" t="str">
        <f aca="false">IF(OR(Y334="",Z334=0),"",IFERROR((Y334-K334)*IF(F334="Sell",-1,1)*R334*Z334*IF(ISNUMBER(SEARCH("JPY",E334)),1000,IF(ISNUMBER(SEARCH("XAU",E334)),100,IF(OR(ISNUMBER(SEARCH("30",E334)),ISNUMBER(SEARCH("500",E334)),ISNUMBER(SEARCH("100",E334))),100,100000))),0))</f>
        <v/>
      </c>
      <c r="AB334" s="10"/>
      <c r="AC334" s="29" t="str">
        <f aca="false">IF(K334="","",1-IFERROR(T334,0)-IFERROR(W334,0)-IFERROR(Z334,0))</f>
        <v/>
      </c>
      <c r="AD334" s="30" t="str">
        <f aca="false">IF(AB334="","",IFERROR((IFERROR(S334*T334,0)+IFERROR(V334*W334,0)+IFERROR(Y334*Z334,0)+AB334*AC334)/(IFERROR(T334,0)+IFERROR(W334,0)+IFERROR(Z334,0)+AC334),AB334))</f>
        <v/>
      </c>
      <c r="AE334" s="27" t="str">
        <f aca="false">IF(AB334="","",IF(U334="",0,U334)+IF(X334="",0,X334)+IF(AA334="",0,AA334)+IFERROR((AB334-K334)*IF(F334="Sell",-1,1)*R334*AC334*IF(ISNUMBER(SEARCH("JPY",E334)),1000,IF(ISNUMBER(SEARCH("XAU",E334)),100,IF(OR(ISNUMBER(SEARCH("30",E334)),ISNUMBER(SEARCH("500",E334)),ISNUMBER(SEARCH("100",E334))),100,100000))),0))</f>
        <v/>
      </c>
      <c r="AF334" s="31" t="str">
        <f aca="false">IF(OR(K334="",M334="",L334=""),"",IFERROR(ABS(M334-K334)/ABS(K334-L334),0))</f>
        <v/>
      </c>
      <c r="AG334" s="31" t="str">
        <f aca="false">IF(OR(AE334="",AE334=0,Q334=0,Q334=""),"",IFERROR(AE334/Q334,0))</f>
        <v/>
      </c>
      <c r="AH334" s="32" t="str">
        <f aca="false">IF(AB334="","Open",IF(AG334="","Open",IF(AG334&gt;0.1,"Win",IF(AG334&lt;-0.1,"Loss","Breakeven"))))</f>
        <v>Open</v>
      </c>
      <c r="AI334" s="33" t="str">
        <f aca="false">IF(OR(B334="",D334=""),"",D334-B334)</f>
        <v/>
      </c>
      <c r="AJ334" s="24" t="str">
        <f aca="false">IF(AD334="","",IFERROR((AD334-K334)*IF(F334="Sell",-1,1)/IF(ISNUMBER(SEARCH("JPY",E334)),0.01,IF(ISNUMBER(SEARCH("XAU",E334)),0.01,IF(OR(ISNUMBER(SEARCH("30",E334)),ISNUMBER(SEARCH("500",E334)),ISNUMBER(SEARCH("100",E334))),1,0.0001))),0))</f>
        <v/>
      </c>
      <c r="AK334" s="10"/>
      <c r="AL334" s="10"/>
      <c r="AM334" s="10"/>
      <c r="AN334" s="10"/>
      <c r="AO334" s="27" t="str">
        <f aca="false">IF(AE334="","",IFERROR(IF(AO333="",SETTINGS!$B$6,AO333),SETTINGS!$B$6)+IF(AE334="",0,AE334))</f>
        <v/>
      </c>
      <c r="AP334" s="2"/>
    </row>
    <row r="335" customFormat="false" ht="15" hidden="false" customHeight="false" outlineLevel="0" collapsed="false">
      <c r="A335" s="24" t="str">
        <f aca="false">IF(B335="","",ROW()-3)</f>
        <v/>
      </c>
      <c r="B335" s="34"/>
      <c r="C335" s="12"/>
      <c r="D335" s="34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35"/>
      <c r="P335" s="24" t="str">
        <f aca="false">IF(K335="","",IFERROR(ABS(K335-L335)/IF(ISNUMBER(SEARCH("JPY",E335)),0.01,IF(ISNUMBER(SEARCH("XAU",E335)),0.01,IF(OR(ISNUMBER(SEARCH("30",E335)),ISNUMBER(SEARCH("500",E335)),ISNUMBER(SEARCH("100",E335))),1,0.0001))),0))</f>
        <v/>
      </c>
      <c r="Q335" s="27" t="str">
        <f aca="false">IF(K335="","",SETTINGS!$B$6*O335)</f>
        <v/>
      </c>
      <c r="R335" s="24" t="str">
        <f aca="false">IF(K335="","",IFERROR(Q335/(P335*IF(ISNUMBER(SEARCH("JPY",E335)),9.09,IF(ISNUMBER(SEARCH("XAU",E335)),1,IF(OR(ISNUMBER(SEARCH("30",E335)),ISNUMBER(SEARCH("500",E335)),ISNUMBER(SEARCH("100",E335))),1,10)))),0))</f>
        <v/>
      </c>
      <c r="S335" s="12"/>
      <c r="T335" s="36"/>
      <c r="U335" s="27" t="str">
        <f aca="false">IF(OR(S335="",T335=0),"",IFERROR((S335-K335)*IF(F335="Sell",-1,1)*R335*T335*IF(ISNUMBER(SEARCH("JPY",E335)),1000,IF(ISNUMBER(SEARCH("XAU",E335)),100,IF(OR(ISNUMBER(SEARCH("30",E335)),ISNUMBER(SEARCH("500",E335)),ISNUMBER(SEARCH("100",E335))),100,100000))),0))</f>
        <v/>
      </c>
      <c r="V335" s="12"/>
      <c r="W335" s="36"/>
      <c r="X335" s="27" t="str">
        <f aca="false">IF(OR(V335="",W335=0),"",IFERROR((V335-K335)*IF(F335="Sell",-1,1)*R335*W335*IF(ISNUMBER(SEARCH("JPY",E335)),1000,IF(ISNUMBER(SEARCH("XAU",E335)),100,IF(OR(ISNUMBER(SEARCH("30",E335)),ISNUMBER(SEARCH("500",E335)),ISNUMBER(SEARCH("100",E335))),100,100000))),0))</f>
        <v/>
      </c>
      <c r="Y335" s="12"/>
      <c r="Z335" s="36"/>
      <c r="AA335" s="27" t="str">
        <f aca="false">IF(OR(Y335="",Z335=0),"",IFERROR((Y335-K335)*IF(F335="Sell",-1,1)*R335*Z335*IF(ISNUMBER(SEARCH("JPY",E335)),1000,IF(ISNUMBER(SEARCH("XAU",E335)),100,IF(OR(ISNUMBER(SEARCH("30",E335)),ISNUMBER(SEARCH("500",E335)),ISNUMBER(SEARCH("100",E335))),100,100000))),0))</f>
        <v/>
      </c>
      <c r="AB335" s="12"/>
      <c r="AC335" s="29" t="str">
        <f aca="false">IF(K335="","",1-IFERROR(T335,0)-IFERROR(W335,0)-IFERROR(Z335,0))</f>
        <v/>
      </c>
      <c r="AD335" s="30" t="str">
        <f aca="false">IF(AB335="","",IFERROR((IFERROR(S335*T335,0)+IFERROR(V335*W335,0)+IFERROR(Y335*Z335,0)+AB335*AC335)/(IFERROR(T335,0)+IFERROR(W335,0)+IFERROR(Z335,0)+AC335),AB335))</f>
        <v/>
      </c>
      <c r="AE335" s="27" t="str">
        <f aca="false">IF(AB335="","",IF(U335="",0,U335)+IF(X335="",0,X335)+IF(AA335="",0,AA335)+IFERROR((AB335-K335)*IF(F335="Sell",-1,1)*R335*AC335*IF(ISNUMBER(SEARCH("JPY",E335)),1000,IF(ISNUMBER(SEARCH("XAU",E335)),100,IF(OR(ISNUMBER(SEARCH("30",E335)),ISNUMBER(SEARCH("500",E335)),ISNUMBER(SEARCH("100",E335))),100,100000))),0))</f>
        <v/>
      </c>
      <c r="AF335" s="31" t="str">
        <f aca="false">IF(OR(K335="",M335="",L335=""),"",IFERROR(ABS(M335-K335)/ABS(K335-L335),0))</f>
        <v/>
      </c>
      <c r="AG335" s="31" t="str">
        <f aca="false">IF(OR(AE335="",AE335=0,Q335=0,Q335=""),"",IFERROR(AE335/Q335,0))</f>
        <v/>
      </c>
      <c r="AH335" s="32" t="str">
        <f aca="false">IF(AB335="","Open",IF(AG335="","Open",IF(AG335&gt;0.1,"Win",IF(AG335&lt;-0.1,"Loss","Breakeven"))))</f>
        <v>Open</v>
      </c>
      <c r="AI335" s="33" t="str">
        <f aca="false">IF(OR(B335="",D335=""),"",D335-B335)</f>
        <v/>
      </c>
      <c r="AJ335" s="24" t="str">
        <f aca="false">IF(AD335="","",IFERROR((AD335-K335)*IF(F335="Sell",-1,1)/IF(ISNUMBER(SEARCH("JPY",E335)),0.01,IF(ISNUMBER(SEARCH("XAU",E335)),0.01,IF(OR(ISNUMBER(SEARCH("30",E335)),ISNUMBER(SEARCH("500",E335)),ISNUMBER(SEARCH("100",E335))),1,0.0001))),0))</f>
        <v/>
      </c>
      <c r="AK335" s="12"/>
      <c r="AL335" s="12"/>
      <c r="AM335" s="12"/>
      <c r="AN335" s="12"/>
      <c r="AO335" s="27" t="str">
        <f aca="false">IF(AE335="","",IFERROR(IF(AO334="",SETTINGS!$B$6,AO334),SETTINGS!$B$6)+IF(AE335="",0,AE335))</f>
        <v/>
      </c>
      <c r="AP335" s="2"/>
    </row>
    <row r="336" customFormat="false" ht="15" hidden="false" customHeight="false" outlineLevel="0" collapsed="false">
      <c r="A336" s="24" t="str">
        <f aca="false">IF(B336="","",ROW()-3)</f>
        <v/>
      </c>
      <c r="B336" s="25"/>
      <c r="C336" s="10"/>
      <c r="D336" s="25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26"/>
      <c r="P336" s="24" t="str">
        <f aca="false">IF(K336="","",IFERROR(ABS(K336-L336)/IF(ISNUMBER(SEARCH("JPY",E336)),0.01,IF(ISNUMBER(SEARCH("XAU",E336)),0.01,IF(OR(ISNUMBER(SEARCH("30",E336)),ISNUMBER(SEARCH("500",E336)),ISNUMBER(SEARCH("100",E336))),1,0.0001))),0))</f>
        <v/>
      </c>
      <c r="Q336" s="27" t="str">
        <f aca="false">IF(K336="","",SETTINGS!$B$6*O336)</f>
        <v/>
      </c>
      <c r="R336" s="24" t="str">
        <f aca="false">IF(K336="","",IFERROR(Q336/(P336*IF(ISNUMBER(SEARCH("JPY",E336)),9.09,IF(ISNUMBER(SEARCH("XAU",E336)),1,IF(OR(ISNUMBER(SEARCH("30",E336)),ISNUMBER(SEARCH("500",E336)),ISNUMBER(SEARCH("100",E336))),1,10)))),0))</f>
        <v/>
      </c>
      <c r="S336" s="10"/>
      <c r="T336" s="28"/>
      <c r="U336" s="27" t="str">
        <f aca="false">IF(OR(S336="",T336=0),"",IFERROR((S336-K336)*IF(F336="Sell",-1,1)*R336*T336*IF(ISNUMBER(SEARCH("JPY",E336)),1000,IF(ISNUMBER(SEARCH("XAU",E336)),100,IF(OR(ISNUMBER(SEARCH("30",E336)),ISNUMBER(SEARCH("500",E336)),ISNUMBER(SEARCH("100",E336))),100,100000))),0))</f>
        <v/>
      </c>
      <c r="V336" s="10"/>
      <c r="W336" s="28"/>
      <c r="X336" s="27" t="str">
        <f aca="false">IF(OR(V336="",W336=0),"",IFERROR((V336-K336)*IF(F336="Sell",-1,1)*R336*W336*IF(ISNUMBER(SEARCH("JPY",E336)),1000,IF(ISNUMBER(SEARCH("XAU",E336)),100,IF(OR(ISNUMBER(SEARCH("30",E336)),ISNUMBER(SEARCH("500",E336)),ISNUMBER(SEARCH("100",E336))),100,100000))),0))</f>
        <v/>
      </c>
      <c r="Y336" s="10"/>
      <c r="Z336" s="28"/>
      <c r="AA336" s="27" t="str">
        <f aca="false">IF(OR(Y336="",Z336=0),"",IFERROR((Y336-K336)*IF(F336="Sell",-1,1)*R336*Z336*IF(ISNUMBER(SEARCH("JPY",E336)),1000,IF(ISNUMBER(SEARCH("XAU",E336)),100,IF(OR(ISNUMBER(SEARCH("30",E336)),ISNUMBER(SEARCH("500",E336)),ISNUMBER(SEARCH("100",E336))),100,100000))),0))</f>
        <v/>
      </c>
      <c r="AB336" s="10"/>
      <c r="AC336" s="29" t="str">
        <f aca="false">IF(K336="","",1-IFERROR(T336,0)-IFERROR(W336,0)-IFERROR(Z336,0))</f>
        <v/>
      </c>
      <c r="AD336" s="30" t="str">
        <f aca="false">IF(AB336="","",IFERROR((IFERROR(S336*T336,0)+IFERROR(V336*W336,0)+IFERROR(Y336*Z336,0)+AB336*AC336)/(IFERROR(T336,0)+IFERROR(W336,0)+IFERROR(Z336,0)+AC336),AB336))</f>
        <v/>
      </c>
      <c r="AE336" s="27" t="str">
        <f aca="false">IF(AB336="","",IF(U336="",0,U336)+IF(X336="",0,X336)+IF(AA336="",0,AA336)+IFERROR((AB336-K336)*IF(F336="Sell",-1,1)*R336*AC336*IF(ISNUMBER(SEARCH("JPY",E336)),1000,IF(ISNUMBER(SEARCH("XAU",E336)),100,IF(OR(ISNUMBER(SEARCH("30",E336)),ISNUMBER(SEARCH("500",E336)),ISNUMBER(SEARCH("100",E336))),100,100000))),0))</f>
        <v/>
      </c>
      <c r="AF336" s="31" t="str">
        <f aca="false">IF(OR(K336="",M336="",L336=""),"",IFERROR(ABS(M336-K336)/ABS(K336-L336),0))</f>
        <v/>
      </c>
      <c r="AG336" s="31" t="str">
        <f aca="false">IF(OR(AE336="",AE336=0,Q336=0,Q336=""),"",IFERROR(AE336/Q336,0))</f>
        <v/>
      </c>
      <c r="AH336" s="32" t="str">
        <f aca="false">IF(AB336="","Open",IF(AG336="","Open",IF(AG336&gt;0.1,"Win",IF(AG336&lt;-0.1,"Loss","Breakeven"))))</f>
        <v>Open</v>
      </c>
      <c r="AI336" s="33" t="str">
        <f aca="false">IF(OR(B336="",D336=""),"",D336-B336)</f>
        <v/>
      </c>
      <c r="AJ336" s="24" t="str">
        <f aca="false">IF(AD336="","",IFERROR((AD336-K336)*IF(F336="Sell",-1,1)/IF(ISNUMBER(SEARCH("JPY",E336)),0.01,IF(ISNUMBER(SEARCH("XAU",E336)),0.01,IF(OR(ISNUMBER(SEARCH("30",E336)),ISNUMBER(SEARCH("500",E336)),ISNUMBER(SEARCH("100",E336))),1,0.0001))),0))</f>
        <v/>
      </c>
      <c r="AK336" s="10"/>
      <c r="AL336" s="10"/>
      <c r="AM336" s="10"/>
      <c r="AN336" s="10"/>
      <c r="AO336" s="27" t="str">
        <f aca="false">IF(AE336="","",IFERROR(IF(AO335="",SETTINGS!$B$6,AO335),SETTINGS!$B$6)+IF(AE336="",0,AE336))</f>
        <v/>
      </c>
      <c r="AP336" s="2"/>
    </row>
    <row r="337" customFormat="false" ht="15" hidden="false" customHeight="false" outlineLevel="0" collapsed="false">
      <c r="A337" s="24" t="str">
        <f aca="false">IF(B337="","",ROW()-3)</f>
        <v/>
      </c>
      <c r="B337" s="34"/>
      <c r="C337" s="12"/>
      <c r="D337" s="34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35"/>
      <c r="P337" s="24" t="str">
        <f aca="false">IF(K337="","",IFERROR(ABS(K337-L337)/IF(ISNUMBER(SEARCH("JPY",E337)),0.01,IF(ISNUMBER(SEARCH("XAU",E337)),0.01,IF(OR(ISNUMBER(SEARCH("30",E337)),ISNUMBER(SEARCH("500",E337)),ISNUMBER(SEARCH("100",E337))),1,0.0001))),0))</f>
        <v/>
      </c>
      <c r="Q337" s="27" t="str">
        <f aca="false">IF(K337="","",SETTINGS!$B$6*O337)</f>
        <v/>
      </c>
      <c r="R337" s="24" t="str">
        <f aca="false">IF(K337="","",IFERROR(Q337/(P337*IF(ISNUMBER(SEARCH("JPY",E337)),9.09,IF(ISNUMBER(SEARCH("XAU",E337)),1,IF(OR(ISNUMBER(SEARCH("30",E337)),ISNUMBER(SEARCH("500",E337)),ISNUMBER(SEARCH("100",E337))),1,10)))),0))</f>
        <v/>
      </c>
      <c r="S337" s="12"/>
      <c r="T337" s="36"/>
      <c r="U337" s="27" t="str">
        <f aca="false">IF(OR(S337="",T337=0),"",IFERROR((S337-K337)*IF(F337="Sell",-1,1)*R337*T337*IF(ISNUMBER(SEARCH("JPY",E337)),1000,IF(ISNUMBER(SEARCH("XAU",E337)),100,IF(OR(ISNUMBER(SEARCH("30",E337)),ISNUMBER(SEARCH("500",E337)),ISNUMBER(SEARCH("100",E337))),100,100000))),0))</f>
        <v/>
      </c>
      <c r="V337" s="12"/>
      <c r="W337" s="36"/>
      <c r="X337" s="27" t="str">
        <f aca="false">IF(OR(V337="",W337=0),"",IFERROR((V337-K337)*IF(F337="Sell",-1,1)*R337*W337*IF(ISNUMBER(SEARCH("JPY",E337)),1000,IF(ISNUMBER(SEARCH("XAU",E337)),100,IF(OR(ISNUMBER(SEARCH("30",E337)),ISNUMBER(SEARCH("500",E337)),ISNUMBER(SEARCH("100",E337))),100,100000))),0))</f>
        <v/>
      </c>
      <c r="Y337" s="12"/>
      <c r="Z337" s="36"/>
      <c r="AA337" s="27" t="str">
        <f aca="false">IF(OR(Y337="",Z337=0),"",IFERROR((Y337-K337)*IF(F337="Sell",-1,1)*R337*Z337*IF(ISNUMBER(SEARCH("JPY",E337)),1000,IF(ISNUMBER(SEARCH("XAU",E337)),100,IF(OR(ISNUMBER(SEARCH("30",E337)),ISNUMBER(SEARCH("500",E337)),ISNUMBER(SEARCH("100",E337))),100,100000))),0))</f>
        <v/>
      </c>
      <c r="AB337" s="12"/>
      <c r="AC337" s="29" t="str">
        <f aca="false">IF(K337="","",1-IFERROR(T337,0)-IFERROR(W337,0)-IFERROR(Z337,0))</f>
        <v/>
      </c>
      <c r="AD337" s="30" t="str">
        <f aca="false">IF(AB337="","",IFERROR((IFERROR(S337*T337,0)+IFERROR(V337*W337,0)+IFERROR(Y337*Z337,0)+AB337*AC337)/(IFERROR(T337,0)+IFERROR(W337,0)+IFERROR(Z337,0)+AC337),AB337))</f>
        <v/>
      </c>
      <c r="AE337" s="27" t="str">
        <f aca="false">IF(AB337="","",IF(U337="",0,U337)+IF(X337="",0,X337)+IF(AA337="",0,AA337)+IFERROR((AB337-K337)*IF(F337="Sell",-1,1)*R337*AC337*IF(ISNUMBER(SEARCH("JPY",E337)),1000,IF(ISNUMBER(SEARCH("XAU",E337)),100,IF(OR(ISNUMBER(SEARCH("30",E337)),ISNUMBER(SEARCH("500",E337)),ISNUMBER(SEARCH("100",E337))),100,100000))),0))</f>
        <v/>
      </c>
      <c r="AF337" s="31" t="str">
        <f aca="false">IF(OR(K337="",M337="",L337=""),"",IFERROR(ABS(M337-K337)/ABS(K337-L337),0))</f>
        <v/>
      </c>
      <c r="AG337" s="31" t="str">
        <f aca="false">IF(OR(AE337="",AE337=0,Q337=0,Q337=""),"",IFERROR(AE337/Q337,0))</f>
        <v/>
      </c>
      <c r="AH337" s="32" t="str">
        <f aca="false">IF(AB337="","Open",IF(AG337="","Open",IF(AG337&gt;0.1,"Win",IF(AG337&lt;-0.1,"Loss","Breakeven"))))</f>
        <v>Open</v>
      </c>
      <c r="AI337" s="33" t="str">
        <f aca="false">IF(OR(B337="",D337=""),"",D337-B337)</f>
        <v/>
      </c>
      <c r="AJ337" s="24" t="str">
        <f aca="false">IF(AD337="","",IFERROR((AD337-K337)*IF(F337="Sell",-1,1)/IF(ISNUMBER(SEARCH("JPY",E337)),0.01,IF(ISNUMBER(SEARCH("XAU",E337)),0.01,IF(OR(ISNUMBER(SEARCH("30",E337)),ISNUMBER(SEARCH("500",E337)),ISNUMBER(SEARCH("100",E337))),1,0.0001))),0))</f>
        <v/>
      </c>
      <c r="AK337" s="12"/>
      <c r="AL337" s="12"/>
      <c r="AM337" s="12"/>
      <c r="AN337" s="12"/>
      <c r="AO337" s="27" t="str">
        <f aca="false">IF(AE337="","",IFERROR(IF(AO336="",SETTINGS!$B$6,AO336),SETTINGS!$B$6)+IF(AE337="",0,AE337))</f>
        <v/>
      </c>
      <c r="AP337" s="2"/>
    </row>
    <row r="338" customFormat="false" ht="15" hidden="false" customHeight="false" outlineLevel="0" collapsed="false">
      <c r="A338" s="24" t="str">
        <f aca="false">IF(B338="","",ROW()-3)</f>
        <v/>
      </c>
      <c r="B338" s="25"/>
      <c r="C338" s="10"/>
      <c r="D338" s="25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26"/>
      <c r="P338" s="24" t="str">
        <f aca="false">IF(K338="","",IFERROR(ABS(K338-L338)/IF(ISNUMBER(SEARCH("JPY",E338)),0.01,IF(ISNUMBER(SEARCH("XAU",E338)),0.01,IF(OR(ISNUMBER(SEARCH("30",E338)),ISNUMBER(SEARCH("500",E338)),ISNUMBER(SEARCH("100",E338))),1,0.0001))),0))</f>
        <v/>
      </c>
      <c r="Q338" s="27" t="str">
        <f aca="false">IF(K338="","",SETTINGS!$B$6*O338)</f>
        <v/>
      </c>
      <c r="R338" s="24" t="str">
        <f aca="false">IF(K338="","",IFERROR(Q338/(P338*IF(ISNUMBER(SEARCH("JPY",E338)),9.09,IF(ISNUMBER(SEARCH("XAU",E338)),1,IF(OR(ISNUMBER(SEARCH("30",E338)),ISNUMBER(SEARCH("500",E338)),ISNUMBER(SEARCH("100",E338))),1,10)))),0))</f>
        <v/>
      </c>
      <c r="S338" s="10"/>
      <c r="T338" s="28"/>
      <c r="U338" s="27" t="str">
        <f aca="false">IF(OR(S338="",T338=0),"",IFERROR((S338-K338)*IF(F338="Sell",-1,1)*R338*T338*IF(ISNUMBER(SEARCH("JPY",E338)),1000,IF(ISNUMBER(SEARCH("XAU",E338)),100,IF(OR(ISNUMBER(SEARCH("30",E338)),ISNUMBER(SEARCH("500",E338)),ISNUMBER(SEARCH("100",E338))),100,100000))),0))</f>
        <v/>
      </c>
      <c r="V338" s="10"/>
      <c r="W338" s="28"/>
      <c r="X338" s="27" t="str">
        <f aca="false">IF(OR(V338="",W338=0),"",IFERROR((V338-K338)*IF(F338="Sell",-1,1)*R338*W338*IF(ISNUMBER(SEARCH("JPY",E338)),1000,IF(ISNUMBER(SEARCH("XAU",E338)),100,IF(OR(ISNUMBER(SEARCH("30",E338)),ISNUMBER(SEARCH("500",E338)),ISNUMBER(SEARCH("100",E338))),100,100000))),0))</f>
        <v/>
      </c>
      <c r="Y338" s="10"/>
      <c r="Z338" s="28"/>
      <c r="AA338" s="27" t="str">
        <f aca="false">IF(OR(Y338="",Z338=0),"",IFERROR((Y338-K338)*IF(F338="Sell",-1,1)*R338*Z338*IF(ISNUMBER(SEARCH("JPY",E338)),1000,IF(ISNUMBER(SEARCH("XAU",E338)),100,IF(OR(ISNUMBER(SEARCH("30",E338)),ISNUMBER(SEARCH("500",E338)),ISNUMBER(SEARCH("100",E338))),100,100000))),0))</f>
        <v/>
      </c>
      <c r="AB338" s="10"/>
      <c r="AC338" s="29" t="str">
        <f aca="false">IF(K338="","",1-IFERROR(T338,0)-IFERROR(W338,0)-IFERROR(Z338,0))</f>
        <v/>
      </c>
      <c r="AD338" s="30" t="str">
        <f aca="false">IF(AB338="","",IFERROR((IFERROR(S338*T338,0)+IFERROR(V338*W338,0)+IFERROR(Y338*Z338,0)+AB338*AC338)/(IFERROR(T338,0)+IFERROR(W338,0)+IFERROR(Z338,0)+AC338),AB338))</f>
        <v/>
      </c>
      <c r="AE338" s="27" t="str">
        <f aca="false">IF(AB338="","",IF(U338="",0,U338)+IF(X338="",0,X338)+IF(AA338="",0,AA338)+IFERROR((AB338-K338)*IF(F338="Sell",-1,1)*R338*AC338*IF(ISNUMBER(SEARCH("JPY",E338)),1000,IF(ISNUMBER(SEARCH("XAU",E338)),100,IF(OR(ISNUMBER(SEARCH("30",E338)),ISNUMBER(SEARCH("500",E338)),ISNUMBER(SEARCH("100",E338))),100,100000))),0))</f>
        <v/>
      </c>
      <c r="AF338" s="31" t="str">
        <f aca="false">IF(OR(K338="",M338="",L338=""),"",IFERROR(ABS(M338-K338)/ABS(K338-L338),0))</f>
        <v/>
      </c>
      <c r="AG338" s="31" t="str">
        <f aca="false">IF(OR(AE338="",AE338=0,Q338=0,Q338=""),"",IFERROR(AE338/Q338,0))</f>
        <v/>
      </c>
      <c r="AH338" s="32" t="str">
        <f aca="false">IF(AB338="","Open",IF(AG338="","Open",IF(AG338&gt;0.1,"Win",IF(AG338&lt;-0.1,"Loss","Breakeven"))))</f>
        <v>Open</v>
      </c>
      <c r="AI338" s="33" t="str">
        <f aca="false">IF(OR(B338="",D338=""),"",D338-B338)</f>
        <v/>
      </c>
      <c r="AJ338" s="24" t="str">
        <f aca="false">IF(AD338="","",IFERROR((AD338-K338)*IF(F338="Sell",-1,1)/IF(ISNUMBER(SEARCH("JPY",E338)),0.01,IF(ISNUMBER(SEARCH("XAU",E338)),0.01,IF(OR(ISNUMBER(SEARCH("30",E338)),ISNUMBER(SEARCH("500",E338)),ISNUMBER(SEARCH("100",E338))),1,0.0001))),0))</f>
        <v/>
      </c>
      <c r="AK338" s="10"/>
      <c r="AL338" s="10"/>
      <c r="AM338" s="10"/>
      <c r="AN338" s="10"/>
      <c r="AO338" s="27" t="str">
        <f aca="false">IF(AE338="","",IFERROR(IF(AO337="",SETTINGS!$B$6,AO337),SETTINGS!$B$6)+IF(AE338="",0,AE338))</f>
        <v/>
      </c>
      <c r="AP338" s="2"/>
    </row>
    <row r="339" customFormat="false" ht="15" hidden="false" customHeight="false" outlineLevel="0" collapsed="false">
      <c r="A339" s="24" t="str">
        <f aca="false">IF(B339="","",ROW()-3)</f>
        <v/>
      </c>
      <c r="B339" s="34"/>
      <c r="C339" s="12"/>
      <c r="D339" s="34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35"/>
      <c r="P339" s="24" t="str">
        <f aca="false">IF(K339="","",IFERROR(ABS(K339-L339)/IF(ISNUMBER(SEARCH("JPY",E339)),0.01,IF(ISNUMBER(SEARCH("XAU",E339)),0.01,IF(OR(ISNUMBER(SEARCH("30",E339)),ISNUMBER(SEARCH("500",E339)),ISNUMBER(SEARCH("100",E339))),1,0.0001))),0))</f>
        <v/>
      </c>
      <c r="Q339" s="27" t="str">
        <f aca="false">IF(K339="","",SETTINGS!$B$6*O339)</f>
        <v/>
      </c>
      <c r="R339" s="24" t="str">
        <f aca="false">IF(K339="","",IFERROR(Q339/(P339*IF(ISNUMBER(SEARCH("JPY",E339)),9.09,IF(ISNUMBER(SEARCH("XAU",E339)),1,IF(OR(ISNUMBER(SEARCH("30",E339)),ISNUMBER(SEARCH("500",E339)),ISNUMBER(SEARCH("100",E339))),1,10)))),0))</f>
        <v/>
      </c>
      <c r="S339" s="12"/>
      <c r="T339" s="36"/>
      <c r="U339" s="27" t="str">
        <f aca="false">IF(OR(S339="",T339=0),"",IFERROR((S339-K339)*IF(F339="Sell",-1,1)*R339*T339*IF(ISNUMBER(SEARCH("JPY",E339)),1000,IF(ISNUMBER(SEARCH("XAU",E339)),100,IF(OR(ISNUMBER(SEARCH("30",E339)),ISNUMBER(SEARCH("500",E339)),ISNUMBER(SEARCH("100",E339))),100,100000))),0))</f>
        <v/>
      </c>
      <c r="V339" s="12"/>
      <c r="W339" s="36"/>
      <c r="X339" s="27" t="str">
        <f aca="false">IF(OR(V339="",W339=0),"",IFERROR((V339-K339)*IF(F339="Sell",-1,1)*R339*W339*IF(ISNUMBER(SEARCH("JPY",E339)),1000,IF(ISNUMBER(SEARCH("XAU",E339)),100,IF(OR(ISNUMBER(SEARCH("30",E339)),ISNUMBER(SEARCH("500",E339)),ISNUMBER(SEARCH("100",E339))),100,100000))),0))</f>
        <v/>
      </c>
      <c r="Y339" s="12"/>
      <c r="Z339" s="36"/>
      <c r="AA339" s="27" t="str">
        <f aca="false">IF(OR(Y339="",Z339=0),"",IFERROR((Y339-K339)*IF(F339="Sell",-1,1)*R339*Z339*IF(ISNUMBER(SEARCH("JPY",E339)),1000,IF(ISNUMBER(SEARCH("XAU",E339)),100,IF(OR(ISNUMBER(SEARCH("30",E339)),ISNUMBER(SEARCH("500",E339)),ISNUMBER(SEARCH("100",E339))),100,100000))),0))</f>
        <v/>
      </c>
      <c r="AB339" s="12"/>
      <c r="AC339" s="29" t="str">
        <f aca="false">IF(K339="","",1-IFERROR(T339,0)-IFERROR(W339,0)-IFERROR(Z339,0))</f>
        <v/>
      </c>
      <c r="AD339" s="30" t="str">
        <f aca="false">IF(AB339="","",IFERROR((IFERROR(S339*T339,0)+IFERROR(V339*W339,0)+IFERROR(Y339*Z339,0)+AB339*AC339)/(IFERROR(T339,0)+IFERROR(W339,0)+IFERROR(Z339,0)+AC339),AB339))</f>
        <v/>
      </c>
      <c r="AE339" s="27" t="str">
        <f aca="false">IF(AB339="","",IF(U339="",0,U339)+IF(X339="",0,X339)+IF(AA339="",0,AA339)+IFERROR((AB339-K339)*IF(F339="Sell",-1,1)*R339*AC339*IF(ISNUMBER(SEARCH("JPY",E339)),1000,IF(ISNUMBER(SEARCH("XAU",E339)),100,IF(OR(ISNUMBER(SEARCH("30",E339)),ISNUMBER(SEARCH("500",E339)),ISNUMBER(SEARCH("100",E339))),100,100000))),0))</f>
        <v/>
      </c>
      <c r="AF339" s="31" t="str">
        <f aca="false">IF(OR(K339="",M339="",L339=""),"",IFERROR(ABS(M339-K339)/ABS(K339-L339),0))</f>
        <v/>
      </c>
      <c r="AG339" s="31" t="str">
        <f aca="false">IF(OR(AE339="",AE339=0,Q339=0,Q339=""),"",IFERROR(AE339/Q339,0))</f>
        <v/>
      </c>
      <c r="AH339" s="32" t="str">
        <f aca="false">IF(AB339="","Open",IF(AG339="","Open",IF(AG339&gt;0.1,"Win",IF(AG339&lt;-0.1,"Loss","Breakeven"))))</f>
        <v>Open</v>
      </c>
      <c r="AI339" s="33" t="str">
        <f aca="false">IF(OR(B339="",D339=""),"",D339-B339)</f>
        <v/>
      </c>
      <c r="AJ339" s="24" t="str">
        <f aca="false">IF(AD339="","",IFERROR((AD339-K339)*IF(F339="Sell",-1,1)/IF(ISNUMBER(SEARCH("JPY",E339)),0.01,IF(ISNUMBER(SEARCH("XAU",E339)),0.01,IF(OR(ISNUMBER(SEARCH("30",E339)),ISNUMBER(SEARCH("500",E339)),ISNUMBER(SEARCH("100",E339))),1,0.0001))),0))</f>
        <v/>
      </c>
      <c r="AK339" s="12"/>
      <c r="AL339" s="12"/>
      <c r="AM339" s="12"/>
      <c r="AN339" s="12"/>
      <c r="AO339" s="27" t="str">
        <f aca="false">IF(AE339="","",IFERROR(IF(AO338="",SETTINGS!$B$6,AO338),SETTINGS!$B$6)+IF(AE339="",0,AE339))</f>
        <v/>
      </c>
      <c r="AP339" s="2"/>
    </row>
    <row r="340" customFormat="false" ht="15" hidden="false" customHeight="false" outlineLevel="0" collapsed="false">
      <c r="A340" s="24" t="str">
        <f aca="false">IF(B340="","",ROW()-3)</f>
        <v/>
      </c>
      <c r="B340" s="25"/>
      <c r="C340" s="10"/>
      <c r="D340" s="25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26"/>
      <c r="P340" s="24" t="str">
        <f aca="false">IF(K340="","",IFERROR(ABS(K340-L340)/IF(ISNUMBER(SEARCH("JPY",E340)),0.01,IF(ISNUMBER(SEARCH("XAU",E340)),0.01,IF(OR(ISNUMBER(SEARCH("30",E340)),ISNUMBER(SEARCH("500",E340)),ISNUMBER(SEARCH("100",E340))),1,0.0001))),0))</f>
        <v/>
      </c>
      <c r="Q340" s="27" t="str">
        <f aca="false">IF(K340="","",SETTINGS!$B$6*O340)</f>
        <v/>
      </c>
      <c r="R340" s="24" t="str">
        <f aca="false">IF(K340="","",IFERROR(Q340/(P340*IF(ISNUMBER(SEARCH("JPY",E340)),9.09,IF(ISNUMBER(SEARCH("XAU",E340)),1,IF(OR(ISNUMBER(SEARCH("30",E340)),ISNUMBER(SEARCH("500",E340)),ISNUMBER(SEARCH("100",E340))),1,10)))),0))</f>
        <v/>
      </c>
      <c r="S340" s="10"/>
      <c r="T340" s="28"/>
      <c r="U340" s="27" t="str">
        <f aca="false">IF(OR(S340="",T340=0),"",IFERROR((S340-K340)*IF(F340="Sell",-1,1)*R340*T340*IF(ISNUMBER(SEARCH("JPY",E340)),1000,IF(ISNUMBER(SEARCH("XAU",E340)),100,IF(OR(ISNUMBER(SEARCH("30",E340)),ISNUMBER(SEARCH("500",E340)),ISNUMBER(SEARCH("100",E340))),100,100000))),0))</f>
        <v/>
      </c>
      <c r="V340" s="10"/>
      <c r="W340" s="28"/>
      <c r="X340" s="27" t="str">
        <f aca="false">IF(OR(V340="",W340=0),"",IFERROR((V340-K340)*IF(F340="Sell",-1,1)*R340*W340*IF(ISNUMBER(SEARCH("JPY",E340)),1000,IF(ISNUMBER(SEARCH("XAU",E340)),100,IF(OR(ISNUMBER(SEARCH("30",E340)),ISNUMBER(SEARCH("500",E340)),ISNUMBER(SEARCH("100",E340))),100,100000))),0))</f>
        <v/>
      </c>
      <c r="Y340" s="10"/>
      <c r="Z340" s="28"/>
      <c r="AA340" s="27" t="str">
        <f aca="false">IF(OR(Y340="",Z340=0),"",IFERROR((Y340-K340)*IF(F340="Sell",-1,1)*R340*Z340*IF(ISNUMBER(SEARCH("JPY",E340)),1000,IF(ISNUMBER(SEARCH("XAU",E340)),100,IF(OR(ISNUMBER(SEARCH("30",E340)),ISNUMBER(SEARCH("500",E340)),ISNUMBER(SEARCH("100",E340))),100,100000))),0))</f>
        <v/>
      </c>
      <c r="AB340" s="10"/>
      <c r="AC340" s="29" t="str">
        <f aca="false">IF(K340="","",1-IFERROR(T340,0)-IFERROR(W340,0)-IFERROR(Z340,0))</f>
        <v/>
      </c>
      <c r="AD340" s="30" t="str">
        <f aca="false">IF(AB340="","",IFERROR((IFERROR(S340*T340,0)+IFERROR(V340*W340,0)+IFERROR(Y340*Z340,0)+AB340*AC340)/(IFERROR(T340,0)+IFERROR(W340,0)+IFERROR(Z340,0)+AC340),AB340))</f>
        <v/>
      </c>
      <c r="AE340" s="27" t="str">
        <f aca="false">IF(AB340="","",IF(U340="",0,U340)+IF(X340="",0,X340)+IF(AA340="",0,AA340)+IFERROR((AB340-K340)*IF(F340="Sell",-1,1)*R340*AC340*IF(ISNUMBER(SEARCH("JPY",E340)),1000,IF(ISNUMBER(SEARCH("XAU",E340)),100,IF(OR(ISNUMBER(SEARCH("30",E340)),ISNUMBER(SEARCH("500",E340)),ISNUMBER(SEARCH("100",E340))),100,100000))),0))</f>
        <v/>
      </c>
      <c r="AF340" s="31" t="str">
        <f aca="false">IF(OR(K340="",M340="",L340=""),"",IFERROR(ABS(M340-K340)/ABS(K340-L340),0))</f>
        <v/>
      </c>
      <c r="AG340" s="31" t="str">
        <f aca="false">IF(OR(AE340="",AE340=0,Q340=0,Q340=""),"",IFERROR(AE340/Q340,0))</f>
        <v/>
      </c>
      <c r="AH340" s="32" t="str">
        <f aca="false">IF(AB340="","Open",IF(AG340="","Open",IF(AG340&gt;0.1,"Win",IF(AG340&lt;-0.1,"Loss","Breakeven"))))</f>
        <v>Open</v>
      </c>
      <c r="AI340" s="33" t="str">
        <f aca="false">IF(OR(B340="",D340=""),"",D340-B340)</f>
        <v/>
      </c>
      <c r="AJ340" s="24" t="str">
        <f aca="false">IF(AD340="","",IFERROR((AD340-K340)*IF(F340="Sell",-1,1)/IF(ISNUMBER(SEARCH("JPY",E340)),0.01,IF(ISNUMBER(SEARCH("XAU",E340)),0.01,IF(OR(ISNUMBER(SEARCH("30",E340)),ISNUMBER(SEARCH("500",E340)),ISNUMBER(SEARCH("100",E340))),1,0.0001))),0))</f>
        <v/>
      </c>
      <c r="AK340" s="10"/>
      <c r="AL340" s="10"/>
      <c r="AM340" s="10"/>
      <c r="AN340" s="10"/>
      <c r="AO340" s="27" t="str">
        <f aca="false">IF(AE340="","",IFERROR(IF(AO339="",SETTINGS!$B$6,AO339),SETTINGS!$B$6)+IF(AE340="",0,AE340))</f>
        <v/>
      </c>
      <c r="AP340" s="2"/>
    </row>
    <row r="341" customFormat="false" ht="15" hidden="false" customHeight="false" outlineLevel="0" collapsed="false">
      <c r="A341" s="24" t="str">
        <f aca="false">IF(B341="","",ROW()-3)</f>
        <v/>
      </c>
      <c r="B341" s="34"/>
      <c r="C341" s="12"/>
      <c r="D341" s="34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35"/>
      <c r="P341" s="24" t="str">
        <f aca="false">IF(K341="","",IFERROR(ABS(K341-L341)/IF(ISNUMBER(SEARCH("JPY",E341)),0.01,IF(ISNUMBER(SEARCH("XAU",E341)),0.01,IF(OR(ISNUMBER(SEARCH("30",E341)),ISNUMBER(SEARCH("500",E341)),ISNUMBER(SEARCH("100",E341))),1,0.0001))),0))</f>
        <v/>
      </c>
      <c r="Q341" s="27" t="str">
        <f aca="false">IF(K341="","",SETTINGS!$B$6*O341)</f>
        <v/>
      </c>
      <c r="R341" s="24" t="str">
        <f aca="false">IF(K341="","",IFERROR(Q341/(P341*IF(ISNUMBER(SEARCH("JPY",E341)),9.09,IF(ISNUMBER(SEARCH("XAU",E341)),1,IF(OR(ISNUMBER(SEARCH("30",E341)),ISNUMBER(SEARCH("500",E341)),ISNUMBER(SEARCH("100",E341))),1,10)))),0))</f>
        <v/>
      </c>
      <c r="S341" s="12"/>
      <c r="T341" s="36"/>
      <c r="U341" s="27" t="str">
        <f aca="false">IF(OR(S341="",T341=0),"",IFERROR((S341-K341)*IF(F341="Sell",-1,1)*R341*T341*IF(ISNUMBER(SEARCH("JPY",E341)),1000,IF(ISNUMBER(SEARCH("XAU",E341)),100,IF(OR(ISNUMBER(SEARCH("30",E341)),ISNUMBER(SEARCH("500",E341)),ISNUMBER(SEARCH("100",E341))),100,100000))),0))</f>
        <v/>
      </c>
      <c r="V341" s="12"/>
      <c r="W341" s="36"/>
      <c r="X341" s="27" t="str">
        <f aca="false">IF(OR(V341="",W341=0),"",IFERROR((V341-K341)*IF(F341="Sell",-1,1)*R341*W341*IF(ISNUMBER(SEARCH("JPY",E341)),1000,IF(ISNUMBER(SEARCH("XAU",E341)),100,IF(OR(ISNUMBER(SEARCH("30",E341)),ISNUMBER(SEARCH("500",E341)),ISNUMBER(SEARCH("100",E341))),100,100000))),0))</f>
        <v/>
      </c>
      <c r="Y341" s="12"/>
      <c r="Z341" s="36"/>
      <c r="AA341" s="27" t="str">
        <f aca="false">IF(OR(Y341="",Z341=0),"",IFERROR((Y341-K341)*IF(F341="Sell",-1,1)*R341*Z341*IF(ISNUMBER(SEARCH("JPY",E341)),1000,IF(ISNUMBER(SEARCH("XAU",E341)),100,IF(OR(ISNUMBER(SEARCH("30",E341)),ISNUMBER(SEARCH("500",E341)),ISNUMBER(SEARCH("100",E341))),100,100000))),0))</f>
        <v/>
      </c>
      <c r="AB341" s="12"/>
      <c r="AC341" s="29" t="str">
        <f aca="false">IF(K341="","",1-IFERROR(T341,0)-IFERROR(W341,0)-IFERROR(Z341,0))</f>
        <v/>
      </c>
      <c r="AD341" s="30" t="str">
        <f aca="false">IF(AB341="","",IFERROR((IFERROR(S341*T341,0)+IFERROR(V341*W341,0)+IFERROR(Y341*Z341,0)+AB341*AC341)/(IFERROR(T341,0)+IFERROR(W341,0)+IFERROR(Z341,0)+AC341),AB341))</f>
        <v/>
      </c>
      <c r="AE341" s="27" t="str">
        <f aca="false">IF(AB341="","",IF(U341="",0,U341)+IF(X341="",0,X341)+IF(AA341="",0,AA341)+IFERROR((AB341-K341)*IF(F341="Sell",-1,1)*R341*AC341*IF(ISNUMBER(SEARCH("JPY",E341)),1000,IF(ISNUMBER(SEARCH("XAU",E341)),100,IF(OR(ISNUMBER(SEARCH("30",E341)),ISNUMBER(SEARCH("500",E341)),ISNUMBER(SEARCH("100",E341))),100,100000))),0))</f>
        <v/>
      </c>
      <c r="AF341" s="31" t="str">
        <f aca="false">IF(OR(K341="",M341="",L341=""),"",IFERROR(ABS(M341-K341)/ABS(K341-L341),0))</f>
        <v/>
      </c>
      <c r="AG341" s="31" t="str">
        <f aca="false">IF(OR(AE341="",AE341=0,Q341=0,Q341=""),"",IFERROR(AE341/Q341,0))</f>
        <v/>
      </c>
      <c r="AH341" s="32" t="str">
        <f aca="false">IF(AB341="","Open",IF(AG341="","Open",IF(AG341&gt;0.1,"Win",IF(AG341&lt;-0.1,"Loss","Breakeven"))))</f>
        <v>Open</v>
      </c>
      <c r="AI341" s="33" t="str">
        <f aca="false">IF(OR(B341="",D341=""),"",D341-B341)</f>
        <v/>
      </c>
      <c r="AJ341" s="24" t="str">
        <f aca="false">IF(AD341="","",IFERROR((AD341-K341)*IF(F341="Sell",-1,1)/IF(ISNUMBER(SEARCH("JPY",E341)),0.01,IF(ISNUMBER(SEARCH("XAU",E341)),0.01,IF(OR(ISNUMBER(SEARCH("30",E341)),ISNUMBER(SEARCH("500",E341)),ISNUMBER(SEARCH("100",E341))),1,0.0001))),0))</f>
        <v/>
      </c>
      <c r="AK341" s="12"/>
      <c r="AL341" s="12"/>
      <c r="AM341" s="12"/>
      <c r="AN341" s="12"/>
      <c r="AO341" s="27" t="str">
        <f aca="false">IF(AE341="","",IFERROR(IF(AO340="",SETTINGS!$B$6,AO340),SETTINGS!$B$6)+IF(AE341="",0,AE341))</f>
        <v/>
      </c>
      <c r="AP341" s="2"/>
    </row>
    <row r="342" customFormat="false" ht="15" hidden="false" customHeight="false" outlineLevel="0" collapsed="false">
      <c r="A342" s="24" t="str">
        <f aca="false">IF(B342="","",ROW()-3)</f>
        <v/>
      </c>
      <c r="B342" s="25"/>
      <c r="C342" s="10"/>
      <c r="D342" s="25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26"/>
      <c r="P342" s="24" t="str">
        <f aca="false">IF(K342="","",IFERROR(ABS(K342-L342)/IF(ISNUMBER(SEARCH("JPY",E342)),0.01,IF(ISNUMBER(SEARCH("XAU",E342)),0.01,IF(OR(ISNUMBER(SEARCH("30",E342)),ISNUMBER(SEARCH("500",E342)),ISNUMBER(SEARCH("100",E342))),1,0.0001))),0))</f>
        <v/>
      </c>
      <c r="Q342" s="27" t="str">
        <f aca="false">IF(K342="","",SETTINGS!$B$6*O342)</f>
        <v/>
      </c>
      <c r="R342" s="24" t="str">
        <f aca="false">IF(K342="","",IFERROR(Q342/(P342*IF(ISNUMBER(SEARCH("JPY",E342)),9.09,IF(ISNUMBER(SEARCH("XAU",E342)),1,IF(OR(ISNUMBER(SEARCH("30",E342)),ISNUMBER(SEARCH("500",E342)),ISNUMBER(SEARCH("100",E342))),1,10)))),0))</f>
        <v/>
      </c>
      <c r="S342" s="10"/>
      <c r="T342" s="28"/>
      <c r="U342" s="27" t="str">
        <f aca="false">IF(OR(S342="",T342=0),"",IFERROR((S342-K342)*IF(F342="Sell",-1,1)*R342*T342*IF(ISNUMBER(SEARCH("JPY",E342)),1000,IF(ISNUMBER(SEARCH("XAU",E342)),100,IF(OR(ISNUMBER(SEARCH("30",E342)),ISNUMBER(SEARCH("500",E342)),ISNUMBER(SEARCH("100",E342))),100,100000))),0))</f>
        <v/>
      </c>
      <c r="V342" s="10"/>
      <c r="W342" s="28"/>
      <c r="X342" s="27" t="str">
        <f aca="false">IF(OR(V342="",W342=0),"",IFERROR((V342-K342)*IF(F342="Sell",-1,1)*R342*W342*IF(ISNUMBER(SEARCH("JPY",E342)),1000,IF(ISNUMBER(SEARCH("XAU",E342)),100,IF(OR(ISNUMBER(SEARCH("30",E342)),ISNUMBER(SEARCH("500",E342)),ISNUMBER(SEARCH("100",E342))),100,100000))),0))</f>
        <v/>
      </c>
      <c r="Y342" s="10"/>
      <c r="Z342" s="28"/>
      <c r="AA342" s="27" t="str">
        <f aca="false">IF(OR(Y342="",Z342=0),"",IFERROR((Y342-K342)*IF(F342="Sell",-1,1)*R342*Z342*IF(ISNUMBER(SEARCH("JPY",E342)),1000,IF(ISNUMBER(SEARCH("XAU",E342)),100,IF(OR(ISNUMBER(SEARCH("30",E342)),ISNUMBER(SEARCH("500",E342)),ISNUMBER(SEARCH("100",E342))),100,100000))),0))</f>
        <v/>
      </c>
      <c r="AB342" s="10"/>
      <c r="AC342" s="29" t="str">
        <f aca="false">IF(K342="","",1-IFERROR(T342,0)-IFERROR(W342,0)-IFERROR(Z342,0))</f>
        <v/>
      </c>
      <c r="AD342" s="30" t="str">
        <f aca="false">IF(AB342="","",IFERROR((IFERROR(S342*T342,0)+IFERROR(V342*W342,0)+IFERROR(Y342*Z342,0)+AB342*AC342)/(IFERROR(T342,0)+IFERROR(W342,0)+IFERROR(Z342,0)+AC342),AB342))</f>
        <v/>
      </c>
      <c r="AE342" s="27" t="str">
        <f aca="false">IF(AB342="","",IF(U342="",0,U342)+IF(X342="",0,X342)+IF(AA342="",0,AA342)+IFERROR((AB342-K342)*IF(F342="Sell",-1,1)*R342*AC342*IF(ISNUMBER(SEARCH("JPY",E342)),1000,IF(ISNUMBER(SEARCH("XAU",E342)),100,IF(OR(ISNUMBER(SEARCH("30",E342)),ISNUMBER(SEARCH("500",E342)),ISNUMBER(SEARCH("100",E342))),100,100000))),0))</f>
        <v/>
      </c>
      <c r="AF342" s="31" t="str">
        <f aca="false">IF(OR(K342="",M342="",L342=""),"",IFERROR(ABS(M342-K342)/ABS(K342-L342),0))</f>
        <v/>
      </c>
      <c r="AG342" s="31" t="str">
        <f aca="false">IF(OR(AE342="",AE342=0,Q342=0,Q342=""),"",IFERROR(AE342/Q342,0))</f>
        <v/>
      </c>
      <c r="AH342" s="32" t="str">
        <f aca="false">IF(AB342="","Open",IF(AG342="","Open",IF(AG342&gt;0.1,"Win",IF(AG342&lt;-0.1,"Loss","Breakeven"))))</f>
        <v>Open</v>
      </c>
      <c r="AI342" s="33" t="str">
        <f aca="false">IF(OR(B342="",D342=""),"",D342-B342)</f>
        <v/>
      </c>
      <c r="AJ342" s="24" t="str">
        <f aca="false">IF(AD342="","",IFERROR((AD342-K342)*IF(F342="Sell",-1,1)/IF(ISNUMBER(SEARCH("JPY",E342)),0.01,IF(ISNUMBER(SEARCH("XAU",E342)),0.01,IF(OR(ISNUMBER(SEARCH("30",E342)),ISNUMBER(SEARCH("500",E342)),ISNUMBER(SEARCH("100",E342))),1,0.0001))),0))</f>
        <v/>
      </c>
      <c r="AK342" s="10"/>
      <c r="AL342" s="10"/>
      <c r="AM342" s="10"/>
      <c r="AN342" s="10"/>
      <c r="AO342" s="27" t="str">
        <f aca="false">IF(AE342="","",IFERROR(IF(AO341="",SETTINGS!$B$6,AO341),SETTINGS!$B$6)+IF(AE342="",0,AE342))</f>
        <v/>
      </c>
      <c r="AP342" s="2"/>
    </row>
    <row r="343" customFormat="false" ht="15" hidden="false" customHeight="false" outlineLevel="0" collapsed="false">
      <c r="A343" s="24" t="str">
        <f aca="false">IF(B343="","",ROW()-3)</f>
        <v/>
      </c>
      <c r="B343" s="34"/>
      <c r="C343" s="12"/>
      <c r="D343" s="34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35"/>
      <c r="P343" s="24" t="str">
        <f aca="false">IF(K343="","",IFERROR(ABS(K343-L343)/IF(ISNUMBER(SEARCH("JPY",E343)),0.01,IF(ISNUMBER(SEARCH("XAU",E343)),0.01,IF(OR(ISNUMBER(SEARCH("30",E343)),ISNUMBER(SEARCH("500",E343)),ISNUMBER(SEARCH("100",E343))),1,0.0001))),0))</f>
        <v/>
      </c>
      <c r="Q343" s="27" t="str">
        <f aca="false">IF(K343="","",SETTINGS!$B$6*O343)</f>
        <v/>
      </c>
      <c r="R343" s="24" t="str">
        <f aca="false">IF(K343="","",IFERROR(Q343/(P343*IF(ISNUMBER(SEARCH("JPY",E343)),9.09,IF(ISNUMBER(SEARCH("XAU",E343)),1,IF(OR(ISNUMBER(SEARCH("30",E343)),ISNUMBER(SEARCH("500",E343)),ISNUMBER(SEARCH("100",E343))),1,10)))),0))</f>
        <v/>
      </c>
      <c r="S343" s="12"/>
      <c r="T343" s="36"/>
      <c r="U343" s="27" t="str">
        <f aca="false">IF(OR(S343="",T343=0),"",IFERROR((S343-K343)*IF(F343="Sell",-1,1)*R343*T343*IF(ISNUMBER(SEARCH("JPY",E343)),1000,IF(ISNUMBER(SEARCH("XAU",E343)),100,IF(OR(ISNUMBER(SEARCH("30",E343)),ISNUMBER(SEARCH("500",E343)),ISNUMBER(SEARCH("100",E343))),100,100000))),0))</f>
        <v/>
      </c>
      <c r="V343" s="12"/>
      <c r="W343" s="36"/>
      <c r="X343" s="27" t="str">
        <f aca="false">IF(OR(V343="",W343=0),"",IFERROR((V343-K343)*IF(F343="Sell",-1,1)*R343*W343*IF(ISNUMBER(SEARCH("JPY",E343)),1000,IF(ISNUMBER(SEARCH("XAU",E343)),100,IF(OR(ISNUMBER(SEARCH("30",E343)),ISNUMBER(SEARCH("500",E343)),ISNUMBER(SEARCH("100",E343))),100,100000))),0))</f>
        <v/>
      </c>
      <c r="Y343" s="12"/>
      <c r="Z343" s="36"/>
      <c r="AA343" s="27" t="str">
        <f aca="false">IF(OR(Y343="",Z343=0),"",IFERROR((Y343-K343)*IF(F343="Sell",-1,1)*R343*Z343*IF(ISNUMBER(SEARCH("JPY",E343)),1000,IF(ISNUMBER(SEARCH("XAU",E343)),100,IF(OR(ISNUMBER(SEARCH("30",E343)),ISNUMBER(SEARCH("500",E343)),ISNUMBER(SEARCH("100",E343))),100,100000))),0))</f>
        <v/>
      </c>
      <c r="AB343" s="12"/>
      <c r="AC343" s="29" t="str">
        <f aca="false">IF(K343="","",1-IFERROR(T343,0)-IFERROR(W343,0)-IFERROR(Z343,0))</f>
        <v/>
      </c>
      <c r="AD343" s="30" t="str">
        <f aca="false">IF(AB343="","",IFERROR((IFERROR(S343*T343,0)+IFERROR(V343*W343,0)+IFERROR(Y343*Z343,0)+AB343*AC343)/(IFERROR(T343,0)+IFERROR(W343,0)+IFERROR(Z343,0)+AC343),AB343))</f>
        <v/>
      </c>
      <c r="AE343" s="27" t="str">
        <f aca="false">IF(AB343="","",IF(U343="",0,U343)+IF(X343="",0,X343)+IF(AA343="",0,AA343)+IFERROR((AB343-K343)*IF(F343="Sell",-1,1)*R343*AC343*IF(ISNUMBER(SEARCH("JPY",E343)),1000,IF(ISNUMBER(SEARCH("XAU",E343)),100,IF(OR(ISNUMBER(SEARCH("30",E343)),ISNUMBER(SEARCH("500",E343)),ISNUMBER(SEARCH("100",E343))),100,100000))),0))</f>
        <v/>
      </c>
      <c r="AF343" s="31" t="str">
        <f aca="false">IF(OR(K343="",M343="",L343=""),"",IFERROR(ABS(M343-K343)/ABS(K343-L343),0))</f>
        <v/>
      </c>
      <c r="AG343" s="31" t="str">
        <f aca="false">IF(OR(AE343="",AE343=0,Q343=0,Q343=""),"",IFERROR(AE343/Q343,0))</f>
        <v/>
      </c>
      <c r="AH343" s="32" t="str">
        <f aca="false">IF(AB343="","Open",IF(AG343="","Open",IF(AG343&gt;0.1,"Win",IF(AG343&lt;-0.1,"Loss","Breakeven"))))</f>
        <v>Open</v>
      </c>
      <c r="AI343" s="33" t="str">
        <f aca="false">IF(OR(B343="",D343=""),"",D343-B343)</f>
        <v/>
      </c>
      <c r="AJ343" s="24" t="str">
        <f aca="false">IF(AD343="","",IFERROR((AD343-K343)*IF(F343="Sell",-1,1)/IF(ISNUMBER(SEARCH("JPY",E343)),0.01,IF(ISNUMBER(SEARCH("XAU",E343)),0.01,IF(OR(ISNUMBER(SEARCH("30",E343)),ISNUMBER(SEARCH("500",E343)),ISNUMBER(SEARCH("100",E343))),1,0.0001))),0))</f>
        <v/>
      </c>
      <c r="AK343" s="12"/>
      <c r="AL343" s="12"/>
      <c r="AM343" s="12"/>
      <c r="AN343" s="12"/>
      <c r="AO343" s="27" t="str">
        <f aca="false">IF(AE343="","",IFERROR(IF(AO342="",SETTINGS!$B$6,AO342),SETTINGS!$B$6)+IF(AE343="",0,AE343))</f>
        <v/>
      </c>
      <c r="AP343" s="2"/>
    </row>
    <row r="344" customFormat="false" ht="15" hidden="false" customHeight="false" outlineLevel="0" collapsed="false">
      <c r="A344" s="24" t="str">
        <f aca="false">IF(B344="","",ROW()-3)</f>
        <v/>
      </c>
      <c r="B344" s="25"/>
      <c r="C344" s="10"/>
      <c r="D344" s="25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26"/>
      <c r="P344" s="24" t="str">
        <f aca="false">IF(K344="","",IFERROR(ABS(K344-L344)/IF(ISNUMBER(SEARCH("JPY",E344)),0.01,IF(ISNUMBER(SEARCH("XAU",E344)),0.01,IF(OR(ISNUMBER(SEARCH("30",E344)),ISNUMBER(SEARCH("500",E344)),ISNUMBER(SEARCH("100",E344))),1,0.0001))),0))</f>
        <v/>
      </c>
      <c r="Q344" s="27" t="str">
        <f aca="false">IF(K344="","",SETTINGS!$B$6*O344)</f>
        <v/>
      </c>
      <c r="R344" s="24" t="str">
        <f aca="false">IF(K344="","",IFERROR(Q344/(P344*IF(ISNUMBER(SEARCH("JPY",E344)),9.09,IF(ISNUMBER(SEARCH("XAU",E344)),1,IF(OR(ISNUMBER(SEARCH("30",E344)),ISNUMBER(SEARCH("500",E344)),ISNUMBER(SEARCH("100",E344))),1,10)))),0))</f>
        <v/>
      </c>
      <c r="S344" s="10"/>
      <c r="T344" s="28"/>
      <c r="U344" s="27" t="str">
        <f aca="false">IF(OR(S344="",T344=0),"",IFERROR((S344-K344)*IF(F344="Sell",-1,1)*R344*T344*IF(ISNUMBER(SEARCH("JPY",E344)),1000,IF(ISNUMBER(SEARCH("XAU",E344)),100,IF(OR(ISNUMBER(SEARCH("30",E344)),ISNUMBER(SEARCH("500",E344)),ISNUMBER(SEARCH("100",E344))),100,100000))),0))</f>
        <v/>
      </c>
      <c r="V344" s="10"/>
      <c r="W344" s="28"/>
      <c r="X344" s="27" t="str">
        <f aca="false">IF(OR(V344="",W344=0),"",IFERROR((V344-K344)*IF(F344="Sell",-1,1)*R344*W344*IF(ISNUMBER(SEARCH("JPY",E344)),1000,IF(ISNUMBER(SEARCH("XAU",E344)),100,IF(OR(ISNUMBER(SEARCH("30",E344)),ISNUMBER(SEARCH("500",E344)),ISNUMBER(SEARCH("100",E344))),100,100000))),0))</f>
        <v/>
      </c>
      <c r="Y344" s="10"/>
      <c r="Z344" s="28"/>
      <c r="AA344" s="27" t="str">
        <f aca="false">IF(OR(Y344="",Z344=0),"",IFERROR((Y344-K344)*IF(F344="Sell",-1,1)*R344*Z344*IF(ISNUMBER(SEARCH("JPY",E344)),1000,IF(ISNUMBER(SEARCH("XAU",E344)),100,IF(OR(ISNUMBER(SEARCH("30",E344)),ISNUMBER(SEARCH("500",E344)),ISNUMBER(SEARCH("100",E344))),100,100000))),0))</f>
        <v/>
      </c>
      <c r="AB344" s="10"/>
      <c r="AC344" s="29" t="str">
        <f aca="false">IF(K344="","",1-IFERROR(T344,0)-IFERROR(W344,0)-IFERROR(Z344,0))</f>
        <v/>
      </c>
      <c r="AD344" s="30" t="str">
        <f aca="false">IF(AB344="","",IFERROR((IFERROR(S344*T344,0)+IFERROR(V344*W344,0)+IFERROR(Y344*Z344,0)+AB344*AC344)/(IFERROR(T344,0)+IFERROR(W344,0)+IFERROR(Z344,0)+AC344),AB344))</f>
        <v/>
      </c>
      <c r="AE344" s="27" t="str">
        <f aca="false">IF(AB344="","",IF(U344="",0,U344)+IF(X344="",0,X344)+IF(AA344="",0,AA344)+IFERROR((AB344-K344)*IF(F344="Sell",-1,1)*R344*AC344*IF(ISNUMBER(SEARCH("JPY",E344)),1000,IF(ISNUMBER(SEARCH("XAU",E344)),100,IF(OR(ISNUMBER(SEARCH("30",E344)),ISNUMBER(SEARCH("500",E344)),ISNUMBER(SEARCH("100",E344))),100,100000))),0))</f>
        <v/>
      </c>
      <c r="AF344" s="31" t="str">
        <f aca="false">IF(OR(K344="",M344="",L344=""),"",IFERROR(ABS(M344-K344)/ABS(K344-L344),0))</f>
        <v/>
      </c>
      <c r="AG344" s="31" t="str">
        <f aca="false">IF(OR(AE344="",AE344=0,Q344=0,Q344=""),"",IFERROR(AE344/Q344,0))</f>
        <v/>
      </c>
      <c r="AH344" s="32" t="str">
        <f aca="false">IF(AB344="","Open",IF(AG344="","Open",IF(AG344&gt;0.1,"Win",IF(AG344&lt;-0.1,"Loss","Breakeven"))))</f>
        <v>Open</v>
      </c>
      <c r="AI344" s="33" t="str">
        <f aca="false">IF(OR(B344="",D344=""),"",D344-B344)</f>
        <v/>
      </c>
      <c r="AJ344" s="24" t="str">
        <f aca="false">IF(AD344="","",IFERROR((AD344-K344)*IF(F344="Sell",-1,1)/IF(ISNUMBER(SEARCH("JPY",E344)),0.01,IF(ISNUMBER(SEARCH("XAU",E344)),0.01,IF(OR(ISNUMBER(SEARCH("30",E344)),ISNUMBER(SEARCH("500",E344)),ISNUMBER(SEARCH("100",E344))),1,0.0001))),0))</f>
        <v/>
      </c>
      <c r="AK344" s="10"/>
      <c r="AL344" s="10"/>
      <c r="AM344" s="10"/>
      <c r="AN344" s="10"/>
      <c r="AO344" s="27" t="str">
        <f aca="false">IF(AE344="","",IFERROR(IF(AO343="",SETTINGS!$B$6,AO343),SETTINGS!$B$6)+IF(AE344="",0,AE344))</f>
        <v/>
      </c>
      <c r="AP344" s="2"/>
    </row>
    <row r="345" customFormat="false" ht="15" hidden="false" customHeight="false" outlineLevel="0" collapsed="false">
      <c r="A345" s="24" t="str">
        <f aca="false">IF(B345="","",ROW()-3)</f>
        <v/>
      </c>
      <c r="B345" s="34"/>
      <c r="C345" s="12"/>
      <c r="D345" s="34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35"/>
      <c r="P345" s="24" t="str">
        <f aca="false">IF(K345="","",IFERROR(ABS(K345-L345)/IF(ISNUMBER(SEARCH("JPY",E345)),0.01,IF(ISNUMBER(SEARCH("XAU",E345)),0.01,IF(OR(ISNUMBER(SEARCH("30",E345)),ISNUMBER(SEARCH("500",E345)),ISNUMBER(SEARCH("100",E345))),1,0.0001))),0))</f>
        <v/>
      </c>
      <c r="Q345" s="27" t="str">
        <f aca="false">IF(K345="","",SETTINGS!$B$6*O345)</f>
        <v/>
      </c>
      <c r="R345" s="24" t="str">
        <f aca="false">IF(K345="","",IFERROR(Q345/(P345*IF(ISNUMBER(SEARCH("JPY",E345)),9.09,IF(ISNUMBER(SEARCH("XAU",E345)),1,IF(OR(ISNUMBER(SEARCH("30",E345)),ISNUMBER(SEARCH("500",E345)),ISNUMBER(SEARCH("100",E345))),1,10)))),0))</f>
        <v/>
      </c>
      <c r="S345" s="12"/>
      <c r="T345" s="36"/>
      <c r="U345" s="27" t="str">
        <f aca="false">IF(OR(S345="",T345=0),"",IFERROR((S345-K345)*IF(F345="Sell",-1,1)*R345*T345*IF(ISNUMBER(SEARCH("JPY",E345)),1000,IF(ISNUMBER(SEARCH("XAU",E345)),100,IF(OR(ISNUMBER(SEARCH("30",E345)),ISNUMBER(SEARCH("500",E345)),ISNUMBER(SEARCH("100",E345))),100,100000))),0))</f>
        <v/>
      </c>
      <c r="V345" s="12"/>
      <c r="W345" s="36"/>
      <c r="X345" s="27" t="str">
        <f aca="false">IF(OR(V345="",W345=0),"",IFERROR((V345-K345)*IF(F345="Sell",-1,1)*R345*W345*IF(ISNUMBER(SEARCH("JPY",E345)),1000,IF(ISNUMBER(SEARCH("XAU",E345)),100,IF(OR(ISNUMBER(SEARCH("30",E345)),ISNUMBER(SEARCH("500",E345)),ISNUMBER(SEARCH("100",E345))),100,100000))),0))</f>
        <v/>
      </c>
      <c r="Y345" s="12"/>
      <c r="Z345" s="36"/>
      <c r="AA345" s="27" t="str">
        <f aca="false">IF(OR(Y345="",Z345=0),"",IFERROR((Y345-K345)*IF(F345="Sell",-1,1)*R345*Z345*IF(ISNUMBER(SEARCH("JPY",E345)),1000,IF(ISNUMBER(SEARCH("XAU",E345)),100,IF(OR(ISNUMBER(SEARCH("30",E345)),ISNUMBER(SEARCH("500",E345)),ISNUMBER(SEARCH("100",E345))),100,100000))),0))</f>
        <v/>
      </c>
      <c r="AB345" s="12"/>
      <c r="AC345" s="29" t="str">
        <f aca="false">IF(K345="","",1-IFERROR(T345,0)-IFERROR(W345,0)-IFERROR(Z345,0))</f>
        <v/>
      </c>
      <c r="AD345" s="30" t="str">
        <f aca="false">IF(AB345="","",IFERROR((IFERROR(S345*T345,0)+IFERROR(V345*W345,0)+IFERROR(Y345*Z345,0)+AB345*AC345)/(IFERROR(T345,0)+IFERROR(W345,0)+IFERROR(Z345,0)+AC345),AB345))</f>
        <v/>
      </c>
      <c r="AE345" s="27" t="str">
        <f aca="false">IF(AB345="","",IF(U345="",0,U345)+IF(X345="",0,X345)+IF(AA345="",0,AA345)+IFERROR((AB345-K345)*IF(F345="Sell",-1,1)*R345*AC345*IF(ISNUMBER(SEARCH("JPY",E345)),1000,IF(ISNUMBER(SEARCH("XAU",E345)),100,IF(OR(ISNUMBER(SEARCH("30",E345)),ISNUMBER(SEARCH("500",E345)),ISNUMBER(SEARCH("100",E345))),100,100000))),0))</f>
        <v/>
      </c>
      <c r="AF345" s="31" t="str">
        <f aca="false">IF(OR(K345="",M345="",L345=""),"",IFERROR(ABS(M345-K345)/ABS(K345-L345),0))</f>
        <v/>
      </c>
      <c r="AG345" s="31" t="str">
        <f aca="false">IF(OR(AE345="",AE345=0,Q345=0,Q345=""),"",IFERROR(AE345/Q345,0))</f>
        <v/>
      </c>
      <c r="AH345" s="32" t="str">
        <f aca="false">IF(AB345="","Open",IF(AG345="","Open",IF(AG345&gt;0.1,"Win",IF(AG345&lt;-0.1,"Loss","Breakeven"))))</f>
        <v>Open</v>
      </c>
      <c r="AI345" s="33" t="str">
        <f aca="false">IF(OR(B345="",D345=""),"",D345-B345)</f>
        <v/>
      </c>
      <c r="AJ345" s="24" t="str">
        <f aca="false">IF(AD345="","",IFERROR((AD345-K345)*IF(F345="Sell",-1,1)/IF(ISNUMBER(SEARCH("JPY",E345)),0.01,IF(ISNUMBER(SEARCH("XAU",E345)),0.01,IF(OR(ISNUMBER(SEARCH("30",E345)),ISNUMBER(SEARCH("500",E345)),ISNUMBER(SEARCH("100",E345))),1,0.0001))),0))</f>
        <v/>
      </c>
      <c r="AK345" s="12"/>
      <c r="AL345" s="12"/>
      <c r="AM345" s="12"/>
      <c r="AN345" s="12"/>
      <c r="AO345" s="27" t="str">
        <f aca="false">IF(AE345="","",IFERROR(IF(AO344="",SETTINGS!$B$6,AO344),SETTINGS!$B$6)+IF(AE345="",0,AE345))</f>
        <v/>
      </c>
      <c r="AP345" s="2"/>
    </row>
    <row r="346" customFormat="false" ht="15" hidden="false" customHeight="false" outlineLevel="0" collapsed="false">
      <c r="A346" s="24" t="str">
        <f aca="false">IF(B346="","",ROW()-3)</f>
        <v/>
      </c>
      <c r="B346" s="25"/>
      <c r="C346" s="10"/>
      <c r="D346" s="25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26"/>
      <c r="P346" s="24" t="str">
        <f aca="false">IF(K346="","",IFERROR(ABS(K346-L346)/IF(ISNUMBER(SEARCH("JPY",E346)),0.01,IF(ISNUMBER(SEARCH("XAU",E346)),0.01,IF(OR(ISNUMBER(SEARCH("30",E346)),ISNUMBER(SEARCH("500",E346)),ISNUMBER(SEARCH("100",E346))),1,0.0001))),0))</f>
        <v/>
      </c>
      <c r="Q346" s="27" t="str">
        <f aca="false">IF(K346="","",SETTINGS!$B$6*O346)</f>
        <v/>
      </c>
      <c r="R346" s="24" t="str">
        <f aca="false">IF(K346="","",IFERROR(Q346/(P346*IF(ISNUMBER(SEARCH("JPY",E346)),9.09,IF(ISNUMBER(SEARCH("XAU",E346)),1,IF(OR(ISNUMBER(SEARCH("30",E346)),ISNUMBER(SEARCH("500",E346)),ISNUMBER(SEARCH("100",E346))),1,10)))),0))</f>
        <v/>
      </c>
      <c r="S346" s="10"/>
      <c r="T346" s="28"/>
      <c r="U346" s="27" t="str">
        <f aca="false">IF(OR(S346="",T346=0),"",IFERROR((S346-K346)*IF(F346="Sell",-1,1)*R346*T346*IF(ISNUMBER(SEARCH("JPY",E346)),1000,IF(ISNUMBER(SEARCH("XAU",E346)),100,IF(OR(ISNUMBER(SEARCH("30",E346)),ISNUMBER(SEARCH("500",E346)),ISNUMBER(SEARCH("100",E346))),100,100000))),0))</f>
        <v/>
      </c>
      <c r="V346" s="10"/>
      <c r="W346" s="28"/>
      <c r="X346" s="27" t="str">
        <f aca="false">IF(OR(V346="",W346=0),"",IFERROR((V346-K346)*IF(F346="Sell",-1,1)*R346*W346*IF(ISNUMBER(SEARCH("JPY",E346)),1000,IF(ISNUMBER(SEARCH("XAU",E346)),100,IF(OR(ISNUMBER(SEARCH("30",E346)),ISNUMBER(SEARCH("500",E346)),ISNUMBER(SEARCH("100",E346))),100,100000))),0))</f>
        <v/>
      </c>
      <c r="Y346" s="10"/>
      <c r="Z346" s="28"/>
      <c r="AA346" s="27" t="str">
        <f aca="false">IF(OR(Y346="",Z346=0),"",IFERROR((Y346-K346)*IF(F346="Sell",-1,1)*R346*Z346*IF(ISNUMBER(SEARCH("JPY",E346)),1000,IF(ISNUMBER(SEARCH("XAU",E346)),100,IF(OR(ISNUMBER(SEARCH("30",E346)),ISNUMBER(SEARCH("500",E346)),ISNUMBER(SEARCH("100",E346))),100,100000))),0))</f>
        <v/>
      </c>
      <c r="AB346" s="10"/>
      <c r="AC346" s="29" t="str">
        <f aca="false">IF(K346="","",1-IFERROR(T346,0)-IFERROR(W346,0)-IFERROR(Z346,0))</f>
        <v/>
      </c>
      <c r="AD346" s="30" t="str">
        <f aca="false">IF(AB346="","",IFERROR((IFERROR(S346*T346,0)+IFERROR(V346*W346,0)+IFERROR(Y346*Z346,0)+AB346*AC346)/(IFERROR(T346,0)+IFERROR(W346,0)+IFERROR(Z346,0)+AC346),AB346))</f>
        <v/>
      </c>
      <c r="AE346" s="27" t="str">
        <f aca="false">IF(AB346="","",IF(U346="",0,U346)+IF(X346="",0,X346)+IF(AA346="",0,AA346)+IFERROR((AB346-K346)*IF(F346="Sell",-1,1)*R346*AC346*IF(ISNUMBER(SEARCH("JPY",E346)),1000,IF(ISNUMBER(SEARCH("XAU",E346)),100,IF(OR(ISNUMBER(SEARCH("30",E346)),ISNUMBER(SEARCH("500",E346)),ISNUMBER(SEARCH("100",E346))),100,100000))),0))</f>
        <v/>
      </c>
      <c r="AF346" s="31" t="str">
        <f aca="false">IF(OR(K346="",M346="",L346=""),"",IFERROR(ABS(M346-K346)/ABS(K346-L346),0))</f>
        <v/>
      </c>
      <c r="AG346" s="31" t="str">
        <f aca="false">IF(OR(AE346="",AE346=0,Q346=0,Q346=""),"",IFERROR(AE346/Q346,0))</f>
        <v/>
      </c>
      <c r="AH346" s="32" t="str">
        <f aca="false">IF(AB346="","Open",IF(AG346="","Open",IF(AG346&gt;0.1,"Win",IF(AG346&lt;-0.1,"Loss","Breakeven"))))</f>
        <v>Open</v>
      </c>
      <c r="AI346" s="33" t="str">
        <f aca="false">IF(OR(B346="",D346=""),"",D346-B346)</f>
        <v/>
      </c>
      <c r="AJ346" s="24" t="str">
        <f aca="false">IF(AD346="","",IFERROR((AD346-K346)*IF(F346="Sell",-1,1)/IF(ISNUMBER(SEARCH("JPY",E346)),0.01,IF(ISNUMBER(SEARCH("XAU",E346)),0.01,IF(OR(ISNUMBER(SEARCH("30",E346)),ISNUMBER(SEARCH("500",E346)),ISNUMBER(SEARCH("100",E346))),1,0.0001))),0))</f>
        <v/>
      </c>
      <c r="AK346" s="10"/>
      <c r="AL346" s="10"/>
      <c r="AM346" s="10"/>
      <c r="AN346" s="10"/>
      <c r="AO346" s="27" t="str">
        <f aca="false">IF(AE346="","",IFERROR(IF(AO345="",SETTINGS!$B$6,AO345),SETTINGS!$B$6)+IF(AE346="",0,AE346))</f>
        <v/>
      </c>
      <c r="AP346" s="2"/>
    </row>
    <row r="347" customFormat="false" ht="15" hidden="false" customHeight="false" outlineLevel="0" collapsed="false">
      <c r="A347" s="24" t="str">
        <f aca="false">IF(B347="","",ROW()-3)</f>
        <v/>
      </c>
      <c r="B347" s="34"/>
      <c r="C347" s="12"/>
      <c r="D347" s="34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35"/>
      <c r="P347" s="24" t="str">
        <f aca="false">IF(K347="","",IFERROR(ABS(K347-L347)/IF(ISNUMBER(SEARCH("JPY",E347)),0.01,IF(ISNUMBER(SEARCH("XAU",E347)),0.01,IF(OR(ISNUMBER(SEARCH("30",E347)),ISNUMBER(SEARCH("500",E347)),ISNUMBER(SEARCH("100",E347))),1,0.0001))),0))</f>
        <v/>
      </c>
      <c r="Q347" s="27" t="str">
        <f aca="false">IF(K347="","",SETTINGS!$B$6*O347)</f>
        <v/>
      </c>
      <c r="R347" s="24" t="str">
        <f aca="false">IF(K347="","",IFERROR(Q347/(P347*IF(ISNUMBER(SEARCH("JPY",E347)),9.09,IF(ISNUMBER(SEARCH("XAU",E347)),1,IF(OR(ISNUMBER(SEARCH("30",E347)),ISNUMBER(SEARCH("500",E347)),ISNUMBER(SEARCH("100",E347))),1,10)))),0))</f>
        <v/>
      </c>
      <c r="S347" s="12"/>
      <c r="T347" s="36"/>
      <c r="U347" s="27" t="str">
        <f aca="false">IF(OR(S347="",T347=0),"",IFERROR((S347-K347)*IF(F347="Sell",-1,1)*R347*T347*IF(ISNUMBER(SEARCH("JPY",E347)),1000,IF(ISNUMBER(SEARCH("XAU",E347)),100,IF(OR(ISNUMBER(SEARCH("30",E347)),ISNUMBER(SEARCH("500",E347)),ISNUMBER(SEARCH("100",E347))),100,100000))),0))</f>
        <v/>
      </c>
      <c r="V347" s="12"/>
      <c r="W347" s="36"/>
      <c r="X347" s="27" t="str">
        <f aca="false">IF(OR(V347="",W347=0),"",IFERROR((V347-K347)*IF(F347="Sell",-1,1)*R347*W347*IF(ISNUMBER(SEARCH("JPY",E347)),1000,IF(ISNUMBER(SEARCH("XAU",E347)),100,IF(OR(ISNUMBER(SEARCH("30",E347)),ISNUMBER(SEARCH("500",E347)),ISNUMBER(SEARCH("100",E347))),100,100000))),0))</f>
        <v/>
      </c>
      <c r="Y347" s="12"/>
      <c r="Z347" s="36"/>
      <c r="AA347" s="27" t="str">
        <f aca="false">IF(OR(Y347="",Z347=0),"",IFERROR((Y347-K347)*IF(F347="Sell",-1,1)*R347*Z347*IF(ISNUMBER(SEARCH("JPY",E347)),1000,IF(ISNUMBER(SEARCH("XAU",E347)),100,IF(OR(ISNUMBER(SEARCH("30",E347)),ISNUMBER(SEARCH("500",E347)),ISNUMBER(SEARCH("100",E347))),100,100000))),0))</f>
        <v/>
      </c>
      <c r="AB347" s="12"/>
      <c r="AC347" s="29" t="str">
        <f aca="false">IF(K347="","",1-IFERROR(T347,0)-IFERROR(W347,0)-IFERROR(Z347,0))</f>
        <v/>
      </c>
      <c r="AD347" s="30" t="str">
        <f aca="false">IF(AB347="","",IFERROR((IFERROR(S347*T347,0)+IFERROR(V347*W347,0)+IFERROR(Y347*Z347,0)+AB347*AC347)/(IFERROR(T347,0)+IFERROR(W347,0)+IFERROR(Z347,0)+AC347),AB347))</f>
        <v/>
      </c>
      <c r="AE347" s="27" t="str">
        <f aca="false">IF(AB347="","",IF(U347="",0,U347)+IF(X347="",0,X347)+IF(AA347="",0,AA347)+IFERROR((AB347-K347)*IF(F347="Sell",-1,1)*R347*AC347*IF(ISNUMBER(SEARCH("JPY",E347)),1000,IF(ISNUMBER(SEARCH("XAU",E347)),100,IF(OR(ISNUMBER(SEARCH("30",E347)),ISNUMBER(SEARCH("500",E347)),ISNUMBER(SEARCH("100",E347))),100,100000))),0))</f>
        <v/>
      </c>
      <c r="AF347" s="31" t="str">
        <f aca="false">IF(OR(K347="",M347="",L347=""),"",IFERROR(ABS(M347-K347)/ABS(K347-L347),0))</f>
        <v/>
      </c>
      <c r="AG347" s="31" t="str">
        <f aca="false">IF(OR(AE347="",AE347=0,Q347=0,Q347=""),"",IFERROR(AE347/Q347,0))</f>
        <v/>
      </c>
      <c r="AH347" s="32" t="str">
        <f aca="false">IF(AB347="","Open",IF(AG347="","Open",IF(AG347&gt;0.1,"Win",IF(AG347&lt;-0.1,"Loss","Breakeven"))))</f>
        <v>Open</v>
      </c>
      <c r="AI347" s="33" t="str">
        <f aca="false">IF(OR(B347="",D347=""),"",D347-B347)</f>
        <v/>
      </c>
      <c r="AJ347" s="24" t="str">
        <f aca="false">IF(AD347="","",IFERROR((AD347-K347)*IF(F347="Sell",-1,1)/IF(ISNUMBER(SEARCH("JPY",E347)),0.01,IF(ISNUMBER(SEARCH("XAU",E347)),0.01,IF(OR(ISNUMBER(SEARCH("30",E347)),ISNUMBER(SEARCH("500",E347)),ISNUMBER(SEARCH("100",E347))),1,0.0001))),0))</f>
        <v/>
      </c>
      <c r="AK347" s="12"/>
      <c r="AL347" s="12"/>
      <c r="AM347" s="12"/>
      <c r="AN347" s="12"/>
      <c r="AO347" s="27" t="str">
        <f aca="false">IF(AE347="","",IFERROR(IF(AO346="",SETTINGS!$B$6,AO346),SETTINGS!$B$6)+IF(AE347="",0,AE347))</f>
        <v/>
      </c>
      <c r="AP347" s="2"/>
    </row>
    <row r="348" customFormat="false" ht="15" hidden="false" customHeight="false" outlineLevel="0" collapsed="false">
      <c r="A348" s="24" t="str">
        <f aca="false">IF(B348="","",ROW()-3)</f>
        <v/>
      </c>
      <c r="B348" s="25"/>
      <c r="C348" s="10"/>
      <c r="D348" s="25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26"/>
      <c r="P348" s="24" t="str">
        <f aca="false">IF(K348="","",IFERROR(ABS(K348-L348)/IF(ISNUMBER(SEARCH("JPY",E348)),0.01,IF(ISNUMBER(SEARCH("XAU",E348)),0.01,IF(OR(ISNUMBER(SEARCH("30",E348)),ISNUMBER(SEARCH("500",E348)),ISNUMBER(SEARCH("100",E348))),1,0.0001))),0))</f>
        <v/>
      </c>
      <c r="Q348" s="27" t="str">
        <f aca="false">IF(K348="","",SETTINGS!$B$6*O348)</f>
        <v/>
      </c>
      <c r="R348" s="24" t="str">
        <f aca="false">IF(K348="","",IFERROR(Q348/(P348*IF(ISNUMBER(SEARCH("JPY",E348)),9.09,IF(ISNUMBER(SEARCH("XAU",E348)),1,IF(OR(ISNUMBER(SEARCH("30",E348)),ISNUMBER(SEARCH("500",E348)),ISNUMBER(SEARCH("100",E348))),1,10)))),0))</f>
        <v/>
      </c>
      <c r="S348" s="10"/>
      <c r="T348" s="28"/>
      <c r="U348" s="27" t="str">
        <f aca="false">IF(OR(S348="",T348=0),"",IFERROR((S348-K348)*IF(F348="Sell",-1,1)*R348*T348*IF(ISNUMBER(SEARCH("JPY",E348)),1000,IF(ISNUMBER(SEARCH("XAU",E348)),100,IF(OR(ISNUMBER(SEARCH("30",E348)),ISNUMBER(SEARCH("500",E348)),ISNUMBER(SEARCH("100",E348))),100,100000))),0))</f>
        <v/>
      </c>
      <c r="V348" s="10"/>
      <c r="W348" s="28"/>
      <c r="X348" s="27" t="str">
        <f aca="false">IF(OR(V348="",W348=0),"",IFERROR((V348-K348)*IF(F348="Sell",-1,1)*R348*W348*IF(ISNUMBER(SEARCH("JPY",E348)),1000,IF(ISNUMBER(SEARCH("XAU",E348)),100,IF(OR(ISNUMBER(SEARCH("30",E348)),ISNUMBER(SEARCH("500",E348)),ISNUMBER(SEARCH("100",E348))),100,100000))),0))</f>
        <v/>
      </c>
      <c r="Y348" s="10"/>
      <c r="Z348" s="28"/>
      <c r="AA348" s="27" t="str">
        <f aca="false">IF(OR(Y348="",Z348=0),"",IFERROR((Y348-K348)*IF(F348="Sell",-1,1)*R348*Z348*IF(ISNUMBER(SEARCH("JPY",E348)),1000,IF(ISNUMBER(SEARCH("XAU",E348)),100,IF(OR(ISNUMBER(SEARCH("30",E348)),ISNUMBER(SEARCH("500",E348)),ISNUMBER(SEARCH("100",E348))),100,100000))),0))</f>
        <v/>
      </c>
      <c r="AB348" s="10"/>
      <c r="AC348" s="29" t="str">
        <f aca="false">IF(K348="","",1-IFERROR(T348,0)-IFERROR(W348,0)-IFERROR(Z348,0))</f>
        <v/>
      </c>
      <c r="AD348" s="30" t="str">
        <f aca="false">IF(AB348="","",IFERROR((IFERROR(S348*T348,0)+IFERROR(V348*W348,0)+IFERROR(Y348*Z348,0)+AB348*AC348)/(IFERROR(T348,0)+IFERROR(W348,0)+IFERROR(Z348,0)+AC348),AB348))</f>
        <v/>
      </c>
      <c r="AE348" s="27" t="str">
        <f aca="false">IF(AB348="","",IF(U348="",0,U348)+IF(X348="",0,X348)+IF(AA348="",0,AA348)+IFERROR((AB348-K348)*IF(F348="Sell",-1,1)*R348*AC348*IF(ISNUMBER(SEARCH("JPY",E348)),1000,IF(ISNUMBER(SEARCH("XAU",E348)),100,IF(OR(ISNUMBER(SEARCH("30",E348)),ISNUMBER(SEARCH("500",E348)),ISNUMBER(SEARCH("100",E348))),100,100000))),0))</f>
        <v/>
      </c>
      <c r="AF348" s="31" t="str">
        <f aca="false">IF(OR(K348="",M348="",L348=""),"",IFERROR(ABS(M348-K348)/ABS(K348-L348),0))</f>
        <v/>
      </c>
      <c r="AG348" s="31" t="str">
        <f aca="false">IF(OR(AE348="",AE348=0,Q348=0,Q348=""),"",IFERROR(AE348/Q348,0))</f>
        <v/>
      </c>
      <c r="AH348" s="32" t="str">
        <f aca="false">IF(AB348="","Open",IF(AG348="","Open",IF(AG348&gt;0.1,"Win",IF(AG348&lt;-0.1,"Loss","Breakeven"))))</f>
        <v>Open</v>
      </c>
      <c r="AI348" s="33" t="str">
        <f aca="false">IF(OR(B348="",D348=""),"",D348-B348)</f>
        <v/>
      </c>
      <c r="AJ348" s="24" t="str">
        <f aca="false">IF(AD348="","",IFERROR((AD348-K348)*IF(F348="Sell",-1,1)/IF(ISNUMBER(SEARCH("JPY",E348)),0.01,IF(ISNUMBER(SEARCH("XAU",E348)),0.01,IF(OR(ISNUMBER(SEARCH("30",E348)),ISNUMBER(SEARCH("500",E348)),ISNUMBER(SEARCH("100",E348))),1,0.0001))),0))</f>
        <v/>
      </c>
      <c r="AK348" s="10"/>
      <c r="AL348" s="10"/>
      <c r="AM348" s="10"/>
      <c r="AN348" s="10"/>
      <c r="AO348" s="27" t="str">
        <f aca="false">IF(AE348="","",IFERROR(IF(AO347="",SETTINGS!$B$6,AO347),SETTINGS!$B$6)+IF(AE348="",0,AE348))</f>
        <v/>
      </c>
      <c r="AP348" s="2"/>
    </row>
    <row r="349" customFormat="false" ht="15" hidden="false" customHeight="false" outlineLevel="0" collapsed="false">
      <c r="A349" s="24" t="str">
        <f aca="false">IF(B349="","",ROW()-3)</f>
        <v/>
      </c>
      <c r="B349" s="34"/>
      <c r="C349" s="12"/>
      <c r="D349" s="34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35"/>
      <c r="P349" s="24" t="str">
        <f aca="false">IF(K349="","",IFERROR(ABS(K349-L349)/IF(ISNUMBER(SEARCH("JPY",E349)),0.01,IF(ISNUMBER(SEARCH("XAU",E349)),0.01,IF(OR(ISNUMBER(SEARCH("30",E349)),ISNUMBER(SEARCH("500",E349)),ISNUMBER(SEARCH("100",E349))),1,0.0001))),0))</f>
        <v/>
      </c>
      <c r="Q349" s="27" t="str">
        <f aca="false">IF(K349="","",SETTINGS!$B$6*O349)</f>
        <v/>
      </c>
      <c r="R349" s="24" t="str">
        <f aca="false">IF(K349="","",IFERROR(Q349/(P349*IF(ISNUMBER(SEARCH("JPY",E349)),9.09,IF(ISNUMBER(SEARCH("XAU",E349)),1,IF(OR(ISNUMBER(SEARCH("30",E349)),ISNUMBER(SEARCH("500",E349)),ISNUMBER(SEARCH("100",E349))),1,10)))),0))</f>
        <v/>
      </c>
      <c r="S349" s="12"/>
      <c r="T349" s="36"/>
      <c r="U349" s="27" t="str">
        <f aca="false">IF(OR(S349="",T349=0),"",IFERROR((S349-K349)*IF(F349="Sell",-1,1)*R349*T349*IF(ISNUMBER(SEARCH("JPY",E349)),1000,IF(ISNUMBER(SEARCH("XAU",E349)),100,IF(OR(ISNUMBER(SEARCH("30",E349)),ISNUMBER(SEARCH("500",E349)),ISNUMBER(SEARCH("100",E349))),100,100000))),0))</f>
        <v/>
      </c>
      <c r="V349" s="12"/>
      <c r="W349" s="36"/>
      <c r="X349" s="27" t="str">
        <f aca="false">IF(OR(V349="",W349=0),"",IFERROR((V349-K349)*IF(F349="Sell",-1,1)*R349*W349*IF(ISNUMBER(SEARCH("JPY",E349)),1000,IF(ISNUMBER(SEARCH("XAU",E349)),100,IF(OR(ISNUMBER(SEARCH("30",E349)),ISNUMBER(SEARCH("500",E349)),ISNUMBER(SEARCH("100",E349))),100,100000))),0))</f>
        <v/>
      </c>
      <c r="Y349" s="12"/>
      <c r="Z349" s="36"/>
      <c r="AA349" s="27" t="str">
        <f aca="false">IF(OR(Y349="",Z349=0),"",IFERROR((Y349-K349)*IF(F349="Sell",-1,1)*R349*Z349*IF(ISNUMBER(SEARCH("JPY",E349)),1000,IF(ISNUMBER(SEARCH("XAU",E349)),100,IF(OR(ISNUMBER(SEARCH("30",E349)),ISNUMBER(SEARCH("500",E349)),ISNUMBER(SEARCH("100",E349))),100,100000))),0))</f>
        <v/>
      </c>
      <c r="AB349" s="12"/>
      <c r="AC349" s="29" t="str">
        <f aca="false">IF(K349="","",1-IFERROR(T349,0)-IFERROR(W349,0)-IFERROR(Z349,0))</f>
        <v/>
      </c>
      <c r="AD349" s="30" t="str">
        <f aca="false">IF(AB349="","",IFERROR((IFERROR(S349*T349,0)+IFERROR(V349*W349,0)+IFERROR(Y349*Z349,0)+AB349*AC349)/(IFERROR(T349,0)+IFERROR(W349,0)+IFERROR(Z349,0)+AC349),AB349))</f>
        <v/>
      </c>
      <c r="AE349" s="27" t="str">
        <f aca="false">IF(AB349="","",IF(U349="",0,U349)+IF(X349="",0,X349)+IF(AA349="",0,AA349)+IFERROR((AB349-K349)*IF(F349="Sell",-1,1)*R349*AC349*IF(ISNUMBER(SEARCH("JPY",E349)),1000,IF(ISNUMBER(SEARCH("XAU",E349)),100,IF(OR(ISNUMBER(SEARCH("30",E349)),ISNUMBER(SEARCH("500",E349)),ISNUMBER(SEARCH("100",E349))),100,100000))),0))</f>
        <v/>
      </c>
      <c r="AF349" s="31" t="str">
        <f aca="false">IF(OR(K349="",M349="",L349=""),"",IFERROR(ABS(M349-K349)/ABS(K349-L349),0))</f>
        <v/>
      </c>
      <c r="AG349" s="31" t="str">
        <f aca="false">IF(OR(AE349="",AE349=0,Q349=0,Q349=""),"",IFERROR(AE349/Q349,0))</f>
        <v/>
      </c>
      <c r="AH349" s="32" t="str">
        <f aca="false">IF(AB349="","Open",IF(AG349="","Open",IF(AG349&gt;0.1,"Win",IF(AG349&lt;-0.1,"Loss","Breakeven"))))</f>
        <v>Open</v>
      </c>
      <c r="AI349" s="33" t="str">
        <f aca="false">IF(OR(B349="",D349=""),"",D349-B349)</f>
        <v/>
      </c>
      <c r="AJ349" s="24" t="str">
        <f aca="false">IF(AD349="","",IFERROR((AD349-K349)*IF(F349="Sell",-1,1)/IF(ISNUMBER(SEARCH("JPY",E349)),0.01,IF(ISNUMBER(SEARCH("XAU",E349)),0.01,IF(OR(ISNUMBER(SEARCH("30",E349)),ISNUMBER(SEARCH("500",E349)),ISNUMBER(SEARCH("100",E349))),1,0.0001))),0))</f>
        <v/>
      </c>
      <c r="AK349" s="12"/>
      <c r="AL349" s="12"/>
      <c r="AM349" s="12"/>
      <c r="AN349" s="12"/>
      <c r="AO349" s="27" t="str">
        <f aca="false">IF(AE349="","",IFERROR(IF(AO348="",SETTINGS!$B$6,AO348),SETTINGS!$B$6)+IF(AE349="",0,AE349))</f>
        <v/>
      </c>
      <c r="AP349" s="2"/>
    </row>
    <row r="350" customFormat="false" ht="15" hidden="false" customHeight="false" outlineLevel="0" collapsed="false">
      <c r="A350" s="24" t="str">
        <f aca="false">IF(B350="","",ROW()-3)</f>
        <v/>
      </c>
      <c r="B350" s="25"/>
      <c r="C350" s="10"/>
      <c r="D350" s="25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26"/>
      <c r="P350" s="24" t="str">
        <f aca="false">IF(K350="","",IFERROR(ABS(K350-L350)/IF(ISNUMBER(SEARCH("JPY",E350)),0.01,IF(ISNUMBER(SEARCH("XAU",E350)),0.01,IF(OR(ISNUMBER(SEARCH("30",E350)),ISNUMBER(SEARCH("500",E350)),ISNUMBER(SEARCH("100",E350))),1,0.0001))),0))</f>
        <v/>
      </c>
      <c r="Q350" s="27" t="str">
        <f aca="false">IF(K350="","",SETTINGS!$B$6*O350)</f>
        <v/>
      </c>
      <c r="R350" s="24" t="str">
        <f aca="false">IF(K350="","",IFERROR(Q350/(P350*IF(ISNUMBER(SEARCH("JPY",E350)),9.09,IF(ISNUMBER(SEARCH("XAU",E350)),1,IF(OR(ISNUMBER(SEARCH("30",E350)),ISNUMBER(SEARCH("500",E350)),ISNUMBER(SEARCH("100",E350))),1,10)))),0))</f>
        <v/>
      </c>
      <c r="S350" s="10"/>
      <c r="T350" s="28"/>
      <c r="U350" s="27" t="str">
        <f aca="false">IF(OR(S350="",T350=0),"",IFERROR((S350-K350)*IF(F350="Sell",-1,1)*R350*T350*IF(ISNUMBER(SEARCH("JPY",E350)),1000,IF(ISNUMBER(SEARCH("XAU",E350)),100,IF(OR(ISNUMBER(SEARCH("30",E350)),ISNUMBER(SEARCH("500",E350)),ISNUMBER(SEARCH("100",E350))),100,100000))),0))</f>
        <v/>
      </c>
      <c r="V350" s="10"/>
      <c r="W350" s="28"/>
      <c r="X350" s="27" t="str">
        <f aca="false">IF(OR(V350="",W350=0),"",IFERROR((V350-K350)*IF(F350="Sell",-1,1)*R350*W350*IF(ISNUMBER(SEARCH("JPY",E350)),1000,IF(ISNUMBER(SEARCH("XAU",E350)),100,IF(OR(ISNUMBER(SEARCH("30",E350)),ISNUMBER(SEARCH("500",E350)),ISNUMBER(SEARCH("100",E350))),100,100000))),0))</f>
        <v/>
      </c>
      <c r="Y350" s="10"/>
      <c r="Z350" s="28"/>
      <c r="AA350" s="27" t="str">
        <f aca="false">IF(OR(Y350="",Z350=0),"",IFERROR((Y350-K350)*IF(F350="Sell",-1,1)*R350*Z350*IF(ISNUMBER(SEARCH("JPY",E350)),1000,IF(ISNUMBER(SEARCH("XAU",E350)),100,IF(OR(ISNUMBER(SEARCH("30",E350)),ISNUMBER(SEARCH("500",E350)),ISNUMBER(SEARCH("100",E350))),100,100000))),0))</f>
        <v/>
      </c>
      <c r="AB350" s="10"/>
      <c r="AC350" s="29" t="str">
        <f aca="false">IF(K350="","",1-IFERROR(T350,0)-IFERROR(W350,0)-IFERROR(Z350,0))</f>
        <v/>
      </c>
      <c r="AD350" s="30" t="str">
        <f aca="false">IF(AB350="","",IFERROR((IFERROR(S350*T350,0)+IFERROR(V350*W350,0)+IFERROR(Y350*Z350,0)+AB350*AC350)/(IFERROR(T350,0)+IFERROR(W350,0)+IFERROR(Z350,0)+AC350),AB350))</f>
        <v/>
      </c>
      <c r="AE350" s="27" t="str">
        <f aca="false">IF(AB350="","",IF(U350="",0,U350)+IF(X350="",0,X350)+IF(AA350="",0,AA350)+IFERROR((AB350-K350)*IF(F350="Sell",-1,1)*R350*AC350*IF(ISNUMBER(SEARCH("JPY",E350)),1000,IF(ISNUMBER(SEARCH("XAU",E350)),100,IF(OR(ISNUMBER(SEARCH("30",E350)),ISNUMBER(SEARCH("500",E350)),ISNUMBER(SEARCH("100",E350))),100,100000))),0))</f>
        <v/>
      </c>
      <c r="AF350" s="31" t="str">
        <f aca="false">IF(OR(K350="",M350="",L350=""),"",IFERROR(ABS(M350-K350)/ABS(K350-L350),0))</f>
        <v/>
      </c>
      <c r="AG350" s="31" t="str">
        <f aca="false">IF(OR(AE350="",AE350=0,Q350=0,Q350=""),"",IFERROR(AE350/Q350,0))</f>
        <v/>
      </c>
      <c r="AH350" s="32" t="str">
        <f aca="false">IF(AB350="","Open",IF(AG350="","Open",IF(AG350&gt;0.1,"Win",IF(AG350&lt;-0.1,"Loss","Breakeven"))))</f>
        <v>Open</v>
      </c>
      <c r="AI350" s="33" t="str">
        <f aca="false">IF(OR(B350="",D350=""),"",D350-B350)</f>
        <v/>
      </c>
      <c r="AJ350" s="24" t="str">
        <f aca="false">IF(AD350="","",IFERROR((AD350-K350)*IF(F350="Sell",-1,1)/IF(ISNUMBER(SEARCH("JPY",E350)),0.01,IF(ISNUMBER(SEARCH("XAU",E350)),0.01,IF(OR(ISNUMBER(SEARCH("30",E350)),ISNUMBER(SEARCH("500",E350)),ISNUMBER(SEARCH("100",E350))),1,0.0001))),0))</f>
        <v/>
      </c>
      <c r="AK350" s="10"/>
      <c r="AL350" s="10"/>
      <c r="AM350" s="10"/>
      <c r="AN350" s="10"/>
      <c r="AO350" s="27" t="str">
        <f aca="false">IF(AE350="","",IFERROR(IF(AO349="",SETTINGS!$B$6,AO349),SETTINGS!$B$6)+IF(AE350="",0,AE350))</f>
        <v/>
      </c>
      <c r="AP350" s="2"/>
    </row>
    <row r="351" customFormat="false" ht="15" hidden="false" customHeight="false" outlineLevel="0" collapsed="false">
      <c r="A351" s="24" t="str">
        <f aca="false">IF(B351="","",ROW()-3)</f>
        <v/>
      </c>
      <c r="B351" s="34"/>
      <c r="C351" s="12"/>
      <c r="D351" s="34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35"/>
      <c r="P351" s="24" t="str">
        <f aca="false">IF(K351="","",IFERROR(ABS(K351-L351)/IF(ISNUMBER(SEARCH("JPY",E351)),0.01,IF(ISNUMBER(SEARCH("XAU",E351)),0.01,IF(OR(ISNUMBER(SEARCH("30",E351)),ISNUMBER(SEARCH("500",E351)),ISNUMBER(SEARCH("100",E351))),1,0.0001))),0))</f>
        <v/>
      </c>
      <c r="Q351" s="27" t="str">
        <f aca="false">IF(K351="","",SETTINGS!$B$6*O351)</f>
        <v/>
      </c>
      <c r="R351" s="24" t="str">
        <f aca="false">IF(K351="","",IFERROR(Q351/(P351*IF(ISNUMBER(SEARCH("JPY",E351)),9.09,IF(ISNUMBER(SEARCH("XAU",E351)),1,IF(OR(ISNUMBER(SEARCH("30",E351)),ISNUMBER(SEARCH("500",E351)),ISNUMBER(SEARCH("100",E351))),1,10)))),0))</f>
        <v/>
      </c>
      <c r="S351" s="12"/>
      <c r="T351" s="36"/>
      <c r="U351" s="27" t="str">
        <f aca="false">IF(OR(S351="",T351=0),"",IFERROR((S351-K351)*IF(F351="Sell",-1,1)*R351*T351*IF(ISNUMBER(SEARCH("JPY",E351)),1000,IF(ISNUMBER(SEARCH("XAU",E351)),100,IF(OR(ISNUMBER(SEARCH("30",E351)),ISNUMBER(SEARCH("500",E351)),ISNUMBER(SEARCH("100",E351))),100,100000))),0))</f>
        <v/>
      </c>
      <c r="V351" s="12"/>
      <c r="W351" s="36"/>
      <c r="X351" s="27" t="str">
        <f aca="false">IF(OR(V351="",W351=0),"",IFERROR((V351-K351)*IF(F351="Sell",-1,1)*R351*W351*IF(ISNUMBER(SEARCH("JPY",E351)),1000,IF(ISNUMBER(SEARCH("XAU",E351)),100,IF(OR(ISNUMBER(SEARCH("30",E351)),ISNUMBER(SEARCH("500",E351)),ISNUMBER(SEARCH("100",E351))),100,100000))),0))</f>
        <v/>
      </c>
      <c r="Y351" s="12"/>
      <c r="Z351" s="36"/>
      <c r="AA351" s="27" t="str">
        <f aca="false">IF(OR(Y351="",Z351=0),"",IFERROR((Y351-K351)*IF(F351="Sell",-1,1)*R351*Z351*IF(ISNUMBER(SEARCH("JPY",E351)),1000,IF(ISNUMBER(SEARCH("XAU",E351)),100,IF(OR(ISNUMBER(SEARCH("30",E351)),ISNUMBER(SEARCH("500",E351)),ISNUMBER(SEARCH("100",E351))),100,100000))),0))</f>
        <v/>
      </c>
      <c r="AB351" s="12"/>
      <c r="AC351" s="29" t="str">
        <f aca="false">IF(K351="","",1-IFERROR(T351,0)-IFERROR(W351,0)-IFERROR(Z351,0))</f>
        <v/>
      </c>
      <c r="AD351" s="30" t="str">
        <f aca="false">IF(AB351="","",IFERROR((IFERROR(S351*T351,0)+IFERROR(V351*W351,0)+IFERROR(Y351*Z351,0)+AB351*AC351)/(IFERROR(T351,0)+IFERROR(W351,0)+IFERROR(Z351,0)+AC351),AB351))</f>
        <v/>
      </c>
      <c r="AE351" s="27" t="str">
        <f aca="false">IF(AB351="","",IF(U351="",0,U351)+IF(X351="",0,X351)+IF(AA351="",0,AA351)+IFERROR((AB351-K351)*IF(F351="Sell",-1,1)*R351*AC351*IF(ISNUMBER(SEARCH("JPY",E351)),1000,IF(ISNUMBER(SEARCH("XAU",E351)),100,IF(OR(ISNUMBER(SEARCH("30",E351)),ISNUMBER(SEARCH("500",E351)),ISNUMBER(SEARCH("100",E351))),100,100000))),0))</f>
        <v/>
      </c>
      <c r="AF351" s="31" t="str">
        <f aca="false">IF(OR(K351="",M351="",L351=""),"",IFERROR(ABS(M351-K351)/ABS(K351-L351),0))</f>
        <v/>
      </c>
      <c r="AG351" s="31" t="str">
        <f aca="false">IF(OR(AE351="",AE351=0,Q351=0,Q351=""),"",IFERROR(AE351/Q351,0))</f>
        <v/>
      </c>
      <c r="AH351" s="32" t="str">
        <f aca="false">IF(AB351="","Open",IF(AG351="","Open",IF(AG351&gt;0.1,"Win",IF(AG351&lt;-0.1,"Loss","Breakeven"))))</f>
        <v>Open</v>
      </c>
      <c r="AI351" s="33" t="str">
        <f aca="false">IF(OR(B351="",D351=""),"",D351-B351)</f>
        <v/>
      </c>
      <c r="AJ351" s="24" t="str">
        <f aca="false">IF(AD351="","",IFERROR((AD351-K351)*IF(F351="Sell",-1,1)/IF(ISNUMBER(SEARCH("JPY",E351)),0.01,IF(ISNUMBER(SEARCH("XAU",E351)),0.01,IF(OR(ISNUMBER(SEARCH("30",E351)),ISNUMBER(SEARCH("500",E351)),ISNUMBER(SEARCH("100",E351))),1,0.0001))),0))</f>
        <v/>
      </c>
      <c r="AK351" s="12"/>
      <c r="AL351" s="12"/>
      <c r="AM351" s="12"/>
      <c r="AN351" s="12"/>
      <c r="AO351" s="27" t="str">
        <f aca="false">IF(AE351="","",IFERROR(IF(AO350="",SETTINGS!$B$6,AO350),SETTINGS!$B$6)+IF(AE351="",0,AE351))</f>
        <v/>
      </c>
      <c r="AP351" s="2"/>
    </row>
    <row r="352" customFormat="false" ht="15" hidden="false" customHeight="false" outlineLevel="0" collapsed="false">
      <c r="A352" s="24" t="str">
        <f aca="false">IF(B352="","",ROW()-3)</f>
        <v/>
      </c>
      <c r="B352" s="25"/>
      <c r="C352" s="10"/>
      <c r="D352" s="25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26"/>
      <c r="P352" s="24" t="str">
        <f aca="false">IF(K352="","",IFERROR(ABS(K352-L352)/IF(ISNUMBER(SEARCH("JPY",E352)),0.01,IF(ISNUMBER(SEARCH("XAU",E352)),0.01,IF(OR(ISNUMBER(SEARCH("30",E352)),ISNUMBER(SEARCH("500",E352)),ISNUMBER(SEARCH("100",E352))),1,0.0001))),0))</f>
        <v/>
      </c>
      <c r="Q352" s="27" t="str">
        <f aca="false">IF(K352="","",SETTINGS!$B$6*O352)</f>
        <v/>
      </c>
      <c r="R352" s="24" t="str">
        <f aca="false">IF(K352="","",IFERROR(Q352/(P352*IF(ISNUMBER(SEARCH("JPY",E352)),9.09,IF(ISNUMBER(SEARCH("XAU",E352)),1,IF(OR(ISNUMBER(SEARCH("30",E352)),ISNUMBER(SEARCH("500",E352)),ISNUMBER(SEARCH("100",E352))),1,10)))),0))</f>
        <v/>
      </c>
      <c r="S352" s="10"/>
      <c r="T352" s="28"/>
      <c r="U352" s="27" t="str">
        <f aca="false">IF(OR(S352="",T352=0),"",IFERROR((S352-K352)*IF(F352="Sell",-1,1)*R352*T352*IF(ISNUMBER(SEARCH("JPY",E352)),1000,IF(ISNUMBER(SEARCH("XAU",E352)),100,IF(OR(ISNUMBER(SEARCH("30",E352)),ISNUMBER(SEARCH("500",E352)),ISNUMBER(SEARCH("100",E352))),100,100000))),0))</f>
        <v/>
      </c>
      <c r="V352" s="10"/>
      <c r="W352" s="28"/>
      <c r="X352" s="27" t="str">
        <f aca="false">IF(OR(V352="",W352=0),"",IFERROR((V352-K352)*IF(F352="Sell",-1,1)*R352*W352*IF(ISNUMBER(SEARCH("JPY",E352)),1000,IF(ISNUMBER(SEARCH("XAU",E352)),100,IF(OR(ISNUMBER(SEARCH("30",E352)),ISNUMBER(SEARCH("500",E352)),ISNUMBER(SEARCH("100",E352))),100,100000))),0))</f>
        <v/>
      </c>
      <c r="Y352" s="10"/>
      <c r="Z352" s="28"/>
      <c r="AA352" s="27" t="str">
        <f aca="false">IF(OR(Y352="",Z352=0),"",IFERROR((Y352-K352)*IF(F352="Sell",-1,1)*R352*Z352*IF(ISNUMBER(SEARCH("JPY",E352)),1000,IF(ISNUMBER(SEARCH("XAU",E352)),100,IF(OR(ISNUMBER(SEARCH("30",E352)),ISNUMBER(SEARCH("500",E352)),ISNUMBER(SEARCH("100",E352))),100,100000))),0))</f>
        <v/>
      </c>
      <c r="AB352" s="10"/>
      <c r="AC352" s="29" t="str">
        <f aca="false">IF(K352="","",1-IFERROR(T352,0)-IFERROR(W352,0)-IFERROR(Z352,0))</f>
        <v/>
      </c>
      <c r="AD352" s="30" t="str">
        <f aca="false">IF(AB352="","",IFERROR((IFERROR(S352*T352,0)+IFERROR(V352*W352,0)+IFERROR(Y352*Z352,0)+AB352*AC352)/(IFERROR(T352,0)+IFERROR(W352,0)+IFERROR(Z352,0)+AC352),AB352))</f>
        <v/>
      </c>
      <c r="AE352" s="27" t="str">
        <f aca="false">IF(AB352="","",IF(U352="",0,U352)+IF(X352="",0,X352)+IF(AA352="",0,AA352)+IFERROR((AB352-K352)*IF(F352="Sell",-1,1)*R352*AC352*IF(ISNUMBER(SEARCH("JPY",E352)),1000,IF(ISNUMBER(SEARCH("XAU",E352)),100,IF(OR(ISNUMBER(SEARCH("30",E352)),ISNUMBER(SEARCH("500",E352)),ISNUMBER(SEARCH("100",E352))),100,100000))),0))</f>
        <v/>
      </c>
      <c r="AF352" s="31" t="str">
        <f aca="false">IF(OR(K352="",M352="",L352=""),"",IFERROR(ABS(M352-K352)/ABS(K352-L352),0))</f>
        <v/>
      </c>
      <c r="AG352" s="31" t="str">
        <f aca="false">IF(OR(AE352="",AE352=0,Q352=0,Q352=""),"",IFERROR(AE352/Q352,0))</f>
        <v/>
      </c>
      <c r="AH352" s="32" t="str">
        <f aca="false">IF(AB352="","Open",IF(AG352="","Open",IF(AG352&gt;0.1,"Win",IF(AG352&lt;-0.1,"Loss","Breakeven"))))</f>
        <v>Open</v>
      </c>
      <c r="AI352" s="33" t="str">
        <f aca="false">IF(OR(B352="",D352=""),"",D352-B352)</f>
        <v/>
      </c>
      <c r="AJ352" s="24" t="str">
        <f aca="false">IF(AD352="","",IFERROR((AD352-K352)*IF(F352="Sell",-1,1)/IF(ISNUMBER(SEARCH("JPY",E352)),0.01,IF(ISNUMBER(SEARCH("XAU",E352)),0.01,IF(OR(ISNUMBER(SEARCH("30",E352)),ISNUMBER(SEARCH("500",E352)),ISNUMBER(SEARCH("100",E352))),1,0.0001))),0))</f>
        <v/>
      </c>
      <c r="AK352" s="10"/>
      <c r="AL352" s="10"/>
      <c r="AM352" s="10"/>
      <c r="AN352" s="10"/>
      <c r="AO352" s="27" t="str">
        <f aca="false">IF(AE352="","",IFERROR(IF(AO351="",SETTINGS!$B$6,AO351),SETTINGS!$B$6)+IF(AE352="",0,AE352))</f>
        <v/>
      </c>
      <c r="AP352" s="2"/>
    </row>
    <row r="353" customFormat="false" ht="15" hidden="false" customHeight="false" outlineLevel="0" collapsed="false">
      <c r="A353" s="24" t="str">
        <f aca="false">IF(B353="","",ROW()-3)</f>
        <v/>
      </c>
      <c r="B353" s="34"/>
      <c r="C353" s="12"/>
      <c r="D353" s="34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35"/>
      <c r="P353" s="24" t="str">
        <f aca="false">IF(K353="","",IFERROR(ABS(K353-L353)/IF(ISNUMBER(SEARCH("JPY",E353)),0.01,IF(ISNUMBER(SEARCH("XAU",E353)),0.01,IF(OR(ISNUMBER(SEARCH("30",E353)),ISNUMBER(SEARCH("500",E353)),ISNUMBER(SEARCH("100",E353))),1,0.0001))),0))</f>
        <v/>
      </c>
      <c r="Q353" s="27" t="str">
        <f aca="false">IF(K353="","",SETTINGS!$B$6*O353)</f>
        <v/>
      </c>
      <c r="R353" s="24" t="str">
        <f aca="false">IF(K353="","",IFERROR(Q353/(P353*IF(ISNUMBER(SEARCH("JPY",E353)),9.09,IF(ISNUMBER(SEARCH("XAU",E353)),1,IF(OR(ISNUMBER(SEARCH("30",E353)),ISNUMBER(SEARCH("500",E353)),ISNUMBER(SEARCH("100",E353))),1,10)))),0))</f>
        <v/>
      </c>
      <c r="S353" s="12"/>
      <c r="T353" s="36"/>
      <c r="U353" s="27" t="str">
        <f aca="false">IF(OR(S353="",T353=0),"",IFERROR((S353-K353)*IF(F353="Sell",-1,1)*R353*T353*IF(ISNUMBER(SEARCH("JPY",E353)),1000,IF(ISNUMBER(SEARCH("XAU",E353)),100,IF(OR(ISNUMBER(SEARCH("30",E353)),ISNUMBER(SEARCH("500",E353)),ISNUMBER(SEARCH("100",E353))),100,100000))),0))</f>
        <v/>
      </c>
      <c r="V353" s="12"/>
      <c r="W353" s="36"/>
      <c r="X353" s="27" t="str">
        <f aca="false">IF(OR(V353="",W353=0),"",IFERROR((V353-K353)*IF(F353="Sell",-1,1)*R353*W353*IF(ISNUMBER(SEARCH("JPY",E353)),1000,IF(ISNUMBER(SEARCH("XAU",E353)),100,IF(OR(ISNUMBER(SEARCH("30",E353)),ISNUMBER(SEARCH("500",E353)),ISNUMBER(SEARCH("100",E353))),100,100000))),0))</f>
        <v/>
      </c>
      <c r="Y353" s="12"/>
      <c r="Z353" s="36"/>
      <c r="AA353" s="27" t="str">
        <f aca="false">IF(OR(Y353="",Z353=0),"",IFERROR((Y353-K353)*IF(F353="Sell",-1,1)*R353*Z353*IF(ISNUMBER(SEARCH("JPY",E353)),1000,IF(ISNUMBER(SEARCH("XAU",E353)),100,IF(OR(ISNUMBER(SEARCH("30",E353)),ISNUMBER(SEARCH("500",E353)),ISNUMBER(SEARCH("100",E353))),100,100000))),0))</f>
        <v/>
      </c>
      <c r="AB353" s="12"/>
      <c r="AC353" s="29" t="str">
        <f aca="false">IF(K353="","",1-IFERROR(T353,0)-IFERROR(W353,0)-IFERROR(Z353,0))</f>
        <v/>
      </c>
      <c r="AD353" s="30" t="str">
        <f aca="false">IF(AB353="","",IFERROR((IFERROR(S353*T353,0)+IFERROR(V353*W353,0)+IFERROR(Y353*Z353,0)+AB353*AC353)/(IFERROR(T353,0)+IFERROR(W353,0)+IFERROR(Z353,0)+AC353),AB353))</f>
        <v/>
      </c>
      <c r="AE353" s="27" t="str">
        <f aca="false">IF(AB353="","",IF(U353="",0,U353)+IF(X353="",0,X353)+IF(AA353="",0,AA353)+IFERROR((AB353-K353)*IF(F353="Sell",-1,1)*R353*AC353*IF(ISNUMBER(SEARCH("JPY",E353)),1000,IF(ISNUMBER(SEARCH("XAU",E353)),100,IF(OR(ISNUMBER(SEARCH("30",E353)),ISNUMBER(SEARCH("500",E353)),ISNUMBER(SEARCH("100",E353))),100,100000))),0))</f>
        <v/>
      </c>
      <c r="AF353" s="31" t="str">
        <f aca="false">IF(OR(K353="",M353="",L353=""),"",IFERROR(ABS(M353-K353)/ABS(K353-L353),0))</f>
        <v/>
      </c>
      <c r="AG353" s="31" t="str">
        <f aca="false">IF(OR(AE353="",AE353=0,Q353=0,Q353=""),"",IFERROR(AE353/Q353,0))</f>
        <v/>
      </c>
      <c r="AH353" s="32" t="str">
        <f aca="false">IF(AB353="","Open",IF(AG353="","Open",IF(AG353&gt;0.1,"Win",IF(AG353&lt;-0.1,"Loss","Breakeven"))))</f>
        <v>Open</v>
      </c>
      <c r="AI353" s="33" t="str">
        <f aca="false">IF(OR(B353="",D353=""),"",D353-B353)</f>
        <v/>
      </c>
      <c r="AJ353" s="24" t="str">
        <f aca="false">IF(AD353="","",IFERROR((AD353-K353)*IF(F353="Sell",-1,1)/IF(ISNUMBER(SEARCH("JPY",E353)),0.01,IF(ISNUMBER(SEARCH("XAU",E353)),0.01,IF(OR(ISNUMBER(SEARCH("30",E353)),ISNUMBER(SEARCH("500",E353)),ISNUMBER(SEARCH("100",E353))),1,0.0001))),0))</f>
        <v/>
      </c>
      <c r="AK353" s="12"/>
      <c r="AL353" s="12"/>
      <c r="AM353" s="12"/>
      <c r="AN353" s="12"/>
      <c r="AO353" s="27" t="str">
        <f aca="false">IF(AE353="","",IFERROR(IF(AO352="",SETTINGS!$B$6,AO352),SETTINGS!$B$6)+IF(AE353="",0,AE353))</f>
        <v/>
      </c>
      <c r="AP353" s="2"/>
    </row>
    <row r="354" customFormat="false" ht="15" hidden="false" customHeight="false" outlineLevel="0" collapsed="false">
      <c r="A354" s="24" t="str">
        <f aca="false">IF(B354="","",ROW()-3)</f>
        <v/>
      </c>
      <c r="B354" s="25"/>
      <c r="C354" s="10"/>
      <c r="D354" s="25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26"/>
      <c r="P354" s="24" t="str">
        <f aca="false">IF(K354="","",IFERROR(ABS(K354-L354)/IF(ISNUMBER(SEARCH("JPY",E354)),0.01,IF(ISNUMBER(SEARCH("XAU",E354)),0.01,IF(OR(ISNUMBER(SEARCH("30",E354)),ISNUMBER(SEARCH("500",E354)),ISNUMBER(SEARCH("100",E354))),1,0.0001))),0))</f>
        <v/>
      </c>
      <c r="Q354" s="27" t="str">
        <f aca="false">IF(K354="","",SETTINGS!$B$6*O354)</f>
        <v/>
      </c>
      <c r="R354" s="24" t="str">
        <f aca="false">IF(K354="","",IFERROR(Q354/(P354*IF(ISNUMBER(SEARCH("JPY",E354)),9.09,IF(ISNUMBER(SEARCH("XAU",E354)),1,IF(OR(ISNUMBER(SEARCH("30",E354)),ISNUMBER(SEARCH("500",E354)),ISNUMBER(SEARCH("100",E354))),1,10)))),0))</f>
        <v/>
      </c>
      <c r="S354" s="10"/>
      <c r="T354" s="28"/>
      <c r="U354" s="27" t="str">
        <f aca="false">IF(OR(S354="",T354=0),"",IFERROR((S354-K354)*IF(F354="Sell",-1,1)*R354*T354*IF(ISNUMBER(SEARCH("JPY",E354)),1000,IF(ISNUMBER(SEARCH("XAU",E354)),100,IF(OR(ISNUMBER(SEARCH("30",E354)),ISNUMBER(SEARCH("500",E354)),ISNUMBER(SEARCH("100",E354))),100,100000))),0))</f>
        <v/>
      </c>
      <c r="V354" s="10"/>
      <c r="W354" s="28"/>
      <c r="X354" s="27" t="str">
        <f aca="false">IF(OR(V354="",W354=0),"",IFERROR((V354-K354)*IF(F354="Sell",-1,1)*R354*W354*IF(ISNUMBER(SEARCH("JPY",E354)),1000,IF(ISNUMBER(SEARCH("XAU",E354)),100,IF(OR(ISNUMBER(SEARCH("30",E354)),ISNUMBER(SEARCH("500",E354)),ISNUMBER(SEARCH("100",E354))),100,100000))),0))</f>
        <v/>
      </c>
      <c r="Y354" s="10"/>
      <c r="Z354" s="28"/>
      <c r="AA354" s="27" t="str">
        <f aca="false">IF(OR(Y354="",Z354=0),"",IFERROR((Y354-K354)*IF(F354="Sell",-1,1)*R354*Z354*IF(ISNUMBER(SEARCH("JPY",E354)),1000,IF(ISNUMBER(SEARCH("XAU",E354)),100,IF(OR(ISNUMBER(SEARCH("30",E354)),ISNUMBER(SEARCH("500",E354)),ISNUMBER(SEARCH("100",E354))),100,100000))),0))</f>
        <v/>
      </c>
      <c r="AB354" s="10"/>
      <c r="AC354" s="29" t="str">
        <f aca="false">IF(K354="","",1-IFERROR(T354,0)-IFERROR(W354,0)-IFERROR(Z354,0))</f>
        <v/>
      </c>
      <c r="AD354" s="30" t="str">
        <f aca="false">IF(AB354="","",IFERROR((IFERROR(S354*T354,0)+IFERROR(V354*W354,0)+IFERROR(Y354*Z354,0)+AB354*AC354)/(IFERROR(T354,0)+IFERROR(W354,0)+IFERROR(Z354,0)+AC354),AB354))</f>
        <v/>
      </c>
      <c r="AE354" s="27" t="str">
        <f aca="false">IF(AB354="","",IF(U354="",0,U354)+IF(X354="",0,X354)+IF(AA354="",0,AA354)+IFERROR((AB354-K354)*IF(F354="Sell",-1,1)*R354*AC354*IF(ISNUMBER(SEARCH("JPY",E354)),1000,IF(ISNUMBER(SEARCH("XAU",E354)),100,IF(OR(ISNUMBER(SEARCH("30",E354)),ISNUMBER(SEARCH("500",E354)),ISNUMBER(SEARCH("100",E354))),100,100000))),0))</f>
        <v/>
      </c>
      <c r="AF354" s="31" t="str">
        <f aca="false">IF(OR(K354="",M354="",L354=""),"",IFERROR(ABS(M354-K354)/ABS(K354-L354),0))</f>
        <v/>
      </c>
      <c r="AG354" s="31" t="str">
        <f aca="false">IF(OR(AE354="",AE354=0,Q354=0,Q354=""),"",IFERROR(AE354/Q354,0))</f>
        <v/>
      </c>
      <c r="AH354" s="32" t="str">
        <f aca="false">IF(AB354="","Open",IF(AG354="","Open",IF(AG354&gt;0.1,"Win",IF(AG354&lt;-0.1,"Loss","Breakeven"))))</f>
        <v>Open</v>
      </c>
      <c r="AI354" s="33" t="str">
        <f aca="false">IF(OR(B354="",D354=""),"",D354-B354)</f>
        <v/>
      </c>
      <c r="AJ354" s="24" t="str">
        <f aca="false">IF(AD354="","",IFERROR((AD354-K354)*IF(F354="Sell",-1,1)/IF(ISNUMBER(SEARCH("JPY",E354)),0.01,IF(ISNUMBER(SEARCH("XAU",E354)),0.01,IF(OR(ISNUMBER(SEARCH("30",E354)),ISNUMBER(SEARCH("500",E354)),ISNUMBER(SEARCH("100",E354))),1,0.0001))),0))</f>
        <v/>
      </c>
      <c r="AK354" s="10"/>
      <c r="AL354" s="10"/>
      <c r="AM354" s="10"/>
      <c r="AN354" s="10"/>
      <c r="AO354" s="27" t="str">
        <f aca="false">IF(AE354="","",IFERROR(IF(AO353="",SETTINGS!$B$6,AO353),SETTINGS!$B$6)+IF(AE354="",0,AE354))</f>
        <v/>
      </c>
      <c r="AP354" s="2"/>
    </row>
    <row r="355" customFormat="false" ht="15" hidden="false" customHeight="false" outlineLevel="0" collapsed="false">
      <c r="A355" s="24" t="str">
        <f aca="false">IF(B355="","",ROW()-3)</f>
        <v/>
      </c>
      <c r="B355" s="34"/>
      <c r="C355" s="12"/>
      <c r="D355" s="34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35"/>
      <c r="P355" s="24" t="str">
        <f aca="false">IF(K355="","",IFERROR(ABS(K355-L355)/IF(ISNUMBER(SEARCH("JPY",E355)),0.01,IF(ISNUMBER(SEARCH("XAU",E355)),0.01,IF(OR(ISNUMBER(SEARCH("30",E355)),ISNUMBER(SEARCH("500",E355)),ISNUMBER(SEARCH("100",E355))),1,0.0001))),0))</f>
        <v/>
      </c>
      <c r="Q355" s="27" t="str">
        <f aca="false">IF(K355="","",SETTINGS!$B$6*O355)</f>
        <v/>
      </c>
      <c r="R355" s="24" t="str">
        <f aca="false">IF(K355="","",IFERROR(Q355/(P355*IF(ISNUMBER(SEARCH("JPY",E355)),9.09,IF(ISNUMBER(SEARCH("XAU",E355)),1,IF(OR(ISNUMBER(SEARCH("30",E355)),ISNUMBER(SEARCH("500",E355)),ISNUMBER(SEARCH("100",E355))),1,10)))),0))</f>
        <v/>
      </c>
      <c r="S355" s="12"/>
      <c r="T355" s="36"/>
      <c r="U355" s="27" t="str">
        <f aca="false">IF(OR(S355="",T355=0),"",IFERROR((S355-K355)*IF(F355="Sell",-1,1)*R355*T355*IF(ISNUMBER(SEARCH("JPY",E355)),1000,IF(ISNUMBER(SEARCH("XAU",E355)),100,IF(OR(ISNUMBER(SEARCH("30",E355)),ISNUMBER(SEARCH("500",E355)),ISNUMBER(SEARCH("100",E355))),100,100000))),0))</f>
        <v/>
      </c>
      <c r="V355" s="12"/>
      <c r="W355" s="36"/>
      <c r="X355" s="27" t="str">
        <f aca="false">IF(OR(V355="",W355=0),"",IFERROR((V355-K355)*IF(F355="Sell",-1,1)*R355*W355*IF(ISNUMBER(SEARCH("JPY",E355)),1000,IF(ISNUMBER(SEARCH("XAU",E355)),100,IF(OR(ISNUMBER(SEARCH("30",E355)),ISNUMBER(SEARCH("500",E355)),ISNUMBER(SEARCH("100",E355))),100,100000))),0))</f>
        <v/>
      </c>
      <c r="Y355" s="12"/>
      <c r="Z355" s="36"/>
      <c r="AA355" s="27" t="str">
        <f aca="false">IF(OR(Y355="",Z355=0),"",IFERROR((Y355-K355)*IF(F355="Sell",-1,1)*R355*Z355*IF(ISNUMBER(SEARCH("JPY",E355)),1000,IF(ISNUMBER(SEARCH("XAU",E355)),100,IF(OR(ISNUMBER(SEARCH("30",E355)),ISNUMBER(SEARCH("500",E355)),ISNUMBER(SEARCH("100",E355))),100,100000))),0))</f>
        <v/>
      </c>
      <c r="AB355" s="12"/>
      <c r="AC355" s="29" t="str">
        <f aca="false">IF(K355="","",1-IFERROR(T355,0)-IFERROR(W355,0)-IFERROR(Z355,0))</f>
        <v/>
      </c>
      <c r="AD355" s="30" t="str">
        <f aca="false">IF(AB355="","",IFERROR((IFERROR(S355*T355,0)+IFERROR(V355*W355,0)+IFERROR(Y355*Z355,0)+AB355*AC355)/(IFERROR(T355,0)+IFERROR(W355,0)+IFERROR(Z355,0)+AC355),AB355))</f>
        <v/>
      </c>
      <c r="AE355" s="27" t="str">
        <f aca="false">IF(AB355="","",IF(U355="",0,U355)+IF(X355="",0,X355)+IF(AA355="",0,AA355)+IFERROR((AB355-K355)*IF(F355="Sell",-1,1)*R355*AC355*IF(ISNUMBER(SEARCH("JPY",E355)),1000,IF(ISNUMBER(SEARCH("XAU",E355)),100,IF(OR(ISNUMBER(SEARCH("30",E355)),ISNUMBER(SEARCH("500",E355)),ISNUMBER(SEARCH("100",E355))),100,100000))),0))</f>
        <v/>
      </c>
      <c r="AF355" s="31" t="str">
        <f aca="false">IF(OR(K355="",M355="",L355=""),"",IFERROR(ABS(M355-K355)/ABS(K355-L355),0))</f>
        <v/>
      </c>
      <c r="AG355" s="31" t="str">
        <f aca="false">IF(OR(AE355="",AE355=0,Q355=0,Q355=""),"",IFERROR(AE355/Q355,0))</f>
        <v/>
      </c>
      <c r="AH355" s="32" t="str">
        <f aca="false">IF(AB355="","Open",IF(AG355="","Open",IF(AG355&gt;0.1,"Win",IF(AG355&lt;-0.1,"Loss","Breakeven"))))</f>
        <v>Open</v>
      </c>
      <c r="AI355" s="33" t="str">
        <f aca="false">IF(OR(B355="",D355=""),"",D355-B355)</f>
        <v/>
      </c>
      <c r="AJ355" s="24" t="str">
        <f aca="false">IF(AD355="","",IFERROR((AD355-K355)*IF(F355="Sell",-1,1)/IF(ISNUMBER(SEARCH("JPY",E355)),0.01,IF(ISNUMBER(SEARCH("XAU",E355)),0.01,IF(OR(ISNUMBER(SEARCH("30",E355)),ISNUMBER(SEARCH("500",E355)),ISNUMBER(SEARCH("100",E355))),1,0.0001))),0))</f>
        <v/>
      </c>
      <c r="AK355" s="12"/>
      <c r="AL355" s="12"/>
      <c r="AM355" s="12"/>
      <c r="AN355" s="12"/>
      <c r="AO355" s="27" t="str">
        <f aca="false">IF(AE355="","",IFERROR(IF(AO354="",SETTINGS!$B$6,AO354),SETTINGS!$B$6)+IF(AE355="",0,AE355))</f>
        <v/>
      </c>
      <c r="AP355" s="2"/>
    </row>
    <row r="356" customFormat="false" ht="15" hidden="false" customHeight="false" outlineLevel="0" collapsed="false">
      <c r="A356" s="24" t="str">
        <f aca="false">IF(B356="","",ROW()-3)</f>
        <v/>
      </c>
      <c r="B356" s="25"/>
      <c r="C356" s="10"/>
      <c r="D356" s="25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26"/>
      <c r="P356" s="24" t="str">
        <f aca="false">IF(K356="","",IFERROR(ABS(K356-L356)/IF(ISNUMBER(SEARCH("JPY",E356)),0.01,IF(ISNUMBER(SEARCH("XAU",E356)),0.01,IF(OR(ISNUMBER(SEARCH("30",E356)),ISNUMBER(SEARCH("500",E356)),ISNUMBER(SEARCH("100",E356))),1,0.0001))),0))</f>
        <v/>
      </c>
      <c r="Q356" s="27" t="str">
        <f aca="false">IF(K356="","",SETTINGS!$B$6*O356)</f>
        <v/>
      </c>
      <c r="R356" s="24" t="str">
        <f aca="false">IF(K356="","",IFERROR(Q356/(P356*IF(ISNUMBER(SEARCH("JPY",E356)),9.09,IF(ISNUMBER(SEARCH("XAU",E356)),1,IF(OR(ISNUMBER(SEARCH("30",E356)),ISNUMBER(SEARCH("500",E356)),ISNUMBER(SEARCH("100",E356))),1,10)))),0))</f>
        <v/>
      </c>
      <c r="S356" s="10"/>
      <c r="T356" s="28"/>
      <c r="U356" s="27" t="str">
        <f aca="false">IF(OR(S356="",T356=0),"",IFERROR((S356-K356)*IF(F356="Sell",-1,1)*R356*T356*IF(ISNUMBER(SEARCH("JPY",E356)),1000,IF(ISNUMBER(SEARCH("XAU",E356)),100,IF(OR(ISNUMBER(SEARCH("30",E356)),ISNUMBER(SEARCH("500",E356)),ISNUMBER(SEARCH("100",E356))),100,100000))),0))</f>
        <v/>
      </c>
      <c r="V356" s="10"/>
      <c r="W356" s="28"/>
      <c r="X356" s="27" t="str">
        <f aca="false">IF(OR(V356="",W356=0),"",IFERROR((V356-K356)*IF(F356="Sell",-1,1)*R356*W356*IF(ISNUMBER(SEARCH("JPY",E356)),1000,IF(ISNUMBER(SEARCH("XAU",E356)),100,IF(OR(ISNUMBER(SEARCH("30",E356)),ISNUMBER(SEARCH("500",E356)),ISNUMBER(SEARCH("100",E356))),100,100000))),0))</f>
        <v/>
      </c>
      <c r="Y356" s="10"/>
      <c r="Z356" s="28"/>
      <c r="AA356" s="27" t="str">
        <f aca="false">IF(OR(Y356="",Z356=0),"",IFERROR((Y356-K356)*IF(F356="Sell",-1,1)*R356*Z356*IF(ISNUMBER(SEARCH("JPY",E356)),1000,IF(ISNUMBER(SEARCH("XAU",E356)),100,IF(OR(ISNUMBER(SEARCH("30",E356)),ISNUMBER(SEARCH("500",E356)),ISNUMBER(SEARCH("100",E356))),100,100000))),0))</f>
        <v/>
      </c>
      <c r="AB356" s="10"/>
      <c r="AC356" s="29" t="str">
        <f aca="false">IF(K356="","",1-IFERROR(T356,0)-IFERROR(W356,0)-IFERROR(Z356,0))</f>
        <v/>
      </c>
      <c r="AD356" s="30" t="str">
        <f aca="false">IF(AB356="","",IFERROR((IFERROR(S356*T356,0)+IFERROR(V356*W356,0)+IFERROR(Y356*Z356,0)+AB356*AC356)/(IFERROR(T356,0)+IFERROR(W356,0)+IFERROR(Z356,0)+AC356),AB356))</f>
        <v/>
      </c>
      <c r="AE356" s="27" t="str">
        <f aca="false">IF(AB356="","",IF(U356="",0,U356)+IF(X356="",0,X356)+IF(AA356="",0,AA356)+IFERROR((AB356-K356)*IF(F356="Sell",-1,1)*R356*AC356*IF(ISNUMBER(SEARCH("JPY",E356)),1000,IF(ISNUMBER(SEARCH("XAU",E356)),100,IF(OR(ISNUMBER(SEARCH("30",E356)),ISNUMBER(SEARCH("500",E356)),ISNUMBER(SEARCH("100",E356))),100,100000))),0))</f>
        <v/>
      </c>
      <c r="AF356" s="31" t="str">
        <f aca="false">IF(OR(K356="",M356="",L356=""),"",IFERROR(ABS(M356-K356)/ABS(K356-L356),0))</f>
        <v/>
      </c>
      <c r="AG356" s="31" t="str">
        <f aca="false">IF(OR(AE356="",AE356=0,Q356=0,Q356=""),"",IFERROR(AE356/Q356,0))</f>
        <v/>
      </c>
      <c r="AH356" s="32" t="str">
        <f aca="false">IF(AB356="","Open",IF(AG356="","Open",IF(AG356&gt;0.1,"Win",IF(AG356&lt;-0.1,"Loss","Breakeven"))))</f>
        <v>Open</v>
      </c>
      <c r="AI356" s="33" t="str">
        <f aca="false">IF(OR(B356="",D356=""),"",D356-B356)</f>
        <v/>
      </c>
      <c r="AJ356" s="24" t="str">
        <f aca="false">IF(AD356="","",IFERROR((AD356-K356)*IF(F356="Sell",-1,1)/IF(ISNUMBER(SEARCH("JPY",E356)),0.01,IF(ISNUMBER(SEARCH("XAU",E356)),0.01,IF(OR(ISNUMBER(SEARCH("30",E356)),ISNUMBER(SEARCH("500",E356)),ISNUMBER(SEARCH("100",E356))),1,0.0001))),0))</f>
        <v/>
      </c>
      <c r="AK356" s="10"/>
      <c r="AL356" s="10"/>
      <c r="AM356" s="10"/>
      <c r="AN356" s="10"/>
      <c r="AO356" s="27" t="str">
        <f aca="false">IF(AE356="","",IFERROR(IF(AO355="",SETTINGS!$B$6,AO355),SETTINGS!$B$6)+IF(AE356="",0,AE356))</f>
        <v/>
      </c>
      <c r="AP356" s="2"/>
    </row>
    <row r="357" customFormat="false" ht="15" hidden="false" customHeight="false" outlineLevel="0" collapsed="false">
      <c r="A357" s="24" t="str">
        <f aca="false">IF(B357="","",ROW()-3)</f>
        <v/>
      </c>
      <c r="B357" s="34"/>
      <c r="C357" s="12"/>
      <c r="D357" s="34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35"/>
      <c r="P357" s="24" t="str">
        <f aca="false">IF(K357="","",IFERROR(ABS(K357-L357)/IF(ISNUMBER(SEARCH("JPY",E357)),0.01,IF(ISNUMBER(SEARCH("XAU",E357)),0.01,IF(OR(ISNUMBER(SEARCH("30",E357)),ISNUMBER(SEARCH("500",E357)),ISNUMBER(SEARCH("100",E357))),1,0.0001))),0))</f>
        <v/>
      </c>
      <c r="Q357" s="27" t="str">
        <f aca="false">IF(K357="","",SETTINGS!$B$6*O357)</f>
        <v/>
      </c>
      <c r="R357" s="24" t="str">
        <f aca="false">IF(K357="","",IFERROR(Q357/(P357*IF(ISNUMBER(SEARCH("JPY",E357)),9.09,IF(ISNUMBER(SEARCH("XAU",E357)),1,IF(OR(ISNUMBER(SEARCH("30",E357)),ISNUMBER(SEARCH("500",E357)),ISNUMBER(SEARCH("100",E357))),1,10)))),0))</f>
        <v/>
      </c>
      <c r="S357" s="12"/>
      <c r="T357" s="36"/>
      <c r="U357" s="27" t="str">
        <f aca="false">IF(OR(S357="",T357=0),"",IFERROR((S357-K357)*IF(F357="Sell",-1,1)*R357*T357*IF(ISNUMBER(SEARCH("JPY",E357)),1000,IF(ISNUMBER(SEARCH("XAU",E357)),100,IF(OR(ISNUMBER(SEARCH("30",E357)),ISNUMBER(SEARCH("500",E357)),ISNUMBER(SEARCH("100",E357))),100,100000))),0))</f>
        <v/>
      </c>
      <c r="V357" s="12"/>
      <c r="W357" s="36"/>
      <c r="X357" s="27" t="str">
        <f aca="false">IF(OR(V357="",W357=0),"",IFERROR((V357-K357)*IF(F357="Sell",-1,1)*R357*W357*IF(ISNUMBER(SEARCH("JPY",E357)),1000,IF(ISNUMBER(SEARCH("XAU",E357)),100,IF(OR(ISNUMBER(SEARCH("30",E357)),ISNUMBER(SEARCH("500",E357)),ISNUMBER(SEARCH("100",E357))),100,100000))),0))</f>
        <v/>
      </c>
      <c r="Y357" s="12"/>
      <c r="Z357" s="36"/>
      <c r="AA357" s="27" t="str">
        <f aca="false">IF(OR(Y357="",Z357=0),"",IFERROR((Y357-K357)*IF(F357="Sell",-1,1)*R357*Z357*IF(ISNUMBER(SEARCH("JPY",E357)),1000,IF(ISNUMBER(SEARCH("XAU",E357)),100,IF(OR(ISNUMBER(SEARCH("30",E357)),ISNUMBER(SEARCH("500",E357)),ISNUMBER(SEARCH("100",E357))),100,100000))),0))</f>
        <v/>
      </c>
      <c r="AB357" s="12"/>
      <c r="AC357" s="29" t="str">
        <f aca="false">IF(K357="","",1-IFERROR(T357,0)-IFERROR(W357,0)-IFERROR(Z357,0))</f>
        <v/>
      </c>
      <c r="AD357" s="30" t="str">
        <f aca="false">IF(AB357="","",IFERROR((IFERROR(S357*T357,0)+IFERROR(V357*W357,0)+IFERROR(Y357*Z357,0)+AB357*AC357)/(IFERROR(T357,0)+IFERROR(W357,0)+IFERROR(Z357,0)+AC357),AB357))</f>
        <v/>
      </c>
      <c r="AE357" s="27" t="str">
        <f aca="false">IF(AB357="","",IF(U357="",0,U357)+IF(X357="",0,X357)+IF(AA357="",0,AA357)+IFERROR((AB357-K357)*IF(F357="Sell",-1,1)*R357*AC357*IF(ISNUMBER(SEARCH("JPY",E357)),1000,IF(ISNUMBER(SEARCH("XAU",E357)),100,IF(OR(ISNUMBER(SEARCH("30",E357)),ISNUMBER(SEARCH("500",E357)),ISNUMBER(SEARCH("100",E357))),100,100000))),0))</f>
        <v/>
      </c>
      <c r="AF357" s="31" t="str">
        <f aca="false">IF(OR(K357="",M357="",L357=""),"",IFERROR(ABS(M357-K357)/ABS(K357-L357),0))</f>
        <v/>
      </c>
      <c r="AG357" s="31" t="str">
        <f aca="false">IF(OR(AE357="",AE357=0,Q357=0,Q357=""),"",IFERROR(AE357/Q357,0))</f>
        <v/>
      </c>
      <c r="AH357" s="32" t="str">
        <f aca="false">IF(AB357="","Open",IF(AG357="","Open",IF(AG357&gt;0.1,"Win",IF(AG357&lt;-0.1,"Loss","Breakeven"))))</f>
        <v>Open</v>
      </c>
      <c r="AI357" s="33" t="str">
        <f aca="false">IF(OR(B357="",D357=""),"",D357-B357)</f>
        <v/>
      </c>
      <c r="AJ357" s="24" t="str">
        <f aca="false">IF(AD357="","",IFERROR((AD357-K357)*IF(F357="Sell",-1,1)/IF(ISNUMBER(SEARCH("JPY",E357)),0.01,IF(ISNUMBER(SEARCH("XAU",E357)),0.01,IF(OR(ISNUMBER(SEARCH("30",E357)),ISNUMBER(SEARCH("500",E357)),ISNUMBER(SEARCH("100",E357))),1,0.0001))),0))</f>
        <v/>
      </c>
      <c r="AK357" s="12"/>
      <c r="AL357" s="12"/>
      <c r="AM357" s="12"/>
      <c r="AN357" s="12"/>
      <c r="AO357" s="27" t="str">
        <f aca="false">IF(AE357="","",IFERROR(IF(AO356="",SETTINGS!$B$6,AO356),SETTINGS!$B$6)+IF(AE357="",0,AE357))</f>
        <v/>
      </c>
      <c r="AP357" s="2"/>
    </row>
    <row r="358" customFormat="false" ht="15" hidden="false" customHeight="false" outlineLevel="0" collapsed="false">
      <c r="A358" s="24" t="str">
        <f aca="false">IF(B358="","",ROW()-3)</f>
        <v/>
      </c>
      <c r="B358" s="25"/>
      <c r="C358" s="10"/>
      <c r="D358" s="25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26"/>
      <c r="P358" s="24" t="str">
        <f aca="false">IF(K358="","",IFERROR(ABS(K358-L358)/IF(ISNUMBER(SEARCH("JPY",E358)),0.01,IF(ISNUMBER(SEARCH("XAU",E358)),0.01,IF(OR(ISNUMBER(SEARCH("30",E358)),ISNUMBER(SEARCH("500",E358)),ISNUMBER(SEARCH("100",E358))),1,0.0001))),0))</f>
        <v/>
      </c>
      <c r="Q358" s="27" t="str">
        <f aca="false">IF(K358="","",SETTINGS!$B$6*O358)</f>
        <v/>
      </c>
      <c r="R358" s="24" t="str">
        <f aca="false">IF(K358="","",IFERROR(Q358/(P358*IF(ISNUMBER(SEARCH("JPY",E358)),9.09,IF(ISNUMBER(SEARCH("XAU",E358)),1,IF(OR(ISNUMBER(SEARCH("30",E358)),ISNUMBER(SEARCH("500",E358)),ISNUMBER(SEARCH("100",E358))),1,10)))),0))</f>
        <v/>
      </c>
      <c r="S358" s="10"/>
      <c r="T358" s="28"/>
      <c r="U358" s="27" t="str">
        <f aca="false">IF(OR(S358="",T358=0),"",IFERROR((S358-K358)*IF(F358="Sell",-1,1)*R358*T358*IF(ISNUMBER(SEARCH("JPY",E358)),1000,IF(ISNUMBER(SEARCH("XAU",E358)),100,IF(OR(ISNUMBER(SEARCH("30",E358)),ISNUMBER(SEARCH("500",E358)),ISNUMBER(SEARCH("100",E358))),100,100000))),0))</f>
        <v/>
      </c>
      <c r="V358" s="10"/>
      <c r="W358" s="28"/>
      <c r="X358" s="27" t="str">
        <f aca="false">IF(OR(V358="",W358=0),"",IFERROR((V358-K358)*IF(F358="Sell",-1,1)*R358*W358*IF(ISNUMBER(SEARCH("JPY",E358)),1000,IF(ISNUMBER(SEARCH("XAU",E358)),100,IF(OR(ISNUMBER(SEARCH("30",E358)),ISNUMBER(SEARCH("500",E358)),ISNUMBER(SEARCH("100",E358))),100,100000))),0))</f>
        <v/>
      </c>
      <c r="Y358" s="10"/>
      <c r="Z358" s="28"/>
      <c r="AA358" s="27" t="str">
        <f aca="false">IF(OR(Y358="",Z358=0),"",IFERROR((Y358-K358)*IF(F358="Sell",-1,1)*R358*Z358*IF(ISNUMBER(SEARCH("JPY",E358)),1000,IF(ISNUMBER(SEARCH("XAU",E358)),100,IF(OR(ISNUMBER(SEARCH("30",E358)),ISNUMBER(SEARCH("500",E358)),ISNUMBER(SEARCH("100",E358))),100,100000))),0))</f>
        <v/>
      </c>
      <c r="AB358" s="10"/>
      <c r="AC358" s="29" t="str">
        <f aca="false">IF(K358="","",1-IFERROR(T358,0)-IFERROR(W358,0)-IFERROR(Z358,0))</f>
        <v/>
      </c>
      <c r="AD358" s="30" t="str">
        <f aca="false">IF(AB358="","",IFERROR((IFERROR(S358*T358,0)+IFERROR(V358*W358,0)+IFERROR(Y358*Z358,0)+AB358*AC358)/(IFERROR(T358,0)+IFERROR(W358,0)+IFERROR(Z358,0)+AC358),AB358))</f>
        <v/>
      </c>
      <c r="AE358" s="27" t="str">
        <f aca="false">IF(AB358="","",IF(U358="",0,U358)+IF(X358="",0,X358)+IF(AA358="",0,AA358)+IFERROR((AB358-K358)*IF(F358="Sell",-1,1)*R358*AC358*IF(ISNUMBER(SEARCH("JPY",E358)),1000,IF(ISNUMBER(SEARCH("XAU",E358)),100,IF(OR(ISNUMBER(SEARCH("30",E358)),ISNUMBER(SEARCH("500",E358)),ISNUMBER(SEARCH("100",E358))),100,100000))),0))</f>
        <v/>
      </c>
      <c r="AF358" s="31" t="str">
        <f aca="false">IF(OR(K358="",M358="",L358=""),"",IFERROR(ABS(M358-K358)/ABS(K358-L358),0))</f>
        <v/>
      </c>
      <c r="AG358" s="31" t="str">
        <f aca="false">IF(OR(AE358="",AE358=0,Q358=0,Q358=""),"",IFERROR(AE358/Q358,0))</f>
        <v/>
      </c>
      <c r="AH358" s="32" t="str">
        <f aca="false">IF(AB358="","Open",IF(AG358="","Open",IF(AG358&gt;0.1,"Win",IF(AG358&lt;-0.1,"Loss","Breakeven"))))</f>
        <v>Open</v>
      </c>
      <c r="AI358" s="33" t="str">
        <f aca="false">IF(OR(B358="",D358=""),"",D358-B358)</f>
        <v/>
      </c>
      <c r="AJ358" s="24" t="str">
        <f aca="false">IF(AD358="","",IFERROR((AD358-K358)*IF(F358="Sell",-1,1)/IF(ISNUMBER(SEARCH("JPY",E358)),0.01,IF(ISNUMBER(SEARCH("XAU",E358)),0.01,IF(OR(ISNUMBER(SEARCH("30",E358)),ISNUMBER(SEARCH("500",E358)),ISNUMBER(SEARCH("100",E358))),1,0.0001))),0))</f>
        <v/>
      </c>
      <c r="AK358" s="10"/>
      <c r="AL358" s="10"/>
      <c r="AM358" s="10"/>
      <c r="AN358" s="10"/>
      <c r="AO358" s="27" t="str">
        <f aca="false">IF(AE358="","",IFERROR(IF(AO357="",SETTINGS!$B$6,AO357),SETTINGS!$B$6)+IF(AE358="",0,AE358))</f>
        <v/>
      </c>
      <c r="AP358" s="2"/>
    </row>
    <row r="359" customFormat="false" ht="15" hidden="false" customHeight="false" outlineLevel="0" collapsed="false">
      <c r="A359" s="24" t="str">
        <f aca="false">IF(B359="","",ROW()-3)</f>
        <v/>
      </c>
      <c r="B359" s="34"/>
      <c r="C359" s="12"/>
      <c r="D359" s="34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35"/>
      <c r="P359" s="24" t="str">
        <f aca="false">IF(K359="","",IFERROR(ABS(K359-L359)/IF(ISNUMBER(SEARCH("JPY",E359)),0.01,IF(ISNUMBER(SEARCH("XAU",E359)),0.01,IF(OR(ISNUMBER(SEARCH("30",E359)),ISNUMBER(SEARCH("500",E359)),ISNUMBER(SEARCH("100",E359))),1,0.0001))),0))</f>
        <v/>
      </c>
      <c r="Q359" s="27" t="str">
        <f aca="false">IF(K359="","",SETTINGS!$B$6*O359)</f>
        <v/>
      </c>
      <c r="R359" s="24" t="str">
        <f aca="false">IF(K359="","",IFERROR(Q359/(P359*IF(ISNUMBER(SEARCH("JPY",E359)),9.09,IF(ISNUMBER(SEARCH("XAU",E359)),1,IF(OR(ISNUMBER(SEARCH("30",E359)),ISNUMBER(SEARCH("500",E359)),ISNUMBER(SEARCH("100",E359))),1,10)))),0))</f>
        <v/>
      </c>
      <c r="S359" s="12"/>
      <c r="T359" s="36"/>
      <c r="U359" s="27" t="str">
        <f aca="false">IF(OR(S359="",T359=0),"",IFERROR((S359-K359)*IF(F359="Sell",-1,1)*R359*T359*IF(ISNUMBER(SEARCH("JPY",E359)),1000,IF(ISNUMBER(SEARCH("XAU",E359)),100,IF(OR(ISNUMBER(SEARCH("30",E359)),ISNUMBER(SEARCH("500",E359)),ISNUMBER(SEARCH("100",E359))),100,100000))),0))</f>
        <v/>
      </c>
      <c r="V359" s="12"/>
      <c r="W359" s="36"/>
      <c r="X359" s="27" t="str">
        <f aca="false">IF(OR(V359="",W359=0),"",IFERROR((V359-K359)*IF(F359="Sell",-1,1)*R359*W359*IF(ISNUMBER(SEARCH("JPY",E359)),1000,IF(ISNUMBER(SEARCH("XAU",E359)),100,IF(OR(ISNUMBER(SEARCH("30",E359)),ISNUMBER(SEARCH("500",E359)),ISNUMBER(SEARCH("100",E359))),100,100000))),0))</f>
        <v/>
      </c>
      <c r="Y359" s="12"/>
      <c r="Z359" s="36"/>
      <c r="AA359" s="27" t="str">
        <f aca="false">IF(OR(Y359="",Z359=0),"",IFERROR((Y359-K359)*IF(F359="Sell",-1,1)*R359*Z359*IF(ISNUMBER(SEARCH("JPY",E359)),1000,IF(ISNUMBER(SEARCH("XAU",E359)),100,IF(OR(ISNUMBER(SEARCH("30",E359)),ISNUMBER(SEARCH("500",E359)),ISNUMBER(SEARCH("100",E359))),100,100000))),0))</f>
        <v/>
      </c>
      <c r="AB359" s="12"/>
      <c r="AC359" s="29" t="str">
        <f aca="false">IF(K359="","",1-IFERROR(T359,0)-IFERROR(W359,0)-IFERROR(Z359,0))</f>
        <v/>
      </c>
      <c r="AD359" s="30" t="str">
        <f aca="false">IF(AB359="","",IFERROR((IFERROR(S359*T359,0)+IFERROR(V359*W359,0)+IFERROR(Y359*Z359,0)+AB359*AC359)/(IFERROR(T359,0)+IFERROR(W359,0)+IFERROR(Z359,0)+AC359),AB359))</f>
        <v/>
      </c>
      <c r="AE359" s="27" t="str">
        <f aca="false">IF(AB359="","",IF(U359="",0,U359)+IF(X359="",0,X359)+IF(AA359="",0,AA359)+IFERROR((AB359-K359)*IF(F359="Sell",-1,1)*R359*AC359*IF(ISNUMBER(SEARCH("JPY",E359)),1000,IF(ISNUMBER(SEARCH("XAU",E359)),100,IF(OR(ISNUMBER(SEARCH("30",E359)),ISNUMBER(SEARCH("500",E359)),ISNUMBER(SEARCH("100",E359))),100,100000))),0))</f>
        <v/>
      </c>
      <c r="AF359" s="31" t="str">
        <f aca="false">IF(OR(K359="",M359="",L359=""),"",IFERROR(ABS(M359-K359)/ABS(K359-L359),0))</f>
        <v/>
      </c>
      <c r="AG359" s="31" t="str">
        <f aca="false">IF(OR(AE359="",AE359=0,Q359=0,Q359=""),"",IFERROR(AE359/Q359,0))</f>
        <v/>
      </c>
      <c r="AH359" s="32" t="str">
        <f aca="false">IF(AB359="","Open",IF(AG359="","Open",IF(AG359&gt;0.1,"Win",IF(AG359&lt;-0.1,"Loss","Breakeven"))))</f>
        <v>Open</v>
      </c>
      <c r="AI359" s="33" t="str">
        <f aca="false">IF(OR(B359="",D359=""),"",D359-B359)</f>
        <v/>
      </c>
      <c r="AJ359" s="24" t="str">
        <f aca="false">IF(AD359="","",IFERROR((AD359-K359)*IF(F359="Sell",-1,1)/IF(ISNUMBER(SEARCH("JPY",E359)),0.01,IF(ISNUMBER(SEARCH("XAU",E359)),0.01,IF(OR(ISNUMBER(SEARCH("30",E359)),ISNUMBER(SEARCH("500",E359)),ISNUMBER(SEARCH("100",E359))),1,0.0001))),0))</f>
        <v/>
      </c>
      <c r="AK359" s="12"/>
      <c r="AL359" s="12"/>
      <c r="AM359" s="12"/>
      <c r="AN359" s="12"/>
      <c r="AO359" s="27" t="str">
        <f aca="false">IF(AE359="","",IFERROR(IF(AO358="",SETTINGS!$B$6,AO358),SETTINGS!$B$6)+IF(AE359="",0,AE359))</f>
        <v/>
      </c>
      <c r="AP359" s="2"/>
    </row>
    <row r="360" customFormat="false" ht="15" hidden="false" customHeight="false" outlineLevel="0" collapsed="false">
      <c r="A360" s="24" t="str">
        <f aca="false">IF(B360="","",ROW()-3)</f>
        <v/>
      </c>
      <c r="B360" s="25"/>
      <c r="C360" s="10"/>
      <c r="D360" s="25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26"/>
      <c r="P360" s="24" t="str">
        <f aca="false">IF(K360="","",IFERROR(ABS(K360-L360)/IF(ISNUMBER(SEARCH("JPY",E360)),0.01,IF(ISNUMBER(SEARCH("XAU",E360)),0.01,IF(OR(ISNUMBER(SEARCH("30",E360)),ISNUMBER(SEARCH("500",E360)),ISNUMBER(SEARCH("100",E360))),1,0.0001))),0))</f>
        <v/>
      </c>
      <c r="Q360" s="27" t="str">
        <f aca="false">IF(K360="","",SETTINGS!$B$6*O360)</f>
        <v/>
      </c>
      <c r="R360" s="24" t="str">
        <f aca="false">IF(K360="","",IFERROR(Q360/(P360*IF(ISNUMBER(SEARCH("JPY",E360)),9.09,IF(ISNUMBER(SEARCH("XAU",E360)),1,IF(OR(ISNUMBER(SEARCH("30",E360)),ISNUMBER(SEARCH("500",E360)),ISNUMBER(SEARCH("100",E360))),1,10)))),0))</f>
        <v/>
      </c>
      <c r="S360" s="10"/>
      <c r="T360" s="28"/>
      <c r="U360" s="27" t="str">
        <f aca="false">IF(OR(S360="",T360=0),"",IFERROR((S360-K360)*IF(F360="Sell",-1,1)*R360*T360*IF(ISNUMBER(SEARCH("JPY",E360)),1000,IF(ISNUMBER(SEARCH("XAU",E360)),100,IF(OR(ISNUMBER(SEARCH("30",E360)),ISNUMBER(SEARCH("500",E360)),ISNUMBER(SEARCH("100",E360))),100,100000))),0))</f>
        <v/>
      </c>
      <c r="V360" s="10"/>
      <c r="W360" s="28"/>
      <c r="X360" s="27" t="str">
        <f aca="false">IF(OR(V360="",W360=0),"",IFERROR((V360-K360)*IF(F360="Sell",-1,1)*R360*W360*IF(ISNUMBER(SEARCH("JPY",E360)),1000,IF(ISNUMBER(SEARCH("XAU",E360)),100,IF(OR(ISNUMBER(SEARCH("30",E360)),ISNUMBER(SEARCH("500",E360)),ISNUMBER(SEARCH("100",E360))),100,100000))),0))</f>
        <v/>
      </c>
      <c r="Y360" s="10"/>
      <c r="Z360" s="28"/>
      <c r="AA360" s="27" t="str">
        <f aca="false">IF(OR(Y360="",Z360=0),"",IFERROR((Y360-K360)*IF(F360="Sell",-1,1)*R360*Z360*IF(ISNUMBER(SEARCH("JPY",E360)),1000,IF(ISNUMBER(SEARCH("XAU",E360)),100,IF(OR(ISNUMBER(SEARCH("30",E360)),ISNUMBER(SEARCH("500",E360)),ISNUMBER(SEARCH("100",E360))),100,100000))),0))</f>
        <v/>
      </c>
      <c r="AB360" s="10"/>
      <c r="AC360" s="29" t="str">
        <f aca="false">IF(K360="","",1-IFERROR(T360,0)-IFERROR(W360,0)-IFERROR(Z360,0))</f>
        <v/>
      </c>
      <c r="AD360" s="30" t="str">
        <f aca="false">IF(AB360="","",IFERROR((IFERROR(S360*T360,0)+IFERROR(V360*W360,0)+IFERROR(Y360*Z360,0)+AB360*AC360)/(IFERROR(T360,0)+IFERROR(W360,0)+IFERROR(Z360,0)+AC360),AB360))</f>
        <v/>
      </c>
      <c r="AE360" s="27" t="str">
        <f aca="false">IF(AB360="","",IF(U360="",0,U360)+IF(X360="",0,X360)+IF(AA360="",0,AA360)+IFERROR((AB360-K360)*IF(F360="Sell",-1,1)*R360*AC360*IF(ISNUMBER(SEARCH("JPY",E360)),1000,IF(ISNUMBER(SEARCH("XAU",E360)),100,IF(OR(ISNUMBER(SEARCH("30",E360)),ISNUMBER(SEARCH("500",E360)),ISNUMBER(SEARCH("100",E360))),100,100000))),0))</f>
        <v/>
      </c>
      <c r="AF360" s="31" t="str">
        <f aca="false">IF(OR(K360="",M360="",L360=""),"",IFERROR(ABS(M360-K360)/ABS(K360-L360),0))</f>
        <v/>
      </c>
      <c r="AG360" s="31" t="str">
        <f aca="false">IF(OR(AE360="",AE360=0,Q360=0,Q360=""),"",IFERROR(AE360/Q360,0))</f>
        <v/>
      </c>
      <c r="AH360" s="32" t="str">
        <f aca="false">IF(AB360="","Open",IF(AG360="","Open",IF(AG360&gt;0.1,"Win",IF(AG360&lt;-0.1,"Loss","Breakeven"))))</f>
        <v>Open</v>
      </c>
      <c r="AI360" s="33" t="str">
        <f aca="false">IF(OR(B360="",D360=""),"",D360-B360)</f>
        <v/>
      </c>
      <c r="AJ360" s="24" t="str">
        <f aca="false">IF(AD360="","",IFERROR((AD360-K360)*IF(F360="Sell",-1,1)/IF(ISNUMBER(SEARCH("JPY",E360)),0.01,IF(ISNUMBER(SEARCH("XAU",E360)),0.01,IF(OR(ISNUMBER(SEARCH("30",E360)),ISNUMBER(SEARCH("500",E360)),ISNUMBER(SEARCH("100",E360))),1,0.0001))),0))</f>
        <v/>
      </c>
      <c r="AK360" s="10"/>
      <c r="AL360" s="10"/>
      <c r="AM360" s="10"/>
      <c r="AN360" s="10"/>
      <c r="AO360" s="27" t="str">
        <f aca="false">IF(AE360="","",IFERROR(IF(AO359="",SETTINGS!$B$6,AO359),SETTINGS!$B$6)+IF(AE360="",0,AE360))</f>
        <v/>
      </c>
      <c r="AP360" s="2"/>
    </row>
    <row r="361" customFormat="false" ht="15" hidden="false" customHeight="false" outlineLevel="0" collapsed="false">
      <c r="A361" s="24" t="str">
        <f aca="false">IF(B361="","",ROW()-3)</f>
        <v/>
      </c>
      <c r="B361" s="34"/>
      <c r="C361" s="12"/>
      <c r="D361" s="34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35"/>
      <c r="P361" s="24" t="str">
        <f aca="false">IF(K361="","",IFERROR(ABS(K361-L361)/IF(ISNUMBER(SEARCH("JPY",E361)),0.01,IF(ISNUMBER(SEARCH("XAU",E361)),0.01,IF(OR(ISNUMBER(SEARCH("30",E361)),ISNUMBER(SEARCH("500",E361)),ISNUMBER(SEARCH("100",E361))),1,0.0001))),0))</f>
        <v/>
      </c>
      <c r="Q361" s="27" t="str">
        <f aca="false">IF(K361="","",SETTINGS!$B$6*O361)</f>
        <v/>
      </c>
      <c r="R361" s="24" t="str">
        <f aca="false">IF(K361="","",IFERROR(Q361/(P361*IF(ISNUMBER(SEARCH("JPY",E361)),9.09,IF(ISNUMBER(SEARCH("XAU",E361)),1,IF(OR(ISNUMBER(SEARCH("30",E361)),ISNUMBER(SEARCH("500",E361)),ISNUMBER(SEARCH("100",E361))),1,10)))),0))</f>
        <v/>
      </c>
      <c r="S361" s="12"/>
      <c r="T361" s="36"/>
      <c r="U361" s="27" t="str">
        <f aca="false">IF(OR(S361="",T361=0),"",IFERROR((S361-K361)*IF(F361="Sell",-1,1)*R361*T361*IF(ISNUMBER(SEARCH("JPY",E361)),1000,IF(ISNUMBER(SEARCH("XAU",E361)),100,IF(OR(ISNUMBER(SEARCH("30",E361)),ISNUMBER(SEARCH("500",E361)),ISNUMBER(SEARCH("100",E361))),100,100000))),0))</f>
        <v/>
      </c>
      <c r="V361" s="12"/>
      <c r="W361" s="36"/>
      <c r="X361" s="27" t="str">
        <f aca="false">IF(OR(V361="",W361=0),"",IFERROR((V361-K361)*IF(F361="Sell",-1,1)*R361*W361*IF(ISNUMBER(SEARCH("JPY",E361)),1000,IF(ISNUMBER(SEARCH("XAU",E361)),100,IF(OR(ISNUMBER(SEARCH("30",E361)),ISNUMBER(SEARCH("500",E361)),ISNUMBER(SEARCH("100",E361))),100,100000))),0))</f>
        <v/>
      </c>
      <c r="Y361" s="12"/>
      <c r="Z361" s="36"/>
      <c r="AA361" s="27" t="str">
        <f aca="false">IF(OR(Y361="",Z361=0),"",IFERROR((Y361-K361)*IF(F361="Sell",-1,1)*R361*Z361*IF(ISNUMBER(SEARCH("JPY",E361)),1000,IF(ISNUMBER(SEARCH("XAU",E361)),100,IF(OR(ISNUMBER(SEARCH("30",E361)),ISNUMBER(SEARCH("500",E361)),ISNUMBER(SEARCH("100",E361))),100,100000))),0))</f>
        <v/>
      </c>
      <c r="AB361" s="12"/>
      <c r="AC361" s="29" t="str">
        <f aca="false">IF(K361="","",1-IFERROR(T361,0)-IFERROR(W361,0)-IFERROR(Z361,0))</f>
        <v/>
      </c>
      <c r="AD361" s="30" t="str">
        <f aca="false">IF(AB361="","",IFERROR((IFERROR(S361*T361,0)+IFERROR(V361*W361,0)+IFERROR(Y361*Z361,0)+AB361*AC361)/(IFERROR(T361,0)+IFERROR(W361,0)+IFERROR(Z361,0)+AC361),AB361))</f>
        <v/>
      </c>
      <c r="AE361" s="27" t="str">
        <f aca="false">IF(AB361="","",IF(U361="",0,U361)+IF(X361="",0,X361)+IF(AA361="",0,AA361)+IFERROR((AB361-K361)*IF(F361="Sell",-1,1)*R361*AC361*IF(ISNUMBER(SEARCH("JPY",E361)),1000,IF(ISNUMBER(SEARCH("XAU",E361)),100,IF(OR(ISNUMBER(SEARCH("30",E361)),ISNUMBER(SEARCH("500",E361)),ISNUMBER(SEARCH("100",E361))),100,100000))),0))</f>
        <v/>
      </c>
      <c r="AF361" s="31" t="str">
        <f aca="false">IF(OR(K361="",M361="",L361=""),"",IFERROR(ABS(M361-K361)/ABS(K361-L361),0))</f>
        <v/>
      </c>
      <c r="AG361" s="31" t="str">
        <f aca="false">IF(OR(AE361="",AE361=0,Q361=0,Q361=""),"",IFERROR(AE361/Q361,0))</f>
        <v/>
      </c>
      <c r="AH361" s="32" t="str">
        <f aca="false">IF(AB361="","Open",IF(AG361="","Open",IF(AG361&gt;0.1,"Win",IF(AG361&lt;-0.1,"Loss","Breakeven"))))</f>
        <v>Open</v>
      </c>
      <c r="AI361" s="33" t="str">
        <f aca="false">IF(OR(B361="",D361=""),"",D361-B361)</f>
        <v/>
      </c>
      <c r="AJ361" s="24" t="str">
        <f aca="false">IF(AD361="","",IFERROR((AD361-K361)*IF(F361="Sell",-1,1)/IF(ISNUMBER(SEARCH("JPY",E361)),0.01,IF(ISNUMBER(SEARCH("XAU",E361)),0.01,IF(OR(ISNUMBER(SEARCH("30",E361)),ISNUMBER(SEARCH("500",E361)),ISNUMBER(SEARCH("100",E361))),1,0.0001))),0))</f>
        <v/>
      </c>
      <c r="AK361" s="12"/>
      <c r="AL361" s="12"/>
      <c r="AM361" s="12"/>
      <c r="AN361" s="12"/>
      <c r="AO361" s="27" t="str">
        <f aca="false">IF(AE361="","",IFERROR(IF(AO360="",SETTINGS!$B$6,AO360),SETTINGS!$B$6)+IF(AE361="",0,AE361))</f>
        <v/>
      </c>
      <c r="AP361" s="2"/>
    </row>
    <row r="362" customFormat="false" ht="15" hidden="false" customHeight="false" outlineLevel="0" collapsed="false">
      <c r="A362" s="24" t="str">
        <f aca="false">IF(B362="","",ROW()-3)</f>
        <v/>
      </c>
      <c r="B362" s="25"/>
      <c r="C362" s="10"/>
      <c r="D362" s="25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26"/>
      <c r="P362" s="24" t="str">
        <f aca="false">IF(K362="","",IFERROR(ABS(K362-L362)/IF(ISNUMBER(SEARCH("JPY",E362)),0.01,IF(ISNUMBER(SEARCH("XAU",E362)),0.01,IF(OR(ISNUMBER(SEARCH("30",E362)),ISNUMBER(SEARCH("500",E362)),ISNUMBER(SEARCH("100",E362))),1,0.0001))),0))</f>
        <v/>
      </c>
      <c r="Q362" s="27" t="str">
        <f aca="false">IF(K362="","",SETTINGS!$B$6*O362)</f>
        <v/>
      </c>
      <c r="R362" s="24" t="str">
        <f aca="false">IF(K362="","",IFERROR(Q362/(P362*IF(ISNUMBER(SEARCH("JPY",E362)),9.09,IF(ISNUMBER(SEARCH("XAU",E362)),1,IF(OR(ISNUMBER(SEARCH("30",E362)),ISNUMBER(SEARCH("500",E362)),ISNUMBER(SEARCH("100",E362))),1,10)))),0))</f>
        <v/>
      </c>
      <c r="S362" s="10"/>
      <c r="T362" s="28"/>
      <c r="U362" s="27" t="str">
        <f aca="false">IF(OR(S362="",T362=0),"",IFERROR((S362-K362)*IF(F362="Sell",-1,1)*R362*T362*IF(ISNUMBER(SEARCH("JPY",E362)),1000,IF(ISNUMBER(SEARCH("XAU",E362)),100,IF(OR(ISNUMBER(SEARCH("30",E362)),ISNUMBER(SEARCH("500",E362)),ISNUMBER(SEARCH("100",E362))),100,100000))),0))</f>
        <v/>
      </c>
      <c r="V362" s="10"/>
      <c r="W362" s="28"/>
      <c r="X362" s="27" t="str">
        <f aca="false">IF(OR(V362="",W362=0),"",IFERROR((V362-K362)*IF(F362="Sell",-1,1)*R362*W362*IF(ISNUMBER(SEARCH("JPY",E362)),1000,IF(ISNUMBER(SEARCH("XAU",E362)),100,IF(OR(ISNUMBER(SEARCH("30",E362)),ISNUMBER(SEARCH("500",E362)),ISNUMBER(SEARCH("100",E362))),100,100000))),0))</f>
        <v/>
      </c>
      <c r="Y362" s="10"/>
      <c r="Z362" s="28"/>
      <c r="AA362" s="27" t="str">
        <f aca="false">IF(OR(Y362="",Z362=0),"",IFERROR((Y362-K362)*IF(F362="Sell",-1,1)*R362*Z362*IF(ISNUMBER(SEARCH("JPY",E362)),1000,IF(ISNUMBER(SEARCH("XAU",E362)),100,IF(OR(ISNUMBER(SEARCH("30",E362)),ISNUMBER(SEARCH("500",E362)),ISNUMBER(SEARCH("100",E362))),100,100000))),0))</f>
        <v/>
      </c>
      <c r="AB362" s="10"/>
      <c r="AC362" s="29" t="str">
        <f aca="false">IF(K362="","",1-IFERROR(T362,0)-IFERROR(W362,0)-IFERROR(Z362,0))</f>
        <v/>
      </c>
      <c r="AD362" s="30" t="str">
        <f aca="false">IF(AB362="","",IFERROR((IFERROR(S362*T362,0)+IFERROR(V362*W362,0)+IFERROR(Y362*Z362,0)+AB362*AC362)/(IFERROR(T362,0)+IFERROR(W362,0)+IFERROR(Z362,0)+AC362),AB362))</f>
        <v/>
      </c>
      <c r="AE362" s="27" t="str">
        <f aca="false">IF(AB362="","",IF(U362="",0,U362)+IF(X362="",0,X362)+IF(AA362="",0,AA362)+IFERROR((AB362-K362)*IF(F362="Sell",-1,1)*R362*AC362*IF(ISNUMBER(SEARCH("JPY",E362)),1000,IF(ISNUMBER(SEARCH("XAU",E362)),100,IF(OR(ISNUMBER(SEARCH("30",E362)),ISNUMBER(SEARCH("500",E362)),ISNUMBER(SEARCH("100",E362))),100,100000))),0))</f>
        <v/>
      </c>
      <c r="AF362" s="31" t="str">
        <f aca="false">IF(OR(K362="",M362="",L362=""),"",IFERROR(ABS(M362-K362)/ABS(K362-L362),0))</f>
        <v/>
      </c>
      <c r="AG362" s="31" t="str">
        <f aca="false">IF(OR(AE362="",AE362=0,Q362=0,Q362=""),"",IFERROR(AE362/Q362,0))</f>
        <v/>
      </c>
      <c r="AH362" s="32" t="str">
        <f aca="false">IF(AB362="","Open",IF(AG362="","Open",IF(AG362&gt;0.1,"Win",IF(AG362&lt;-0.1,"Loss","Breakeven"))))</f>
        <v>Open</v>
      </c>
      <c r="AI362" s="33" t="str">
        <f aca="false">IF(OR(B362="",D362=""),"",D362-B362)</f>
        <v/>
      </c>
      <c r="AJ362" s="24" t="str">
        <f aca="false">IF(AD362="","",IFERROR((AD362-K362)*IF(F362="Sell",-1,1)/IF(ISNUMBER(SEARCH("JPY",E362)),0.01,IF(ISNUMBER(SEARCH("XAU",E362)),0.01,IF(OR(ISNUMBER(SEARCH("30",E362)),ISNUMBER(SEARCH("500",E362)),ISNUMBER(SEARCH("100",E362))),1,0.0001))),0))</f>
        <v/>
      </c>
      <c r="AK362" s="10"/>
      <c r="AL362" s="10"/>
      <c r="AM362" s="10"/>
      <c r="AN362" s="10"/>
      <c r="AO362" s="27" t="str">
        <f aca="false">IF(AE362="","",IFERROR(IF(AO361="",SETTINGS!$B$6,AO361),SETTINGS!$B$6)+IF(AE362="",0,AE362))</f>
        <v/>
      </c>
      <c r="AP362" s="2"/>
    </row>
    <row r="363" customFormat="false" ht="15" hidden="false" customHeight="false" outlineLevel="0" collapsed="false">
      <c r="A363" s="24" t="str">
        <f aca="false">IF(B363="","",ROW()-3)</f>
        <v/>
      </c>
      <c r="B363" s="34"/>
      <c r="C363" s="12"/>
      <c r="D363" s="34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35"/>
      <c r="P363" s="24" t="str">
        <f aca="false">IF(K363="","",IFERROR(ABS(K363-L363)/IF(ISNUMBER(SEARCH("JPY",E363)),0.01,IF(ISNUMBER(SEARCH("XAU",E363)),0.01,IF(OR(ISNUMBER(SEARCH("30",E363)),ISNUMBER(SEARCH("500",E363)),ISNUMBER(SEARCH("100",E363))),1,0.0001))),0))</f>
        <v/>
      </c>
      <c r="Q363" s="27" t="str">
        <f aca="false">IF(K363="","",SETTINGS!$B$6*O363)</f>
        <v/>
      </c>
      <c r="R363" s="24" t="str">
        <f aca="false">IF(K363="","",IFERROR(Q363/(P363*IF(ISNUMBER(SEARCH("JPY",E363)),9.09,IF(ISNUMBER(SEARCH("XAU",E363)),1,IF(OR(ISNUMBER(SEARCH("30",E363)),ISNUMBER(SEARCH("500",E363)),ISNUMBER(SEARCH("100",E363))),1,10)))),0))</f>
        <v/>
      </c>
      <c r="S363" s="12"/>
      <c r="T363" s="36"/>
      <c r="U363" s="27" t="str">
        <f aca="false">IF(OR(S363="",T363=0),"",IFERROR((S363-K363)*IF(F363="Sell",-1,1)*R363*T363*IF(ISNUMBER(SEARCH("JPY",E363)),1000,IF(ISNUMBER(SEARCH("XAU",E363)),100,IF(OR(ISNUMBER(SEARCH("30",E363)),ISNUMBER(SEARCH("500",E363)),ISNUMBER(SEARCH("100",E363))),100,100000))),0))</f>
        <v/>
      </c>
      <c r="V363" s="12"/>
      <c r="W363" s="36"/>
      <c r="X363" s="27" t="str">
        <f aca="false">IF(OR(V363="",W363=0),"",IFERROR((V363-K363)*IF(F363="Sell",-1,1)*R363*W363*IF(ISNUMBER(SEARCH("JPY",E363)),1000,IF(ISNUMBER(SEARCH("XAU",E363)),100,IF(OR(ISNUMBER(SEARCH("30",E363)),ISNUMBER(SEARCH("500",E363)),ISNUMBER(SEARCH("100",E363))),100,100000))),0))</f>
        <v/>
      </c>
      <c r="Y363" s="12"/>
      <c r="Z363" s="36"/>
      <c r="AA363" s="27" t="str">
        <f aca="false">IF(OR(Y363="",Z363=0),"",IFERROR((Y363-K363)*IF(F363="Sell",-1,1)*R363*Z363*IF(ISNUMBER(SEARCH("JPY",E363)),1000,IF(ISNUMBER(SEARCH("XAU",E363)),100,IF(OR(ISNUMBER(SEARCH("30",E363)),ISNUMBER(SEARCH("500",E363)),ISNUMBER(SEARCH("100",E363))),100,100000))),0))</f>
        <v/>
      </c>
      <c r="AB363" s="12"/>
      <c r="AC363" s="29" t="str">
        <f aca="false">IF(K363="","",1-IFERROR(T363,0)-IFERROR(W363,0)-IFERROR(Z363,0))</f>
        <v/>
      </c>
      <c r="AD363" s="30" t="str">
        <f aca="false">IF(AB363="","",IFERROR((IFERROR(S363*T363,0)+IFERROR(V363*W363,0)+IFERROR(Y363*Z363,0)+AB363*AC363)/(IFERROR(T363,0)+IFERROR(W363,0)+IFERROR(Z363,0)+AC363),AB363))</f>
        <v/>
      </c>
      <c r="AE363" s="27" t="str">
        <f aca="false">IF(AB363="","",IF(U363="",0,U363)+IF(X363="",0,X363)+IF(AA363="",0,AA363)+IFERROR((AB363-K363)*IF(F363="Sell",-1,1)*R363*AC363*IF(ISNUMBER(SEARCH("JPY",E363)),1000,IF(ISNUMBER(SEARCH("XAU",E363)),100,IF(OR(ISNUMBER(SEARCH("30",E363)),ISNUMBER(SEARCH("500",E363)),ISNUMBER(SEARCH("100",E363))),100,100000))),0))</f>
        <v/>
      </c>
      <c r="AF363" s="31" t="str">
        <f aca="false">IF(OR(K363="",M363="",L363=""),"",IFERROR(ABS(M363-K363)/ABS(K363-L363),0))</f>
        <v/>
      </c>
      <c r="AG363" s="31" t="str">
        <f aca="false">IF(OR(AE363="",AE363=0,Q363=0,Q363=""),"",IFERROR(AE363/Q363,0))</f>
        <v/>
      </c>
      <c r="AH363" s="32" t="str">
        <f aca="false">IF(AB363="","Open",IF(AG363="","Open",IF(AG363&gt;0.1,"Win",IF(AG363&lt;-0.1,"Loss","Breakeven"))))</f>
        <v>Open</v>
      </c>
      <c r="AI363" s="33" t="str">
        <f aca="false">IF(OR(B363="",D363=""),"",D363-B363)</f>
        <v/>
      </c>
      <c r="AJ363" s="24" t="str">
        <f aca="false">IF(AD363="","",IFERROR((AD363-K363)*IF(F363="Sell",-1,1)/IF(ISNUMBER(SEARCH("JPY",E363)),0.01,IF(ISNUMBER(SEARCH("XAU",E363)),0.01,IF(OR(ISNUMBER(SEARCH("30",E363)),ISNUMBER(SEARCH("500",E363)),ISNUMBER(SEARCH("100",E363))),1,0.0001))),0))</f>
        <v/>
      </c>
      <c r="AK363" s="12"/>
      <c r="AL363" s="12"/>
      <c r="AM363" s="12"/>
      <c r="AN363" s="12"/>
      <c r="AO363" s="27" t="str">
        <f aca="false">IF(AE363="","",IFERROR(IF(AO362="",SETTINGS!$B$6,AO362),SETTINGS!$B$6)+IF(AE363="",0,AE363))</f>
        <v/>
      </c>
      <c r="AP363" s="2"/>
    </row>
    <row r="364" customFormat="false" ht="15" hidden="false" customHeight="false" outlineLevel="0" collapsed="false">
      <c r="A364" s="24" t="str">
        <f aca="false">IF(B364="","",ROW()-3)</f>
        <v/>
      </c>
      <c r="B364" s="25"/>
      <c r="C364" s="10"/>
      <c r="D364" s="25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26"/>
      <c r="P364" s="24" t="str">
        <f aca="false">IF(K364="","",IFERROR(ABS(K364-L364)/IF(ISNUMBER(SEARCH("JPY",E364)),0.01,IF(ISNUMBER(SEARCH("XAU",E364)),0.01,IF(OR(ISNUMBER(SEARCH("30",E364)),ISNUMBER(SEARCH("500",E364)),ISNUMBER(SEARCH("100",E364))),1,0.0001))),0))</f>
        <v/>
      </c>
      <c r="Q364" s="27" t="str">
        <f aca="false">IF(K364="","",SETTINGS!$B$6*O364)</f>
        <v/>
      </c>
      <c r="R364" s="24" t="str">
        <f aca="false">IF(K364="","",IFERROR(Q364/(P364*IF(ISNUMBER(SEARCH("JPY",E364)),9.09,IF(ISNUMBER(SEARCH("XAU",E364)),1,IF(OR(ISNUMBER(SEARCH("30",E364)),ISNUMBER(SEARCH("500",E364)),ISNUMBER(SEARCH("100",E364))),1,10)))),0))</f>
        <v/>
      </c>
      <c r="S364" s="10"/>
      <c r="T364" s="28"/>
      <c r="U364" s="27" t="str">
        <f aca="false">IF(OR(S364="",T364=0),"",IFERROR((S364-K364)*IF(F364="Sell",-1,1)*R364*T364*IF(ISNUMBER(SEARCH("JPY",E364)),1000,IF(ISNUMBER(SEARCH("XAU",E364)),100,IF(OR(ISNUMBER(SEARCH("30",E364)),ISNUMBER(SEARCH("500",E364)),ISNUMBER(SEARCH("100",E364))),100,100000))),0))</f>
        <v/>
      </c>
      <c r="V364" s="10"/>
      <c r="W364" s="28"/>
      <c r="X364" s="27" t="str">
        <f aca="false">IF(OR(V364="",W364=0),"",IFERROR((V364-K364)*IF(F364="Sell",-1,1)*R364*W364*IF(ISNUMBER(SEARCH("JPY",E364)),1000,IF(ISNUMBER(SEARCH("XAU",E364)),100,IF(OR(ISNUMBER(SEARCH("30",E364)),ISNUMBER(SEARCH("500",E364)),ISNUMBER(SEARCH("100",E364))),100,100000))),0))</f>
        <v/>
      </c>
      <c r="Y364" s="10"/>
      <c r="Z364" s="28"/>
      <c r="AA364" s="27" t="str">
        <f aca="false">IF(OR(Y364="",Z364=0),"",IFERROR((Y364-K364)*IF(F364="Sell",-1,1)*R364*Z364*IF(ISNUMBER(SEARCH("JPY",E364)),1000,IF(ISNUMBER(SEARCH("XAU",E364)),100,IF(OR(ISNUMBER(SEARCH("30",E364)),ISNUMBER(SEARCH("500",E364)),ISNUMBER(SEARCH("100",E364))),100,100000))),0))</f>
        <v/>
      </c>
      <c r="AB364" s="10"/>
      <c r="AC364" s="29" t="str">
        <f aca="false">IF(K364="","",1-IFERROR(T364,0)-IFERROR(W364,0)-IFERROR(Z364,0))</f>
        <v/>
      </c>
      <c r="AD364" s="30" t="str">
        <f aca="false">IF(AB364="","",IFERROR((IFERROR(S364*T364,0)+IFERROR(V364*W364,0)+IFERROR(Y364*Z364,0)+AB364*AC364)/(IFERROR(T364,0)+IFERROR(W364,0)+IFERROR(Z364,0)+AC364),AB364))</f>
        <v/>
      </c>
      <c r="AE364" s="27" t="str">
        <f aca="false">IF(AB364="","",IF(U364="",0,U364)+IF(X364="",0,X364)+IF(AA364="",0,AA364)+IFERROR((AB364-K364)*IF(F364="Sell",-1,1)*R364*AC364*IF(ISNUMBER(SEARCH("JPY",E364)),1000,IF(ISNUMBER(SEARCH("XAU",E364)),100,IF(OR(ISNUMBER(SEARCH("30",E364)),ISNUMBER(SEARCH("500",E364)),ISNUMBER(SEARCH("100",E364))),100,100000))),0))</f>
        <v/>
      </c>
      <c r="AF364" s="31" t="str">
        <f aca="false">IF(OR(K364="",M364="",L364=""),"",IFERROR(ABS(M364-K364)/ABS(K364-L364),0))</f>
        <v/>
      </c>
      <c r="AG364" s="31" t="str">
        <f aca="false">IF(OR(AE364="",AE364=0,Q364=0,Q364=""),"",IFERROR(AE364/Q364,0))</f>
        <v/>
      </c>
      <c r="AH364" s="32" t="str">
        <f aca="false">IF(AB364="","Open",IF(AG364="","Open",IF(AG364&gt;0.1,"Win",IF(AG364&lt;-0.1,"Loss","Breakeven"))))</f>
        <v>Open</v>
      </c>
      <c r="AI364" s="33" t="str">
        <f aca="false">IF(OR(B364="",D364=""),"",D364-B364)</f>
        <v/>
      </c>
      <c r="AJ364" s="24" t="str">
        <f aca="false">IF(AD364="","",IFERROR((AD364-K364)*IF(F364="Sell",-1,1)/IF(ISNUMBER(SEARCH("JPY",E364)),0.01,IF(ISNUMBER(SEARCH("XAU",E364)),0.01,IF(OR(ISNUMBER(SEARCH("30",E364)),ISNUMBER(SEARCH("500",E364)),ISNUMBER(SEARCH("100",E364))),1,0.0001))),0))</f>
        <v/>
      </c>
      <c r="AK364" s="10"/>
      <c r="AL364" s="10"/>
      <c r="AM364" s="10"/>
      <c r="AN364" s="10"/>
      <c r="AO364" s="27" t="str">
        <f aca="false">IF(AE364="","",IFERROR(IF(AO363="",SETTINGS!$B$6,AO363),SETTINGS!$B$6)+IF(AE364="",0,AE364))</f>
        <v/>
      </c>
      <c r="AP364" s="2"/>
    </row>
    <row r="365" customFormat="false" ht="15" hidden="false" customHeight="false" outlineLevel="0" collapsed="false">
      <c r="A365" s="24" t="str">
        <f aca="false">IF(B365="","",ROW()-3)</f>
        <v/>
      </c>
      <c r="B365" s="34"/>
      <c r="C365" s="12"/>
      <c r="D365" s="34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35"/>
      <c r="P365" s="24" t="str">
        <f aca="false">IF(K365="","",IFERROR(ABS(K365-L365)/IF(ISNUMBER(SEARCH("JPY",E365)),0.01,IF(ISNUMBER(SEARCH("XAU",E365)),0.01,IF(OR(ISNUMBER(SEARCH("30",E365)),ISNUMBER(SEARCH("500",E365)),ISNUMBER(SEARCH("100",E365))),1,0.0001))),0))</f>
        <v/>
      </c>
      <c r="Q365" s="27" t="str">
        <f aca="false">IF(K365="","",SETTINGS!$B$6*O365)</f>
        <v/>
      </c>
      <c r="R365" s="24" t="str">
        <f aca="false">IF(K365="","",IFERROR(Q365/(P365*IF(ISNUMBER(SEARCH("JPY",E365)),9.09,IF(ISNUMBER(SEARCH("XAU",E365)),1,IF(OR(ISNUMBER(SEARCH("30",E365)),ISNUMBER(SEARCH("500",E365)),ISNUMBER(SEARCH("100",E365))),1,10)))),0))</f>
        <v/>
      </c>
      <c r="S365" s="12"/>
      <c r="T365" s="36"/>
      <c r="U365" s="27" t="str">
        <f aca="false">IF(OR(S365="",T365=0),"",IFERROR((S365-K365)*IF(F365="Sell",-1,1)*R365*T365*IF(ISNUMBER(SEARCH("JPY",E365)),1000,IF(ISNUMBER(SEARCH("XAU",E365)),100,IF(OR(ISNUMBER(SEARCH("30",E365)),ISNUMBER(SEARCH("500",E365)),ISNUMBER(SEARCH("100",E365))),100,100000))),0))</f>
        <v/>
      </c>
      <c r="V365" s="12"/>
      <c r="W365" s="36"/>
      <c r="X365" s="27" t="str">
        <f aca="false">IF(OR(V365="",W365=0),"",IFERROR((V365-K365)*IF(F365="Sell",-1,1)*R365*W365*IF(ISNUMBER(SEARCH("JPY",E365)),1000,IF(ISNUMBER(SEARCH("XAU",E365)),100,IF(OR(ISNUMBER(SEARCH("30",E365)),ISNUMBER(SEARCH("500",E365)),ISNUMBER(SEARCH("100",E365))),100,100000))),0))</f>
        <v/>
      </c>
      <c r="Y365" s="12"/>
      <c r="Z365" s="36"/>
      <c r="AA365" s="27" t="str">
        <f aca="false">IF(OR(Y365="",Z365=0),"",IFERROR((Y365-K365)*IF(F365="Sell",-1,1)*R365*Z365*IF(ISNUMBER(SEARCH("JPY",E365)),1000,IF(ISNUMBER(SEARCH("XAU",E365)),100,IF(OR(ISNUMBER(SEARCH("30",E365)),ISNUMBER(SEARCH("500",E365)),ISNUMBER(SEARCH("100",E365))),100,100000))),0))</f>
        <v/>
      </c>
      <c r="AB365" s="12"/>
      <c r="AC365" s="29" t="str">
        <f aca="false">IF(K365="","",1-IFERROR(T365,0)-IFERROR(W365,0)-IFERROR(Z365,0))</f>
        <v/>
      </c>
      <c r="AD365" s="30" t="str">
        <f aca="false">IF(AB365="","",IFERROR((IFERROR(S365*T365,0)+IFERROR(V365*W365,0)+IFERROR(Y365*Z365,0)+AB365*AC365)/(IFERROR(T365,0)+IFERROR(W365,0)+IFERROR(Z365,0)+AC365),AB365))</f>
        <v/>
      </c>
      <c r="AE365" s="27" t="str">
        <f aca="false">IF(AB365="","",IF(U365="",0,U365)+IF(X365="",0,X365)+IF(AA365="",0,AA365)+IFERROR((AB365-K365)*IF(F365="Sell",-1,1)*R365*AC365*IF(ISNUMBER(SEARCH("JPY",E365)),1000,IF(ISNUMBER(SEARCH("XAU",E365)),100,IF(OR(ISNUMBER(SEARCH("30",E365)),ISNUMBER(SEARCH("500",E365)),ISNUMBER(SEARCH("100",E365))),100,100000))),0))</f>
        <v/>
      </c>
      <c r="AF365" s="31" t="str">
        <f aca="false">IF(OR(K365="",M365="",L365=""),"",IFERROR(ABS(M365-K365)/ABS(K365-L365),0))</f>
        <v/>
      </c>
      <c r="AG365" s="31" t="str">
        <f aca="false">IF(OR(AE365="",AE365=0,Q365=0,Q365=""),"",IFERROR(AE365/Q365,0))</f>
        <v/>
      </c>
      <c r="AH365" s="32" t="str">
        <f aca="false">IF(AB365="","Open",IF(AG365="","Open",IF(AG365&gt;0.1,"Win",IF(AG365&lt;-0.1,"Loss","Breakeven"))))</f>
        <v>Open</v>
      </c>
      <c r="AI365" s="33" t="str">
        <f aca="false">IF(OR(B365="",D365=""),"",D365-B365)</f>
        <v/>
      </c>
      <c r="AJ365" s="24" t="str">
        <f aca="false">IF(AD365="","",IFERROR((AD365-K365)*IF(F365="Sell",-1,1)/IF(ISNUMBER(SEARCH("JPY",E365)),0.01,IF(ISNUMBER(SEARCH("XAU",E365)),0.01,IF(OR(ISNUMBER(SEARCH("30",E365)),ISNUMBER(SEARCH("500",E365)),ISNUMBER(SEARCH("100",E365))),1,0.0001))),0))</f>
        <v/>
      </c>
      <c r="AK365" s="12"/>
      <c r="AL365" s="12"/>
      <c r="AM365" s="12"/>
      <c r="AN365" s="12"/>
      <c r="AO365" s="27" t="str">
        <f aca="false">IF(AE365="","",IFERROR(IF(AO364="",SETTINGS!$B$6,AO364),SETTINGS!$B$6)+IF(AE365="",0,AE365))</f>
        <v/>
      </c>
      <c r="AP365" s="2"/>
    </row>
    <row r="366" customFormat="false" ht="15" hidden="false" customHeight="false" outlineLevel="0" collapsed="false">
      <c r="A366" s="24" t="str">
        <f aca="false">IF(B366="","",ROW()-3)</f>
        <v/>
      </c>
      <c r="B366" s="25"/>
      <c r="C366" s="10"/>
      <c r="D366" s="25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26"/>
      <c r="P366" s="24" t="str">
        <f aca="false">IF(K366="","",IFERROR(ABS(K366-L366)/IF(ISNUMBER(SEARCH("JPY",E366)),0.01,IF(ISNUMBER(SEARCH("XAU",E366)),0.01,IF(OR(ISNUMBER(SEARCH("30",E366)),ISNUMBER(SEARCH("500",E366)),ISNUMBER(SEARCH("100",E366))),1,0.0001))),0))</f>
        <v/>
      </c>
      <c r="Q366" s="27" t="str">
        <f aca="false">IF(K366="","",SETTINGS!$B$6*O366)</f>
        <v/>
      </c>
      <c r="R366" s="24" t="str">
        <f aca="false">IF(K366="","",IFERROR(Q366/(P366*IF(ISNUMBER(SEARCH("JPY",E366)),9.09,IF(ISNUMBER(SEARCH("XAU",E366)),1,IF(OR(ISNUMBER(SEARCH("30",E366)),ISNUMBER(SEARCH("500",E366)),ISNUMBER(SEARCH("100",E366))),1,10)))),0))</f>
        <v/>
      </c>
      <c r="S366" s="10"/>
      <c r="T366" s="28"/>
      <c r="U366" s="27" t="str">
        <f aca="false">IF(OR(S366="",T366=0),"",IFERROR((S366-K366)*IF(F366="Sell",-1,1)*R366*T366*IF(ISNUMBER(SEARCH("JPY",E366)),1000,IF(ISNUMBER(SEARCH("XAU",E366)),100,IF(OR(ISNUMBER(SEARCH("30",E366)),ISNUMBER(SEARCH("500",E366)),ISNUMBER(SEARCH("100",E366))),100,100000))),0))</f>
        <v/>
      </c>
      <c r="V366" s="10"/>
      <c r="W366" s="28"/>
      <c r="X366" s="27" t="str">
        <f aca="false">IF(OR(V366="",W366=0),"",IFERROR((V366-K366)*IF(F366="Sell",-1,1)*R366*W366*IF(ISNUMBER(SEARCH("JPY",E366)),1000,IF(ISNUMBER(SEARCH("XAU",E366)),100,IF(OR(ISNUMBER(SEARCH("30",E366)),ISNUMBER(SEARCH("500",E366)),ISNUMBER(SEARCH("100",E366))),100,100000))),0))</f>
        <v/>
      </c>
      <c r="Y366" s="10"/>
      <c r="Z366" s="28"/>
      <c r="AA366" s="27" t="str">
        <f aca="false">IF(OR(Y366="",Z366=0),"",IFERROR((Y366-K366)*IF(F366="Sell",-1,1)*R366*Z366*IF(ISNUMBER(SEARCH("JPY",E366)),1000,IF(ISNUMBER(SEARCH("XAU",E366)),100,IF(OR(ISNUMBER(SEARCH("30",E366)),ISNUMBER(SEARCH("500",E366)),ISNUMBER(SEARCH("100",E366))),100,100000))),0))</f>
        <v/>
      </c>
      <c r="AB366" s="10"/>
      <c r="AC366" s="29" t="str">
        <f aca="false">IF(K366="","",1-IFERROR(T366,0)-IFERROR(W366,0)-IFERROR(Z366,0))</f>
        <v/>
      </c>
      <c r="AD366" s="30" t="str">
        <f aca="false">IF(AB366="","",IFERROR((IFERROR(S366*T366,0)+IFERROR(V366*W366,0)+IFERROR(Y366*Z366,0)+AB366*AC366)/(IFERROR(T366,0)+IFERROR(W366,0)+IFERROR(Z366,0)+AC366),AB366))</f>
        <v/>
      </c>
      <c r="AE366" s="27" t="str">
        <f aca="false">IF(AB366="","",IF(U366="",0,U366)+IF(X366="",0,X366)+IF(AA366="",0,AA366)+IFERROR((AB366-K366)*IF(F366="Sell",-1,1)*R366*AC366*IF(ISNUMBER(SEARCH("JPY",E366)),1000,IF(ISNUMBER(SEARCH("XAU",E366)),100,IF(OR(ISNUMBER(SEARCH("30",E366)),ISNUMBER(SEARCH("500",E366)),ISNUMBER(SEARCH("100",E366))),100,100000))),0))</f>
        <v/>
      </c>
      <c r="AF366" s="31" t="str">
        <f aca="false">IF(OR(K366="",M366="",L366=""),"",IFERROR(ABS(M366-K366)/ABS(K366-L366),0))</f>
        <v/>
      </c>
      <c r="AG366" s="31" t="str">
        <f aca="false">IF(OR(AE366="",AE366=0,Q366=0,Q366=""),"",IFERROR(AE366/Q366,0))</f>
        <v/>
      </c>
      <c r="AH366" s="32" t="str">
        <f aca="false">IF(AB366="","Open",IF(AG366="","Open",IF(AG366&gt;0.1,"Win",IF(AG366&lt;-0.1,"Loss","Breakeven"))))</f>
        <v>Open</v>
      </c>
      <c r="AI366" s="33" t="str">
        <f aca="false">IF(OR(B366="",D366=""),"",D366-B366)</f>
        <v/>
      </c>
      <c r="AJ366" s="24" t="str">
        <f aca="false">IF(AD366="","",IFERROR((AD366-K366)*IF(F366="Sell",-1,1)/IF(ISNUMBER(SEARCH("JPY",E366)),0.01,IF(ISNUMBER(SEARCH("XAU",E366)),0.01,IF(OR(ISNUMBER(SEARCH("30",E366)),ISNUMBER(SEARCH("500",E366)),ISNUMBER(SEARCH("100",E366))),1,0.0001))),0))</f>
        <v/>
      </c>
      <c r="AK366" s="10"/>
      <c r="AL366" s="10"/>
      <c r="AM366" s="10"/>
      <c r="AN366" s="10"/>
      <c r="AO366" s="27" t="str">
        <f aca="false">IF(AE366="","",IFERROR(IF(AO365="",SETTINGS!$B$6,AO365),SETTINGS!$B$6)+IF(AE366="",0,AE366))</f>
        <v/>
      </c>
      <c r="AP366" s="2"/>
    </row>
    <row r="367" customFormat="false" ht="15" hidden="false" customHeight="false" outlineLevel="0" collapsed="false">
      <c r="A367" s="24" t="str">
        <f aca="false">IF(B367="","",ROW()-3)</f>
        <v/>
      </c>
      <c r="B367" s="34"/>
      <c r="C367" s="12"/>
      <c r="D367" s="34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35"/>
      <c r="P367" s="24" t="str">
        <f aca="false">IF(K367="","",IFERROR(ABS(K367-L367)/IF(ISNUMBER(SEARCH("JPY",E367)),0.01,IF(ISNUMBER(SEARCH("XAU",E367)),0.01,IF(OR(ISNUMBER(SEARCH("30",E367)),ISNUMBER(SEARCH("500",E367)),ISNUMBER(SEARCH("100",E367))),1,0.0001))),0))</f>
        <v/>
      </c>
      <c r="Q367" s="27" t="str">
        <f aca="false">IF(K367="","",SETTINGS!$B$6*O367)</f>
        <v/>
      </c>
      <c r="R367" s="24" t="str">
        <f aca="false">IF(K367="","",IFERROR(Q367/(P367*IF(ISNUMBER(SEARCH("JPY",E367)),9.09,IF(ISNUMBER(SEARCH("XAU",E367)),1,IF(OR(ISNUMBER(SEARCH("30",E367)),ISNUMBER(SEARCH("500",E367)),ISNUMBER(SEARCH("100",E367))),1,10)))),0))</f>
        <v/>
      </c>
      <c r="S367" s="12"/>
      <c r="T367" s="36"/>
      <c r="U367" s="27" t="str">
        <f aca="false">IF(OR(S367="",T367=0),"",IFERROR((S367-K367)*IF(F367="Sell",-1,1)*R367*T367*IF(ISNUMBER(SEARCH("JPY",E367)),1000,IF(ISNUMBER(SEARCH("XAU",E367)),100,IF(OR(ISNUMBER(SEARCH("30",E367)),ISNUMBER(SEARCH("500",E367)),ISNUMBER(SEARCH("100",E367))),100,100000))),0))</f>
        <v/>
      </c>
      <c r="V367" s="12"/>
      <c r="W367" s="36"/>
      <c r="X367" s="27" t="str">
        <f aca="false">IF(OR(V367="",W367=0),"",IFERROR((V367-K367)*IF(F367="Sell",-1,1)*R367*W367*IF(ISNUMBER(SEARCH("JPY",E367)),1000,IF(ISNUMBER(SEARCH("XAU",E367)),100,IF(OR(ISNUMBER(SEARCH("30",E367)),ISNUMBER(SEARCH("500",E367)),ISNUMBER(SEARCH("100",E367))),100,100000))),0))</f>
        <v/>
      </c>
      <c r="Y367" s="12"/>
      <c r="Z367" s="36"/>
      <c r="AA367" s="27" t="str">
        <f aca="false">IF(OR(Y367="",Z367=0),"",IFERROR((Y367-K367)*IF(F367="Sell",-1,1)*R367*Z367*IF(ISNUMBER(SEARCH("JPY",E367)),1000,IF(ISNUMBER(SEARCH("XAU",E367)),100,IF(OR(ISNUMBER(SEARCH("30",E367)),ISNUMBER(SEARCH("500",E367)),ISNUMBER(SEARCH("100",E367))),100,100000))),0))</f>
        <v/>
      </c>
      <c r="AB367" s="12"/>
      <c r="AC367" s="29" t="str">
        <f aca="false">IF(K367="","",1-IFERROR(T367,0)-IFERROR(W367,0)-IFERROR(Z367,0))</f>
        <v/>
      </c>
      <c r="AD367" s="30" t="str">
        <f aca="false">IF(AB367="","",IFERROR((IFERROR(S367*T367,0)+IFERROR(V367*W367,0)+IFERROR(Y367*Z367,0)+AB367*AC367)/(IFERROR(T367,0)+IFERROR(W367,0)+IFERROR(Z367,0)+AC367),AB367))</f>
        <v/>
      </c>
      <c r="AE367" s="27" t="str">
        <f aca="false">IF(AB367="","",IF(U367="",0,U367)+IF(X367="",0,X367)+IF(AA367="",0,AA367)+IFERROR((AB367-K367)*IF(F367="Sell",-1,1)*R367*AC367*IF(ISNUMBER(SEARCH("JPY",E367)),1000,IF(ISNUMBER(SEARCH("XAU",E367)),100,IF(OR(ISNUMBER(SEARCH("30",E367)),ISNUMBER(SEARCH("500",E367)),ISNUMBER(SEARCH("100",E367))),100,100000))),0))</f>
        <v/>
      </c>
      <c r="AF367" s="31" t="str">
        <f aca="false">IF(OR(K367="",M367="",L367=""),"",IFERROR(ABS(M367-K367)/ABS(K367-L367),0))</f>
        <v/>
      </c>
      <c r="AG367" s="31" t="str">
        <f aca="false">IF(OR(AE367="",AE367=0,Q367=0,Q367=""),"",IFERROR(AE367/Q367,0))</f>
        <v/>
      </c>
      <c r="AH367" s="32" t="str">
        <f aca="false">IF(AB367="","Open",IF(AG367="","Open",IF(AG367&gt;0.1,"Win",IF(AG367&lt;-0.1,"Loss","Breakeven"))))</f>
        <v>Open</v>
      </c>
      <c r="AI367" s="33" t="str">
        <f aca="false">IF(OR(B367="",D367=""),"",D367-B367)</f>
        <v/>
      </c>
      <c r="AJ367" s="24" t="str">
        <f aca="false">IF(AD367="","",IFERROR((AD367-K367)*IF(F367="Sell",-1,1)/IF(ISNUMBER(SEARCH("JPY",E367)),0.01,IF(ISNUMBER(SEARCH("XAU",E367)),0.01,IF(OR(ISNUMBER(SEARCH("30",E367)),ISNUMBER(SEARCH("500",E367)),ISNUMBER(SEARCH("100",E367))),1,0.0001))),0))</f>
        <v/>
      </c>
      <c r="AK367" s="12"/>
      <c r="AL367" s="12"/>
      <c r="AM367" s="12"/>
      <c r="AN367" s="12"/>
      <c r="AO367" s="27" t="str">
        <f aca="false">IF(AE367="","",IFERROR(IF(AO366="",SETTINGS!$B$6,AO366),SETTINGS!$B$6)+IF(AE367="",0,AE367))</f>
        <v/>
      </c>
      <c r="AP367" s="2"/>
    </row>
    <row r="368" customFormat="false" ht="15" hidden="false" customHeight="false" outlineLevel="0" collapsed="false">
      <c r="A368" s="24" t="str">
        <f aca="false">IF(B368="","",ROW()-3)</f>
        <v/>
      </c>
      <c r="B368" s="25"/>
      <c r="C368" s="10"/>
      <c r="D368" s="25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26"/>
      <c r="P368" s="24" t="str">
        <f aca="false">IF(K368="","",IFERROR(ABS(K368-L368)/IF(ISNUMBER(SEARCH("JPY",E368)),0.01,IF(ISNUMBER(SEARCH("XAU",E368)),0.01,IF(OR(ISNUMBER(SEARCH("30",E368)),ISNUMBER(SEARCH("500",E368)),ISNUMBER(SEARCH("100",E368))),1,0.0001))),0))</f>
        <v/>
      </c>
      <c r="Q368" s="27" t="str">
        <f aca="false">IF(K368="","",SETTINGS!$B$6*O368)</f>
        <v/>
      </c>
      <c r="R368" s="24" t="str">
        <f aca="false">IF(K368="","",IFERROR(Q368/(P368*IF(ISNUMBER(SEARCH("JPY",E368)),9.09,IF(ISNUMBER(SEARCH("XAU",E368)),1,IF(OR(ISNUMBER(SEARCH("30",E368)),ISNUMBER(SEARCH("500",E368)),ISNUMBER(SEARCH("100",E368))),1,10)))),0))</f>
        <v/>
      </c>
      <c r="S368" s="10"/>
      <c r="T368" s="28"/>
      <c r="U368" s="27" t="str">
        <f aca="false">IF(OR(S368="",T368=0),"",IFERROR((S368-K368)*IF(F368="Sell",-1,1)*R368*T368*IF(ISNUMBER(SEARCH("JPY",E368)),1000,IF(ISNUMBER(SEARCH("XAU",E368)),100,IF(OR(ISNUMBER(SEARCH("30",E368)),ISNUMBER(SEARCH("500",E368)),ISNUMBER(SEARCH("100",E368))),100,100000))),0))</f>
        <v/>
      </c>
      <c r="V368" s="10"/>
      <c r="W368" s="28"/>
      <c r="X368" s="27" t="str">
        <f aca="false">IF(OR(V368="",W368=0),"",IFERROR((V368-K368)*IF(F368="Sell",-1,1)*R368*W368*IF(ISNUMBER(SEARCH("JPY",E368)),1000,IF(ISNUMBER(SEARCH("XAU",E368)),100,IF(OR(ISNUMBER(SEARCH("30",E368)),ISNUMBER(SEARCH("500",E368)),ISNUMBER(SEARCH("100",E368))),100,100000))),0))</f>
        <v/>
      </c>
      <c r="Y368" s="10"/>
      <c r="Z368" s="28"/>
      <c r="AA368" s="27" t="str">
        <f aca="false">IF(OR(Y368="",Z368=0),"",IFERROR((Y368-K368)*IF(F368="Sell",-1,1)*R368*Z368*IF(ISNUMBER(SEARCH("JPY",E368)),1000,IF(ISNUMBER(SEARCH("XAU",E368)),100,IF(OR(ISNUMBER(SEARCH("30",E368)),ISNUMBER(SEARCH("500",E368)),ISNUMBER(SEARCH("100",E368))),100,100000))),0))</f>
        <v/>
      </c>
      <c r="AB368" s="10"/>
      <c r="AC368" s="29" t="str">
        <f aca="false">IF(K368="","",1-IFERROR(T368,0)-IFERROR(W368,0)-IFERROR(Z368,0))</f>
        <v/>
      </c>
      <c r="AD368" s="30" t="str">
        <f aca="false">IF(AB368="","",IFERROR((IFERROR(S368*T368,0)+IFERROR(V368*W368,0)+IFERROR(Y368*Z368,0)+AB368*AC368)/(IFERROR(T368,0)+IFERROR(W368,0)+IFERROR(Z368,0)+AC368),AB368))</f>
        <v/>
      </c>
      <c r="AE368" s="27" t="str">
        <f aca="false">IF(AB368="","",IF(U368="",0,U368)+IF(X368="",0,X368)+IF(AA368="",0,AA368)+IFERROR((AB368-K368)*IF(F368="Sell",-1,1)*R368*AC368*IF(ISNUMBER(SEARCH("JPY",E368)),1000,IF(ISNUMBER(SEARCH("XAU",E368)),100,IF(OR(ISNUMBER(SEARCH("30",E368)),ISNUMBER(SEARCH("500",E368)),ISNUMBER(SEARCH("100",E368))),100,100000))),0))</f>
        <v/>
      </c>
      <c r="AF368" s="31" t="str">
        <f aca="false">IF(OR(K368="",M368="",L368=""),"",IFERROR(ABS(M368-K368)/ABS(K368-L368),0))</f>
        <v/>
      </c>
      <c r="AG368" s="31" t="str">
        <f aca="false">IF(OR(AE368="",AE368=0,Q368=0,Q368=""),"",IFERROR(AE368/Q368,0))</f>
        <v/>
      </c>
      <c r="AH368" s="32" t="str">
        <f aca="false">IF(AB368="","Open",IF(AG368="","Open",IF(AG368&gt;0.1,"Win",IF(AG368&lt;-0.1,"Loss","Breakeven"))))</f>
        <v>Open</v>
      </c>
      <c r="AI368" s="33" t="str">
        <f aca="false">IF(OR(B368="",D368=""),"",D368-B368)</f>
        <v/>
      </c>
      <c r="AJ368" s="24" t="str">
        <f aca="false">IF(AD368="","",IFERROR((AD368-K368)*IF(F368="Sell",-1,1)/IF(ISNUMBER(SEARCH("JPY",E368)),0.01,IF(ISNUMBER(SEARCH("XAU",E368)),0.01,IF(OR(ISNUMBER(SEARCH("30",E368)),ISNUMBER(SEARCH("500",E368)),ISNUMBER(SEARCH("100",E368))),1,0.0001))),0))</f>
        <v/>
      </c>
      <c r="AK368" s="10"/>
      <c r="AL368" s="10"/>
      <c r="AM368" s="10"/>
      <c r="AN368" s="10"/>
      <c r="AO368" s="27" t="str">
        <f aca="false">IF(AE368="","",IFERROR(IF(AO367="",SETTINGS!$B$6,AO367),SETTINGS!$B$6)+IF(AE368="",0,AE368))</f>
        <v/>
      </c>
      <c r="AP368" s="2"/>
    </row>
    <row r="369" customFormat="false" ht="15" hidden="false" customHeight="false" outlineLevel="0" collapsed="false">
      <c r="A369" s="24" t="str">
        <f aca="false">IF(B369="","",ROW()-3)</f>
        <v/>
      </c>
      <c r="B369" s="34"/>
      <c r="C369" s="12"/>
      <c r="D369" s="34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35"/>
      <c r="P369" s="24" t="str">
        <f aca="false">IF(K369="","",IFERROR(ABS(K369-L369)/IF(ISNUMBER(SEARCH("JPY",E369)),0.01,IF(ISNUMBER(SEARCH("XAU",E369)),0.01,IF(OR(ISNUMBER(SEARCH("30",E369)),ISNUMBER(SEARCH("500",E369)),ISNUMBER(SEARCH("100",E369))),1,0.0001))),0))</f>
        <v/>
      </c>
      <c r="Q369" s="27" t="str">
        <f aca="false">IF(K369="","",SETTINGS!$B$6*O369)</f>
        <v/>
      </c>
      <c r="R369" s="24" t="str">
        <f aca="false">IF(K369="","",IFERROR(Q369/(P369*IF(ISNUMBER(SEARCH("JPY",E369)),9.09,IF(ISNUMBER(SEARCH("XAU",E369)),1,IF(OR(ISNUMBER(SEARCH("30",E369)),ISNUMBER(SEARCH("500",E369)),ISNUMBER(SEARCH("100",E369))),1,10)))),0))</f>
        <v/>
      </c>
      <c r="S369" s="12"/>
      <c r="T369" s="36"/>
      <c r="U369" s="27" t="str">
        <f aca="false">IF(OR(S369="",T369=0),"",IFERROR((S369-K369)*IF(F369="Sell",-1,1)*R369*T369*IF(ISNUMBER(SEARCH("JPY",E369)),1000,IF(ISNUMBER(SEARCH("XAU",E369)),100,IF(OR(ISNUMBER(SEARCH("30",E369)),ISNUMBER(SEARCH("500",E369)),ISNUMBER(SEARCH("100",E369))),100,100000))),0))</f>
        <v/>
      </c>
      <c r="V369" s="12"/>
      <c r="W369" s="36"/>
      <c r="X369" s="27" t="str">
        <f aca="false">IF(OR(V369="",W369=0),"",IFERROR((V369-K369)*IF(F369="Sell",-1,1)*R369*W369*IF(ISNUMBER(SEARCH("JPY",E369)),1000,IF(ISNUMBER(SEARCH("XAU",E369)),100,IF(OR(ISNUMBER(SEARCH("30",E369)),ISNUMBER(SEARCH("500",E369)),ISNUMBER(SEARCH("100",E369))),100,100000))),0))</f>
        <v/>
      </c>
      <c r="Y369" s="12"/>
      <c r="Z369" s="36"/>
      <c r="AA369" s="27" t="str">
        <f aca="false">IF(OR(Y369="",Z369=0),"",IFERROR((Y369-K369)*IF(F369="Sell",-1,1)*R369*Z369*IF(ISNUMBER(SEARCH("JPY",E369)),1000,IF(ISNUMBER(SEARCH("XAU",E369)),100,IF(OR(ISNUMBER(SEARCH("30",E369)),ISNUMBER(SEARCH("500",E369)),ISNUMBER(SEARCH("100",E369))),100,100000))),0))</f>
        <v/>
      </c>
      <c r="AB369" s="12"/>
      <c r="AC369" s="29" t="str">
        <f aca="false">IF(K369="","",1-IFERROR(T369,0)-IFERROR(W369,0)-IFERROR(Z369,0))</f>
        <v/>
      </c>
      <c r="AD369" s="30" t="str">
        <f aca="false">IF(AB369="","",IFERROR((IFERROR(S369*T369,0)+IFERROR(V369*W369,0)+IFERROR(Y369*Z369,0)+AB369*AC369)/(IFERROR(T369,0)+IFERROR(W369,0)+IFERROR(Z369,0)+AC369),AB369))</f>
        <v/>
      </c>
      <c r="AE369" s="27" t="str">
        <f aca="false">IF(AB369="","",IF(U369="",0,U369)+IF(X369="",0,X369)+IF(AA369="",0,AA369)+IFERROR((AB369-K369)*IF(F369="Sell",-1,1)*R369*AC369*IF(ISNUMBER(SEARCH("JPY",E369)),1000,IF(ISNUMBER(SEARCH("XAU",E369)),100,IF(OR(ISNUMBER(SEARCH("30",E369)),ISNUMBER(SEARCH("500",E369)),ISNUMBER(SEARCH("100",E369))),100,100000))),0))</f>
        <v/>
      </c>
      <c r="AF369" s="31" t="str">
        <f aca="false">IF(OR(K369="",M369="",L369=""),"",IFERROR(ABS(M369-K369)/ABS(K369-L369),0))</f>
        <v/>
      </c>
      <c r="AG369" s="31" t="str">
        <f aca="false">IF(OR(AE369="",AE369=0,Q369=0,Q369=""),"",IFERROR(AE369/Q369,0))</f>
        <v/>
      </c>
      <c r="AH369" s="32" t="str">
        <f aca="false">IF(AB369="","Open",IF(AG369="","Open",IF(AG369&gt;0.1,"Win",IF(AG369&lt;-0.1,"Loss","Breakeven"))))</f>
        <v>Open</v>
      </c>
      <c r="AI369" s="33" t="str">
        <f aca="false">IF(OR(B369="",D369=""),"",D369-B369)</f>
        <v/>
      </c>
      <c r="AJ369" s="24" t="str">
        <f aca="false">IF(AD369="","",IFERROR((AD369-K369)*IF(F369="Sell",-1,1)/IF(ISNUMBER(SEARCH("JPY",E369)),0.01,IF(ISNUMBER(SEARCH("XAU",E369)),0.01,IF(OR(ISNUMBER(SEARCH("30",E369)),ISNUMBER(SEARCH("500",E369)),ISNUMBER(SEARCH("100",E369))),1,0.0001))),0))</f>
        <v/>
      </c>
      <c r="AK369" s="12"/>
      <c r="AL369" s="12"/>
      <c r="AM369" s="12"/>
      <c r="AN369" s="12"/>
      <c r="AO369" s="27" t="str">
        <f aca="false">IF(AE369="","",IFERROR(IF(AO368="",SETTINGS!$B$6,AO368),SETTINGS!$B$6)+IF(AE369="",0,AE369))</f>
        <v/>
      </c>
      <c r="AP369" s="2"/>
    </row>
    <row r="370" customFormat="false" ht="15" hidden="false" customHeight="false" outlineLevel="0" collapsed="false">
      <c r="A370" s="24" t="str">
        <f aca="false">IF(B370="","",ROW()-3)</f>
        <v/>
      </c>
      <c r="B370" s="25"/>
      <c r="C370" s="10"/>
      <c r="D370" s="25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26"/>
      <c r="P370" s="24" t="str">
        <f aca="false">IF(K370="","",IFERROR(ABS(K370-L370)/IF(ISNUMBER(SEARCH("JPY",E370)),0.01,IF(ISNUMBER(SEARCH("XAU",E370)),0.01,IF(OR(ISNUMBER(SEARCH("30",E370)),ISNUMBER(SEARCH("500",E370)),ISNUMBER(SEARCH("100",E370))),1,0.0001))),0))</f>
        <v/>
      </c>
      <c r="Q370" s="27" t="str">
        <f aca="false">IF(K370="","",SETTINGS!$B$6*O370)</f>
        <v/>
      </c>
      <c r="R370" s="24" t="str">
        <f aca="false">IF(K370="","",IFERROR(Q370/(P370*IF(ISNUMBER(SEARCH("JPY",E370)),9.09,IF(ISNUMBER(SEARCH("XAU",E370)),1,IF(OR(ISNUMBER(SEARCH("30",E370)),ISNUMBER(SEARCH("500",E370)),ISNUMBER(SEARCH("100",E370))),1,10)))),0))</f>
        <v/>
      </c>
      <c r="S370" s="10"/>
      <c r="T370" s="28"/>
      <c r="U370" s="27" t="str">
        <f aca="false">IF(OR(S370="",T370=0),"",IFERROR((S370-K370)*IF(F370="Sell",-1,1)*R370*T370*IF(ISNUMBER(SEARCH("JPY",E370)),1000,IF(ISNUMBER(SEARCH("XAU",E370)),100,IF(OR(ISNUMBER(SEARCH("30",E370)),ISNUMBER(SEARCH("500",E370)),ISNUMBER(SEARCH("100",E370))),100,100000))),0))</f>
        <v/>
      </c>
      <c r="V370" s="10"/>
      <c r="W370" s="28"/>
      <c r="X370" s="27" t="str">
        <f aca="false">IF(OR(V370="",W370=0),"",IFERROR((V370-K370)*IF(F370="Sell",-1,1)*R370*W370*IF(ISNUMBER(SEARCH("JPY",E370)),1000,IF(ISNUMBER(SEARCH("XAU",E370)),100,IF(OR(ISNUMBER(SEARCH("30",E370)),ISNUMBER(SEARCH("500",E370)),ISNUMBER(SEARCH("100",E370))),100,100000))),0))</f>
        <v/>
      </c>
      <c r="Y370" s="10"/>
      <c r="Z370" s="28"/>
      <c r="AA370" s="27" t="str">
        <f aca="false">IF(OR(Y370="",Z370=0),"",IFERROR((Y370-K370)*IF(F370="Sell",-1,1)*R370*Z370*IF(ISNUMBER(SEARCH("JPY",E370)),1000,IF(ISNUMBER(SEARCH("XAU",E370)),100,IF(OR(ISNUMBER(SEARCH("30",E370)),ISNUMBER(SEARCH("500",E370)),ISNUMBER(SEARCH("100",E370))),100,100000))),0))</f>
        <v/>
      </c>
      <c r="AB370" s="10"/>
      <c r="AC370" s="29" t="str">
        <f aca="false">IF(K370="","",1-IFERROR(T370,0)-IFERROR(W370,0)-IFERROR(Z370,0))</f>
        <v/>
      </c>
      <c r="AD370" s="30" t="str">
        <f aca="false">IF(AB370="","",IFERROR((IFERROR(S370*T370,0)+IFERROR(V370*W370,0)+IFERROR(Y370*Z370,0)+AB370*AC370)/(IFERROR(T370,0)+IFERROR(W370,0)+IFERROR(Z370,0)+AC370),AB370))</f>
        <v/>
      </c>
      <c r="AE370" s="27" t="str">
        <f aca="false">IF(AB370="","",IF(U370="",0,U370)+IF(X370="",0,X370)+IF(AA370="",0,AA370)+IFERROR((AB370-K370)*IF(F370="Sell",-1,1)*R370*AC370*IF(ISNUMBER(SEARCH("JPY",E370)),1000,IF(ISNUMBER(SEARCH("XAU",E370)),100,IF(OR(ISNUMBER(SEARCH("30",E370)),ISNUMBER(SEARCH("500",E370)),ISNUMBER(SEARCH("100",E370))),100,100000))),0))</f>
        <v/>
      </c>
      <c r="AF370" s="31" t="str">
        <f aca="false">IF(OR(K370="",M370="",L370=""),"",IFERROR(ABS(M370-K370)/ABS(K370-L370),0))</f>
        <v/>
      </c>
      <c r="AG370" s="31" t="str">
        <f aca="false">IF(OR(AE370="",AE370=0,Q370=0,Q370=""),"",IFERROR(AE370/Q370,0))</f>
        <v/>
      </c>
      <c r="AH370" s="32" t="str">
        <f aca="false">IF(AB370="","Open",IF(AG370="","Open",IF(AG370&gt;0.1,"Win",IF(AG370&lt;-0.1,"Loss","Breakeven"))))</f>
        <v>Open</v>
      </c>
      <c r="AI370" s="33" t="str">
        <f aca="false">IF(OR(B370="",D370=""),"",D370-B370)</f>
        <v/>
      </c>
      <c r="AJ370" s="24" t="str">
        <f aca="false">IF(AD370="","",IFERROR((AD370-K370)*IF(F370="Sell",-1,1)/IF(ISNUMBER(SEARCH("JPY",E370)),0.01,IF(ISNUMBER(SEARCH("XAU",E370)),0.01,IF(OR(ISNUMBER(SEARCH("30",E370)),ISNUMBER(SEARCH("500",E370)),ISNUMBER(SEARCH("100",E370))),1,0.0001))),0))</f>
        <v/>
      </c>
      <c r="AK370" s="10"/>
      <c r="AL370" s="10"/>
      <c r="AM370" s="10"/>
      <c r="AN370" s="10"/>
      <c r="AO370" s="27" t="str">
        <f aca="false">IF(AE370="","",IFERROR(IF(AO369="",SETTINGS!$B$6,AO369),SETTINGS!$B$6)+IF(AE370="",0,AE370))</f>
        <v/>
      </c>
      <c r="AP370" s="2"/>
    </row>
    <row r="371" customFormat="false" ht="15" hidden="false" customHeight="false" outlineLevel="0" collapsed="false">
      <c r="A371" s="24" t="str">
        <f aca="false">IF(B371="","",ROW()-3)</f>
        <v/>
      </c>
      <c r="B371" s="34"/>
      <c r="C371" s="12"/>
      <c r="D371" s="34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35"/>
      <c r="P371" s="24" t="str">
        <f aca="false">IF(K371="","",IFERROR(ABS(K371-L371)/IF(ISNUMBER(SEARCH("JPY",E371)),0.01,IF(ISNUMBER(SEARCH("XAU",E371)),0.01,IF(OR(ISNUMBER(SEARCH("30",E371)),ISNUMBER(SEARCH("500",E371)),ISNUMBER(SEARCH("100",E371))),1,0.0001))),0))</f>
        <v/>
      </c>
      <c r="Q371" s="27" t="str">
        <f aca="false">IF(K371="","",SETTINGS!$B$6*O371)</f>
        <v/>
      </c>
      <c r="R371" s="24" t="str">
        <f aca="false">IF(K371="","",IFERROR(Q371/(P371*IF(ISNUMBER(SEARCH("JPY",E371)),9.09,IF(ISNUMBER(SEARCH("XAU",E371)),1,IF(OR(ISNUMBER(SEARCH("30",E371)),ISNUMBER(SEARCH("500",E371)),ISNUMBER(SEARCH("100",E371))),1,10)))),0))</f>
        <v/>
      </c>
      <c r="S371" s="12"/>
      <c r="T371" s="36"/>
      <c r="U371" s="27" t="str">
        <f aca="false">IF(OR(S371="",T371=0),"",IFERROR((S371-K371)*IF(F371="Sell",-1,1)*R371*T371*IF(ISNUMBER(SEARCH("JPY",E371)),1000,IF(ISNUMBER(SEARCH("XAU",E371)),100,IF(OR(ISNUMBER(SEARCH("30",E371)),ISNUMBER(SEARCH("500",E371)),ISNUMBER(SEARCH("100",E371))),100,100000))),0))</f>
        <v/>
      </c>
      <c r="V371" s="12"/>
      <c r="W371" s="36"/>
      <c r="X371" s="27" t="str">
        <f aca="false">IF(OR(V371="",W371=0),"",IFERROR((V371-K371)*IF(F371="Sell",-1,1)*R371*W371*IF(ISNUMBER(SEARCH("JPY",E371)),1000,IF(ISNUMBER(SEARCH("XAU",E371)),100,IF(OR(ISNUMBER(SEARCH("30",E371)),ISNUMBER(SEARCH("500",E371)),ISNUMBER(SEARCH("100",E371))),100,100000))),0))</f>
        <v/>
      </c>
      <c r="Y371" s="12"/>
      <c r="Z371" s="36"/>
      <c r="AA371" s="27" t="str">
        <f aca="false">IF(OR(Y371="",Z371=0),"",IFERROR((Y371-K371)*IF(F371="Sell",-1,1)*R371*Z371*IF(ISNUMBER(SEARCH("JPY",E371)),1000,IF(ISNUMBER(SEARCH("XAU",E371)),100,IF(OR(ISNUMBER(SEARCH("30",E371)),ISNUMBER(SEARCH("500",E371)),ISNUMBER(SEARCH("100",E371))),100,100000))),0))</f>
        <v/>
      </c>
      <c r="AB371" s="12"/>
      <c r="AC371" s="29" t="str">
        <f aca="false">IF(K371="","",1-IFERROR(T371,0)-IFERROR(W371,0)-IFERROR(Z371,0))</f>
        <v/>
      </c>
      <c r="AD371" s="30" t="str">
        <f aca="false">IF(AB371="","",IFERROR((IFERROR(S371*T371,0)+IFERROR(V371*W371,0)+IFERROR(Y371*Z371,0)+AB371*AC371)/(IFERROR(T371,0)+IFERROR(W371,0)+IFERROR(Z371,0)+AC371),AB371))</f>
        <v/>
      </c>
      <c r="AE371" s="27" t="str">
        <f aca="false">IF(AB371="","",IF(U371="",0,U371)+IF(X371="",0,X371)+IF(AA371="",0,AA371)+IFERROR((AB371-K371)*IF(F371="Sell",-1,1)*R371*AC371*IF(ISNUMBER(SEARCH("JPY",E371)),1000,IF(ISNUMBER(SEARCH("XAU",E371)),100,IF(OR(ISNUMBER(SEARCH("30",E371)),ISNUMBER(SEARCH("500",E371)),ISNUMBER(SEARCH("100",E371))),100,100000))),0))</f>
        <v/>
      </c>
      <c r="AF371" s="31" t="str">
        <f aca="false">IF(OR(K371="",M371="",L371=""),"",IFERROR(ABS(M371-K371)/ABS(K371-L371),0))</f>
        <v/>
      </c>
      <c r="AG371" s="31" t="str">
        <f aca="false">IF(OR(AE371="",AE371=0,Q371=0,Q371=""),"",IFERROR(AE371/Q371,0))</f>
        <v/>
      </c>
      <c r="AH371" s="32" t="str">
        <f aca="false">IF(AB371="","Open",IF(AG371="","Open",IF(AG371&gt;0.1,"Win",IF(AG371&lt;-0.1,"Loss","Breakeven"))))</f>
        <v>Open</v>
      </c>
      <c r="AI371" s="33" t="str">
        <f aca="false">IF(OR(B371="",D371=""),"",D371-B371)</f>
        <v/>
      </c>
      <c r="AJ371" s="24" t="str">
        <f aca="false">IF(AD371="","",IFERROR((AD371-K371)*IF(F371="Sell",-1,1)/IF(ISNUMBER(SEARCH("JPY",E371)),0.01,IF(ISNUMBER(SEARCH("XAU",E371)),0.01,IF(OR(ISNUMBER(SEARCH("30",E371)),ISNUMBER(SEARCH("500",E371)),ISNUMBER(SEARCH("100",E371))),1,0.0001))),0))</f>
        <v/>
      </c>
      <c r="AK371" s="12"/>
      <c r="AL371" s="12"/>
      <c r="AM371" s="12"/>
      <c r="AN371" s="12"/>
      <c r="AO371" s="27" t="str">
        <f aca="false">IF(AE371="","",IFERROR(IF(AO370="",SETTINGS!$B$6,AO370),SETTINGS!$B$6)+IF(AE371="",0,AE371))</f>
        <v/>
      </c>
      <c r="AP371" s="2"/>
    </row>
    <row r="372" customFormat="false" ht="15" hidden="false" customHeight="false" outlineLevel="0" collapsed="false">
      <c r="A372" s="24" t="str">
        <f aca="false">IF(B372="","",ROW()-3)</f>
        <v/>
      </c>
      <c r="B372" s="25"/>
      <c r="C372" s="10"/>
      <c r="D372" s="25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26"/>
      <c r="P372" s="24" t="str">
        <f aca="false">IF(K372="","",IFERROR(ABS(K372-L372)/IF(ISNUMBER(SEARCH("JPY",E372)),0.01,IF(ISNUMBER(SEARCH("XAU",E372)),0.01,IF(OR(ISNUMBER(SEARCH("30",E372)),ISNUMBER(SEARCH("500",E372)),ISNUMBER(SEARCH("100",E372))),1,0.0001))),0))</f>
        <v/>
      </c>
      <c r="Q372" s="27" t="str">
        <f aca="false">IF(K372="","",SETTINGS!$B$6*O372)</f>
        <v/>
      </c>
      <c r="R372" s="24" t="str">
        <f aca="false">IF(K372="","",IFERROR(Q372/(P372*IF(ISNUMBER(SEARCH("JPY",E372)),9.09,IF(ISNUMBER(SEARCH("XAU",E372)),1,IF(OR(ISNUMBER(SEARCH("30",E372)),ISNUMBER(SEARCH("500",E372)),ISNUMBER(SEARCH("100",E372))),1,10)))),0))</f>
        <v/>
      </c>
      <c r="S372" s="10"/>
      <c r="T372" s="28"/>
      <c r="U372" s="27" t="str">
        <f aca="false">IF(OR(S372="",T372=0),"",IFERROR((S372-K372)*IF(F372="Sell",-1,1)*R372*T372*IF(ISNUMBER(SEARCH("JPY",E372)),1000,IF(ISNUMBER(SEARCH("XAU",E372)),100,IF(OR(ISNUMBER(SEARCH("30",E372)),ISNUMBER(SEARCH("500",E372)),ISNUMBER(SEARCH("100",E372))),100,100000))),0))</f>
        <v/>
      </c>
      <c r="V372" s="10"/>
      <c r="W372" s="28"/>
      <c r="X372" s="27" t="str">
        <f aca="false">IF(OR(V372="",W372=0),"",IFERROR((V372-K372)*IF(F372="Sell",-1,1)*R372*W372*IF(ISNUMBER(SEARCH("JPY",E372)),1000,IF(ISNUMBER(SEARCH("XAU",E372)),100,IF(OR(ISNUMBER(SEARCH("30",E372)),ISNUMBER(SEARCH("500",E372)),ISNUMBER(SEARCH("100",E372))),100,100000))),0))</f>
        <v/>
      </c>
      <c r="Y372" s="10"/>
      <c r="Z372" s="28"/>
      <c r="AA372" s="27" t="str">
        <f aca="false">IF(OR(Y372="",Z372=0),"",IFERROR((Y372-K372)*IF(F372="Sell",-1,1)*R372*Z372*IF(ISNUMBER(SEARCH("JPY",E372)),1000,IF(ISNUMBER(SEARCH("XAU",E372)),100,IF(OR(ISNUMBER(SEARCH("30",E372)),ISNUMBER(SEARCH("500",E372)),ISNUMBER(SEARCH("100",E372))),100,100000))),0))</f>
        <v/>
      </c>
      <c r="AB372" s="10"/>
      <c r="AC372" s="29" t="str">
        <f aca="false">IF(K372="","",1-IFERROR(T372,0)-IFERROR(W372,0)-IFERROR(Z372,0))</f>
        <v/>
      </c>
      <c r="AD372" s="30" t="str">
        <f aca="false">IF(AB372="","",IFERROR((IFERROR(S372*T372,0)+IFERROR(V372*W372,0)+IFERROR(Y372*Z372,0)+AB372*AC372)/(IFERROR(T372,0)+IFERROR(W372,0)+IFERROR(Z372,0)+AC372),AB372))</f>
        <v/>
      </c>
      <c r="AE372" s="27" t="str">
        <f aca="false">IF(AB372="","",IF(U372="",0,U372)+IF(X372="",0,X372)+IF(AA372="",0,AA372)+IFERROR((AB372-K372)*IF(F372="Sell",-1,1)*R372*AC372*IF(ISNUMBER(SEARCH("JPY",E372)),1000,IF(ISNUMBER(SEARCH("XAU",E372)),100,IF(OR(ISNUMBER(SEARCH("30",E372)),ISNUMBER(SEARCH("500",E372)),ISNUMBER(SEARCH("100",E372))),100,100000))),0))</f>
        <v/>
      </c>
      <c r="AF372" s="31" t="str">
        <f aca="false">IF(OR(K372="",M372="",L372=""),"",IFERROR(ABS(M372-K372)/ABS(K372-L372),0))</f>
        <v/>
      </c>
      <c r="AG372" s="31" t="str">
        <f aca="false">IF(OR(AE372="",AE372=0,Q372=0,Q372=""),"",IFERROR(AE372/Q372,0))</f>
        <v/>
      </c>
      <c r="AH372" s="32" t="str">
        <f aca="false">IF(AB372="","Open",IF(AG372="","Open",IF(AG372&gt;0.1,"Win",IF(AG372&lt;-0.1,"Loss","Breakeven"))))</f>
        <v>Open</v>
      </c>
      <c r="AI372" s="33" t="str">
        <f aca="false">IF(OR(B372="",D372=""),"",D372-B372)</f>
        <v/>
      </c>
      <c r="AJ372" s="24" t="str">
        <f aca="false">IF(AD372="","",IFERROR((AD372-K372)*IF(F372="Sell",-1,1)/IF(ISNUMBER(SEARCH("JPY",E372)),0.01,IF(ISNUMBER(SEARCH("XAU",E372)),0.01,IF(OR(ISNUMBER(SEARCH("30",E372)),ISNUMBER(SEARCH("500",E372)),ISNUMBER(SEARCH("100",E372))),1,0.0001))),0))</f>
        <v/>
      </c>
      <c r="AK372" s="10"/>
      <c r="AL372" s="10"/>
      <c r="AM372" s="10"/>
      <c r="AN372" s="10"/>
      <c r="AO372" s="27" t="str">
        <f aca="false">IF(AE372="","",IFERROR(IF(AO371="",SETTINGS!$B$6,AO371),SETTINGS!$B$6)+IF(AE372="",0,AE372))</f>
        <v/>
      </c>
      <c r="AP372" s="2"/>
    </row>
    <row r="373" customFormat="false" ht="15" hidden="false" customHeight="false" outlineLevel="0" collapsed="false">
      <c r="A373" s="24" t="str">
        <f aca="false">IF(B373="","",ROW()-3)</f>
        <v/>
      </c>
      <c r="B373" s="34"/>
      <c r="C373" s="12"/>
      <c r="D373" s="34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35"/>
      <c r="P373" s="24" t="str">
        <f aca="false">IF(K373="","",IFERROR(ABS(K373-L373)/IF(ISNUMBER(SEARCH("JPY",E373)),0.01,IF(ISNUMBER(SEARCH("XAU",E373)),0.01,IF(OR(ISNUMBER(SEARCH("30",E373)),ISNUMBER(SEARCH("500",E373)),ISNUMBER(SEARCH("100",E373))),1,0.0001))),0))</f>
        <v/>
      </c>
      <c r="Q373" s="27" t="str">
        <f aca="false">IF(K373="","",SETTINGS!$B$6*O373)</f>
        <v/>
      </c>
      <c r="R373" s="24" t="str">
        <f aca="false">IF(K373="","",IFERROR(Q373/(P373*IF(ISNUMBER(SEARCH("JPY",E373)),9.09,IF(ISNUMBER(SEARCH("XAU",E373)),1,IF(OR(ISNUMBER(SEARCH("30",E373)),ISNUMBER(SEARCH("500",E373)),ISNUMBER(SEARCH("100",E373))),1,10)))),0))</f>
        <v/>
      </c>
      <c r="S373" s="12"/>
      <c r="T373" s="36"/>
      <c r="U373" s="27" t="str">
        <f aca="false">IF(OR(S373="",T373=0),"",IFERROR((S373-K373)*IF(F373="Sell",-1,1)*R373*T373*IF(ISNUMBER(SEARCH("JPY",E373)),1000,IF(ISNUMBER(SEARCH("XAU",E373)),100,IF(OR(ISNUMBER(SEARCH("30",E373)),ISNUMBER(SEARCH("500",E373)),ISNUMBER(SEARCH("100",E373))),100,100000))),0))</f>
        <v/>
      </c>
      <c r="V373" s="12"/>
      <c r="W373" s="36"/>
      <c r="X373" s="27" t="str">
        <f aca="false">IF(OR(V373="",W373=0),"",IFERROR((V373-K373)*IF(F373="Sell",-1,1)*R373*W373*IF(ISNUMBER(SEARCH("JPY",E373)),1000,IF(ISNUMBER(SEARCH("XAU",E373)),100,IF(OR(ISNUMBER(SEARCH("30",E373)),ISNUMBER(SEARCH("500",E373)),ISNUMBER(SEARCH("100",E373))),100,100000))),0))</f>
        <v/>
      </c>
      <c r="Y373" s="12"/>
      <c r="Z373" s="36"/>
      <c r="AA373" s="27" t="str">
        <f aca="false">IF(OR(Y373="",Z373=0),"",IFERROR((Y373-K373)*IF(F373="Sell",-1,1)*R373*Z373*IF(ISNUMBER(SEARCH("JPY",E373)),1000,IF(ISNUMBER(SEARCH("XAU",E373)),100,IF(OR(ISNUMBER(SEARCH("30",E373)),ISNUMBER(SEARCH("500",E373)),ISNUMBER(SEARCH("100",E373))),100,100000))),0))</f>
        <v/>
      </c>
      <c r="AB373" s="12"/>
      <c r="AC373" s="29" t="str">
        <f aca="false">IF(K373="","",1-IFERROR(T373,0)-IFERROR(W373,0)-IFERROR(Z373,0))</f>
        <v/>
      </c>
      <c r="AD373" s="30" t="str">
        <f aca="false">IF(AB373="","",IFERROR((IFERROR(S373*T373,0)+IFERROR(V373*W373,0)+IFERROR(Y373*Z373,0)+AB373*AC373)/(IFERROR(T373,0)+IFERROR(W373,0)+IFERROR(Z373,0)+AC373),AB373))</f>
        <v/>
      </c>
      <c r="AE373" s="27" t="str">
        <f aca="false">IF(AB373="","",IF(U373="",0,U373)+IF(X373="",0,X373)+IF(AA373="",0,AA373)+IFERROR((AB373-K373)*IF(F373="Sell",-1,1)*R373*AC373*IF(ISNUMBER(SEARCH("JPY",E373)),1000,IF(ISNUMBER(SEARCH("XAU",E373)),100,IF(OR(ISNUMBER(SEARCH("30",E373)),ISNUMBER(SEARCH("500",E373)),ISNUMBER(SEARCH("100",E373))),100,100000))),0))</f>
        <v/>
      </c>
      <c r="AF373" s="31" t="str">
        <f aca="false">IF(OR(K373="",M373="",L373=""),"",IFERROR(ABS(M373-K373)/ABS(K373-L373),0))</f>
        <v/>
      </c>
      <c r="AG373" s="31" t="str">
        <f aca="false">IF(OR(AE373="",AE373=0,Q373=0,Q373=""),"",IFERROR(AE373/Q373,0))</f>
        <v/>
      </c>
      <c r="AH373" s="32" t="str">
        <f aca="false">IF(AB373="","Open",IF(AG373="","Open",IF(AG373&gt;0.1,"Win",IF(AG373&lt;-0.1,"Loss","Breakeven"))))</f>
        <v>Open</v>
      </c>
      <c r="AI373" s="33" t="str">
        <f aca="false">IF(OR(B373="",D373=""),"",D373-B373)</f>
        <v/>
      </c>
      <c r="AJ373" s="24" t="str">
        <f aca="false">IF(AD373="","",IFERROR((AD373-K373)*IF(F373="Sell",-1,1)/IF(ISNUMBER(SEARCH("JPY",E373)),0.01,IF(ISNUMBER(SEARCH("XAU",E373)),0.01,IF(OR(ISNUMBER(SEARCH("30",E373)),ISNUMBER(SEARCH("500",E373)),ISNUMBER(SEARCH("100",E373))),1,0.0001))),0))</f>
        <v/>
      </c>
      <c r="AK373" s="12"/>
      <c r="AL373" s="12"/>
      <c r="AM373" s="12"/>
      <c r="AN373" s="12"/>
      <c r="AO373" s="27" t="str">
        <f aca="false">IF(AE373="","",IFERROR(IF(AO372="",SETTINGS!$B$6,AO372),SETTINGS!$B$6)+IF(AE373="",0,AE373))</f>
        <v/>
      </c>
      <c r="AP373" s="2"/>
    </row>
    <row r="374" customFormat="false" ht="15" hidden="false" customHeight="false" outlineLevel="0" collapsed="false">
      <c r="A374" s="24" t="str">
        <f aca="false">IF(B374="","",ROW()-3)</f>
        <v/>
      </c>
      <c r="B374" s="25"/>
      <c r="C374" s="10"/>
      <c r="D374" s="25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26"/>
      <c r="P374" s="24" t="str">
        <f aca="false">IF(K374="","",IFERROR(ABS(K374-L374)/IF(ISNUMBER(SEARCH("JPY",E374)),0.01,IF(ISNUMBER(SEARCH("XAU",E374)),0.01,IF(OR(ISNUMBER(SEARCH("30",E374)),ISNUMBER(SEARCH("500",E374)),ISNUMBER(SEARCH("100",E374))),1,0.0001))),0))</f>
        <v/>
      </c>
      <c r="Q374" s="27" t="str">
        <f aca="false">IF(K374="","",SETTINGS!$B$6*O374)</f>
        <v/>
      </c>
      <c r="R374" s="24" t="str">
        <f aca="false">IF(K374="","",IFERROR(Q374/(P374*IF(ISNUMBER(SEARCH("JPY",E374)),9.09,IF(ISNUMBER(SEARCH("XAU",E374)),1,IF(OR(ISNUMBER(SEARCH("30",E374)),ISNUMBER(SEARCH("500",E374)),ISNUMBER(SEARCH("100",E374))),1,10)))),0))</f>
        <v/>
      </c>
      <c r="S374" s="10"/>
      <c r="T374" s="28"/>
      <c r="U374" s="27" t="str">
        <f aca="false">IF(OR(S374="",T374=0),"",IFERROR((S374-K374)*IF(F374="Sell",-1,1)*R374*T374*IF(ISNUMBER(SEARCH("JPY",E374)),1000,IF(ISNUMBER(SEARCH("XAU",E374)),100,IF(OR(ISNUMBER(SEARCH("30",E374)),ISNUMBER(SEARCH("500",E374)),ISNUMBER(SEARCH("100",E374))),100,100000))),0))</f>
        <v/>
      </c>
      <c r="V374" s="10"/>
      <c r="W374" s="28"/>
      <c r="X374" s="27" t="str">
        <f aca="false">IF(OR(V374="",W374=0),"",IFERROR((V374-K374)*IF(F374="Sell",-1,1)*R374*W374*IF(ISNUMBER(SEARCH("JPY",E374)),1000,IF(ISNUMBER(SEARCH("XAU",E374)),100,IF(OR(ISNUMBER(SEARCH("30",E374)),ISNUMBER(SEARCH("500",E374)),ISNUMBER(SEARCH("100",E374))),100,100000))),0))</f>
        <v/>
      </c>
      <c r="Y374" s="10"/>
      <c r="Z374" s="28"/>
      <c r="AA374" s="27" t="str">
        <f aca="false">IF(OR(Y374="",Z374=0),"",IFERROR((Y374-K374)*IF(F374="Sell",-1,1)*R374*Z374*IF(ISNUMBER(SEARCH("JPY",E374)),1000,IF(ISNUMBER(SEARCH("XAU",E374)),100,IF(OR(ISNUMBER(SEARCH("30",E374)),ISNUMBER(SEARCH("500",E374)),ISNUMBER(SEARCH("100",E374))),100,100000))),0))</f>
        <v/>
      </c>
      <c r="AB374" s="10"/>
      <c r="AC374" s="29" t="str">
        <f aca="false">IF(K374="","",1-IFERROR(T374,0)-IFERROR(W374,0)-IFERROR(Z374,0))</f>
        <v/>
      </c>
      <c r="AD374" s="30" t="str">
        <f aca="false">IF(AB374="","",IFERROR((IFERROR(S374*T374,0)+IFERROR(V374*W374,0)+IFERROR(Y374*Z374,0)+AB374*AC374)/(IFERROR(T374,0)+IFERROR(W374,0)+IFERROR(Z374,0)+AC374),AB374))</f>
        <v/>
      </c>
      <c r="AE374" s="27" t="str">
        <f aca="false">IF(AB374="","",IF(U374="",0,U374)+IF(X374="",0,X374)+IF(AA374="",0,AA374)+IFERROR((AB374-K374)*IF(F374="Sell",-1,1)*R374*AC374*IF(ISNUMBER(SEARCH("JPY",E374)),1000,IF(ISNUMBER(SEARCH("XAU",E374)),100,IF(OR(ISNUMBER(SEARCH("30",E374)),ISNUMBER(SEARCH("500",E374)),ISNUMBER(SEARCH("100",E374))),100,100000))),0))</f>
        <v/>
      </c>
      <c r="AF374" s="31" t="str">
        <f aca="false">IF(OR(K374="",M374="",L374=""),"",IFERROR(ABS(M374-K374)/ABS(K374-L374),0))</f>
        <v/>
      </c>
      <c r="AG374" s="31" t="str">
        <f aca="false">IF(OR(AE374="",AE374=0,Q374=0,Q374=""),"",IFERROR(AE374/Q374,0))</f>
        <v/>
      </c>
      <c r="AH374" s="32" t="str">
        <f aca="false">IF(AB374="","Open",IF(AG374="","Open",IF(AG374&gt;0.1,"Win",IF(AG374&lt;-0.1,"Loss","Breakeven"))))</f>
        <v>Open</v>
      </c>
      <c r="AI374" s="33" t="str">
        <f aca="false">IF(OR(B374="",D374=""),"",D374-B374)</f>
        <v/>
      </c>
      <c r="AJ374" s="24" t="str">
        <f aca="false">IF(AD374="","",IFERROR((AD374-K374)*IF(F374="Sell",-1,1)/IF(ISNUMBER(SEARCH("JPY",E374)),0.01,IF(ISNUMBER(SEARCH("XAU",E374)),0.01,IF(OR(ISNUMBER(SEARCH("30",E374)),ISNUMBER(SEARCH("500",E374)),ISNUMBER(SEARCH("100",E374))),1,0.0001))),0))</f>
        <v/>
      </c>
      <c r="AK374" s="10"/>
      <c r="AL374" s="10"/>
      <c r="AM374" s="10"/>
      <c r="AN374" s="10"/>
      <c r="AO374" s="27" t="str">
        <f aca="false">IF(AE374="","",IFERROR(IF(AO373="",SETTINGS!$B$6,AO373),SETTINGS!$B$6)+IF(AE374="",0,AE374))</f>
        <v/>
      </c>
      <c r="AP374" s="2"/>
    </row>
    <row r="375" customFormat="false" ht="15" hidden="false" customHeight="false" outlineLevel="0" collapsed="false">
      <c r="A375" s="24" t="str">
        <f aca="false">IF(B375="","",ROW()-3)</f>
        <v/>
      </c>
      <c r="B375" s="34"/>
      <c r="C375" s="12"/>
      <c r="D375" s="34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35"/>
      <c r="P375" s="24" t="str">
        <f aca="false">IF(K375="","",IFERROR(ABS(K375-L375)/IF(ISNUMBER(SEARCH("JPY",E375)),0.01,IF(ISNUMBER(SEARCH("XAU",E375)),0.01,IF(OR(ISNUMBER(SEARCH("30",E375)),ISNUMBER(SEARCH("500",E375)),ISNUMBER(SEARCH("100",E375))),1,0.0001))),0))</f>
        <v/>
      </c>
      <c r="Q375" s="27" t="str">
        <f aca="false">IF(K375="","",SETTINGS!$B$6*O375)</f>
        <v/>
      </c>
      <c r="R375" s="24" t="str">
        <f aca="false">IF(K375="","",IFERROR(Q375/(P375*IF(ISNUMBER(SEARCH("JPY",E375)),9.09,IF(ISNUMBER(SEARCH("XAU",E375)),1,IF(OR(ISNUMBER(SEARCH("30",E375)),ISNUMBER(SEARCH("500",E375)),ISNUMBER(SEARCH("100",E375))),1,10)))),0))</f>
        <v/>
      </c>
      <c r="S375" s="12"/>
      <c r="T375" s="36"/>
      <c r="U375" s="27" t="str">
        <f aca="false">IF(OR(S375="",T375=0),"",IFERROR((S375-K375)*IF(F375="Sell",-1,1)*R375*T375*IF(ISNUMBER(SEARCH("JPY",E375)),1000,IF(ISNUMBER(SEARCH("XAU",E375)),100,IF(OR(ISNUMBER(SEARCH("30",E375)),ISNUMBER(SEARCH("500",E375)),ISNUMBER(SEARCH("100",E375))),100,100000))),0))</f>
        <v/>
      </c>
      <c r="V375" s="12"/>
      <c r="W375" s="36"/>
      <c r="X375" s="27" t="str">
        <f aca="false">IF(OR(V375="",W375=0),"",IFERROR((V375-K375)*IF(F375="Sell",-1,1)*R375*W375*IF(ISNUMBER(SEARCH("JPY",E375)),1000,IF(ISNUMBER(SEARCH("XAU",E375)),100,IF(OR(ISNUMBER(SEARCH("30",E375)),ISNUMBER(SEARCH("500",E375)),ISNUMBER(SEARCH("100",E375))),100,100000))),0))</f>
        <v/>
      </c>
      <c r="Y375" s="12"/>
      <c r="Z375" s="36"/>
      <c r="AA375" s="27" t="str">
        <f aca="false">IF(OR(Y375="",Z375=0),"",IFERROR((Y375-K375)*IF(F375="Sell",-1,1)*R375*Z375*IF(ISNUMBER(SEARCH("JPY",E375)),1000,IF(ISNUMBER(SEARCH("XAU",E375)),100,IF(OR(ISNUMBER(SEARCH("30",E375)),ISNUMBER(SEARCH("500",E375)),ISNUMBER(SEARCH("100",E375))),100,100000))),0))</f>
        <v/>
      </c>
      <c r="AB375" s="12"/>
      <c r="AC375" s="29" t="str">
        <f aca="false">IF(K375="","",1-IFERROR(T375,0)-IFERROR(W375,0)-IFERROR(Z375,0))</f>
        <v/>
      </c>
      <c r="AD375" s="30" t="str">
        <f aca="false">IF(AB375="","",IFERROR((IFERROR(S375*T375,0)+IFERROR(V375*W375,0)+IFERROR(Y375*Z375,0)+AB375*AC375)/(IFERROR(T375,0)+IFERROR(W375,0)+IFERROR(Z375,0)+AC375),AB375))</f>
        <v/>
      </c>
      <c r="AE375" s="27" t="str">
        <f aca="false">IF(AB375="","",IF(U375="",0,U375)+IF(X375="",0,X375)+IF(AA375="",0,AA375)+IFERROR((AB375-K375)*IF(F375="Sell",-1,1)*R375*AC375*IF(ISNUMBER(SEARCH("JPY",E375)),1000,IF(ISNUMBER(SEARCH("XAU",E375)),100,IF(OR(ISNUMBER(SEARCH("30",E375)),ISNUMBER(SEARCH("500",E375)),ISNUMBER(SEARCH("100",E375))),100,100000))),0))</f>
        <v/>
      </c>
      <c r="AF375" s="31" t="str">
        <f aca="false">IF(OR(K375="",M375="",L375=""),"",IFERROR(ABS(M375-K375)/ABS(K375-L375),0))</f>
        <v/>
      </c>
      <c r="AG375" s="31" t="str">
        <f aca="false">IF(OR(AE375="",AE375=0,Q375=0,Q375=""),"",IFERROR(AE375/Q375,0))</f>
        <v/>
      </c>
      <c r="AH375" s="32" t="str">
        <f aca="false">IF(AB375="","Open",IF(AG375="","Open",IF(AG375&gt;0.1,"Win",IF(AG375&lt;-0.1,"Loss","Breakeven"))))</f>
        <v>Open</v>
      </c>
      <c r="AI375" s="33" t="str">
        <f aca="false">IF(OR(B375="",D375=""),"",D375-B375)</f>
        <v/>
      </c>
      <c r="AJ375" s="24" t="str">
        <f aca="false">IF(AD375="","",IFERROR((AD375-K375)*IF(F375="Sell",-1,1)/IF(ISNUMBER(SEARCH("JPY",E375)),0.01,IF(ISNUMBER(SEARCH("XAU",E375)),0.01,IF(OR(ISNUMBER(SEARCH("30",E375)),ISNUMBER(SEARCH("500",E375)),ISNUMBER(SEARCH("100",E375))),1,0.0001))),0))</f>
        <v/>
      </c>
      <c r="AK375" s="12"/>
      <c r="AL375" s="12"/>
      <c r="AM375" s="12"/>
      <c r="AN375" s="12"/>
      <c r="AO375" s="27" t="str">
        <f aca="false">IF(AE375="","",IFERROR(IF(AO374="",SETTINGS!$B$6,AO374),SETTINGS!$B$6)+IF(AE375="",0,AE375))</f>
        <v/>
      </c>
      <c r="AP375" s="2"/>
    </row>
    <row r="376" customFormat="false" ht="15" hidden="false" customHeight="false" outlineLevel="0" collapsed="false">
      <c r="A376" s="24" t="str">
        <f aca="false">IF(B376="","",ROW()-3)</f>
        <v/>
      </c>
      <c r="B376" s="25"/>
      <c r="C376" s="10"/>
      <c r="D376" s="25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26"/>
      <c r="P376" s="24" t="str">
        <f aca="false">IF(K376="","",IFERROR(ABS(K376-L376)/IF(ISNUMBER(SEARCH("JPY",E376)),0.01,IF(ISNUMBER(SEARCH("XAU",E376)),0.01,IF(OR(ISNUMBER(SEARCH("30",E376)),ISNUMBER(SEARCH("500",E376)),ISNUMBER(SEARCH("100",E376))),1,0.0001))),0))</f>
        <v/>
      </c>
      <c r="Q376" s="27" t="str">
        <f aca="false">IF(K376="","",SETTINGS!$B$6*O376)</f>
        <v/>
      </c>
      <c r="R376" s="24" t="str">
        <f aca="false">IF(K376="","",IFERROR(Q376/(P376*IF(ISNUMBER(SEARCH("JPY",E376)),9.09,IF(ISNUMBER(SEARCH("XAU",E376)),1,IF(OR(ISNUMBER(SEARCH("30",E376)),ISNUMBER(SEARCH("500",E376)),ISNUMBER(SEARCH("100",E376))),1,10)))),0))</f>
        <v/>
      </c>
      <c r="S376" s="10"/>
      <c r="T376" s="28"/>
      <c r="U376" s="27" t="str">
        <f aca="false">IF(OR(S376="",T376=0),"",IFERROR((S376-K376)*IF(F376="Sell",-1,1)*R376*T376*IF(ISNUMBER(SEARCH("JPY",E376)),1000,IF(ISNUMBER(SEARCH("XAU",E376)),100,IF(OR(ISNUMBER(SEARCH("30",E376)),ISNUMBER(SEARCH("500",E376)),ISNUMBER(SEARCH("100",E376))),100,100000))),0))</f>
        <v/>
      </c>
      <c r="V376" s="10"/>
      <c r="W376" s="28"/>
      <c r="X376" s="27" t="str">
        <f aca="false">IF(OR(V376="",W376=0),"",IFERROR((V376-K376)*IF(F376="Sell",-1,1)*R376*W376*IF(ISNUMBER(SEARCH("JPY",E376)),1000,IF(ISNUMBER(SEARCH("XAU",E376)),100,IF(OR(ISNUMBER(SEARCH("30",E376)),ISNUMBER(SEARCH("500",E376)),ISNUMBER(SEARCH("100",E376))),100,100000))),0))</f>
        <v/>
      </c>
      <c r="Y376" s="10"/>
      <c r="Z376" s="28"/>
      <c r="AA376" s="27" t="str">
        <f aca="false">IF(OR(Y376="",Z376=0),"",IFERROR((Y376-K376)*IF(F376="Sell",-1,1)*R376*Z376*IF(ISNUMBER(SEARCH("JPY",E376)),1000,IF(ISNUMBER(SEARCH("XAU",E376)),100,IF(OR(ISNUMBER(SEARCH("30",E376)),ISNUMBER(SEARCH("500",E376)),ISNUMBER(SEARCH("100",E376))),100,100000))),0))</f>
        <v/>
      </c>
      <c r="AB376" s="10"/>
      <c r="AC376" s="29" t="str">
        <f aca="false">IF(K376="","",1-IFERROR(T376,0)-IFERROR(W376,0)-IFERROR(Z376,0))</f>
        <v/>
      </c>
      <c r="AD376" s="30" t="str">
        <f aca="false">IF(AB376="","",IFERROR((IFERROR(S376*T376,0)+IFERROR(V376*W376,0)+IFERROR(Y376*Z376,0)+AB376*AC376)/(IFERROR(T376,0)+IFERROR(W376,0)+IFERROR(Z376,0)+AC376),AB376))</f>
        <v/>
      </c>
      <c r="AE376" s="27" t="str">
        <f aca="false">IF(AB376="","",IF(U376="",0,U376)+IF(X376="",0,X376)+IF(AA376="",0,AA376)+IFERROR((AB376-K376)*IF(F376="Sell",-1,1)*R376*AC376*IF(ISNUMBER(SEARCH("JPY",E376)),1000,IF(ISNUMBER(SEARCH("XAU",E376)),100,IF(OR(ISNUMBER(SEARCH("30",E376)),ISNUMBER(SEARCH("500",E376)),ISNUMBER(SEARCH("100",E376))),100,100000))),0))</f>
        <v/>
      </c>
      <c r="AF376" s="31" t="str">
        <f aca="false">IF(OR(K376="",M376="",L376=""),"",IFERROR(ABS(M376-K376)/ABS(K376-L376),0))</f>
        <v/>
      </c>
      <c r="AG376" s="31" t="str">
        <f aca="false">IF(OR(AE376="",AE376=0,Q376=0,Q376=""),"",IFERROR(AE376/Q376,0))</f>
        <v/>
      </c>
      <c r="AH376" s="32" t="str">
        <f aca="false">IF(AB376="","Open",IF(AG376="","Open",IF(AG376&gt;0.1,"Win",IF(AG376&lt;-0.1,"Loss","Breakeven"))))</f>
        <v>Open</v>
      </c>
      <c r="AI376" s="33" t="str">
        <f aca="false">IF(OR(B376="",D376=""),"",D376-B376)</f>
        <v/>
      </c>
      <c r="AJ376" s="24" t="str">
        <f aca="false">IF(AD376="","",IFERROR((AD376-K376)*IF(F376="Sell",-1,1)/IF(ISNUMBER(SEARCH("JPY",E376)),0.01,IF(ISNUMBER(SEARCH("XAU",E376)),0.01,IF(OR(ISNUMBER(SEARCH("30",E376)),ISNUMBER(SEARCH("500",E376)),ISNUMBER(SEARCH("100",E376))),1,0.0001))),0))</f>
        <v/>
      </c>
      <c r="AK376" s="10"/>
      <c r="AL376" s="10"/>
      <c r="AM376" s="10"/>
      <c r="AN376" s="10"/>
      <c r="AO376" s="27" t="str">
        <f aca="false">IF(AE376="","",IFERROR(IF(AO375="",SETTINGS!$B$6,AO375),SETTINGS!$B$6)+IF(AE376="",0,AE376))</f>
        <v/>
      </c>
      <c r="AP376" s="2"/>
    </row>
    <row r="377" customFormat="false" ht="15" hidden="false" customHeight="false" outlineLevel="0" collapsed="false">
      <c r="A377" s="24" t="str">
        <f aca="false">IF(B377="","",ROW()-3)</f>
        <v/>
      </c>
      <c r="B377" s="34"/>
      <c r="C377" s="12"/>
      <c r="D377" s="34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35"/>
      <c r="P377" s="24" t="str">
        <f aca="false">IF(K377="","",IFERROR(ABS(K377-L377)/IF(ISNUMBER(SEARCH("JPY",E377)),0.01,IF(ISNUMBER(SEARCH("XAU",E377)),0.01,IF(OR(ISNUMBER(SEARCH("30",E377)),ISNUMBER(SEARCH("500",E377)),ISNUMBER(SEARCH("100",E377))),1,0.0001))),0))</f>
        <v/>
      </c>
      <c r="Q377" s="27" t="str">
        <f aca="false">IF(K377="","",SETTINGS!$B$6*O377)</f>
        <v/>
      </c>
      <c r="R377" s="24" t="str">
        <f aca="false">IF(K377="","",IFERROR(Q377/(P377*IF(ISNUMBER(SEARCH("JPY",E377)),9.09,IF(ISNUMBER(SEARCH("XAU",E377)),1,IF(OR(ISNUMBER(SEARCH("30",E377)),ISNUMBER(SEARCH("500",E377)),ISNUMBER(SEARCH("100",E377))),1,10)))),0))</f>
        <v/>
      </c>
      <c r="S377" s="12"/>
      <c r="T377" s="36"/>
      <c r="U377" s="27" t="str">
        <f aca="false">IF(OR(S377="",T377=0),"",IFERROR((S377-K377)*IF(F377="Sell",-1,1)*R377*T377*IF(ISNUMBER(SEARCH("JPY",E377)),1000,IF(ISNUMBER(SEARCH("XAU",E377)),100,IF(OR(ISNUMBER(SEARCH("30",E377)),ISNUMBER(SEARCH("500",E377)),ISNUMBER(SEARCH("100",E377))),100,100000))),0))</f>
        <v/>
      </c>
      <c r="V377" s="12"/>
      <c r="W377" s="36"/>
      <c r="X377" s="27" t="str">
        <f aca="false">IF(OR(V377="",W377=0),"",IFERROR((V377-K377)*IF(F377="Sell",-1,1)*R377*W377*IF(ISNUMBER(SEARCH("JPY",E377)),1000,IF(ISNUMBER(SEARCH("XAU",E377)),100,IF(OR(ISNUMBER(SEARCH("30",E377)),ISNUMBER(SEARCH("500",E377)),ISNUMBER(SEARCH("100",E377))),100,100000))),0))</f>
        <v/>
      </c>
      <c r="Y377" s="12"/>
      <c r="Z377" s="36"/>
      <c r="AA377" s="27" t="str">
        <f aca="false">IF(OR(Y377="",Z377=0),"",IFERROR((Y377-K377)*IF(F377="Sell",-1,1)*R377*Z377*IF(ISNUMBER(SEARCH("JPY",E377)),1000,IF(ISNUMBER(SEARCH("XAU",E377)),100,IF(OR(ISNUMBER(SEARCH("30",E377)),ISNUMBER(SEARCH("500",E377)),ISNUMBER(SEARCH("100",E377))),100,100000))),0))</f>
        <v/>
      </c>
      <c r="AB377" s="12"/>
      <c r="AC377" s="29" t="str">
        <f aca="false">IF(K377="","",1-IFERROR(T377,0)-IFERROR(W377,0)-IFERROR(Z377,0))</f>
        <v/>
      </c>
      <c r="AD377" s="30" t="str">
        <f aca="false">IF(AB377="","",IFERROR((IFERROR(S377*T377,0)+IFERROR(V377*W377,0)+IFERROR(Y377*Z377,0)+AB377*AC377)/(IFERROR(T377,0)+IFERROR(W377,0)+IFERROR(Z377,0)+AC377),AB377))</f>
        <v/>
      </c>
      <c r="AE377" s="27" t="str">
        <f aca="false">IF(AB377="","",IF(U377="",0,U377)+IF(X377="",0,X377)+IF(AA377="",0,AA377)+IFERROR((AB377-K377)*IF(F377="Sell",-1,1)*R377*AC377*IF(ISNUMBER(SEARCH("JPY",E377)),1000,IF(ISNUMBER(SEARCH("XAU",E377)),100,IF(OR(ISNUMBER(SEARCH("30",E377)),ISNUMBER(SEARCH("500",E377)),ISNUMBER(SEARCH("100",E377))),100,100000))),0))</f>
        <v/>
      </c>
      <c r="AF377" s="31" t="str">
        <f aca="false">IF(OR(K377="",M377="",L377=""),"",IFERROR(ABS(M377-K377)/ABS(K377-L377),0))</f>
        <v/>
      </c>
      <c r="AG377" s="31" t="str">
        <f aca="false">IF(OR(AE377="",AE377=0,Q377=0,Q377=""),"",IFERROR(AE377/Q377,0))</f>
        <v/>
      </c>
      <c r="AH377" s="32" t="str">
        <f aca="false">IF(AB377="","Open",IF(AG377="","Open",IF(AG377&gt;0.1,"Win",IF(AG377&lt;-0.1,"Loss","Breakeven"))))</f>
        <v>Open</v>
      </c>
      <c r="AI377" s="33" t="str">
        <f aca="false">IF(OR(B377="",D377=""),"",D377-B377)</f>
        <v/>
      </c>
      <c r="AJ377" s="24" t="str">
        <f aca="false">IF(AD377="","",IFERROR((AD377-K377)*IF(F377="Sell",-1,1)/IF(ISNUMBER(SEARCH("JPY",E377)),0.01,IF(ISNUMBER(SEARCH("XAU",E377)),0.01,IF(OR(ISNUMBER(SEARCH("30",E377)),ISNUMBER(SEARCH("500",E377)),ISNUMBER(SEARCH("100",E377))),1,0.0001))),0))</f>
        <v/>
      </c>
      <c r="AK377" s="12"/>
      <c r="AL377" s="12"/>
      <c r="AM377" s="12"/>
      <c r="AN377" s="12"/>
      <c r="AO377" s="27" t="str">
        <f aca="false">IF(AE377="","",IFERROR(IF(AO376="",SETTINGS!$B$6,AO376),SETTINGS!$B$6)+IF(AE377="",0,AE377))</f>
        <v/>
      </c>
      <c r="AP377" s="2"/>
    </row>
    <row r="378" customFormat="false" ht="15" hidden="false" customHeight="false" outlineLevel="0" collapsed="false">
      <c r="A378" s="24" t="str">
        <f aca="false">IF(B378="","",ROW()-3)</f>
        <v/>
      </c>
      <c r="B378" s="25"/>
      <c r="C378" s="10"/>
      <c r="D378" s="25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26"/>
      <c r="P378" s="24" t="str">
        <f aca="false">IF(K378="","",IFERROR(ABS(K378-L378)/IF(ISNUMBER(SEARCH("JPY",E378)),0.01,IF(ISNUMBER(SEARCH("XAU",E378)),0.01,IF(OR(ISNUMBER(SEARCH("30",E378)),ISNUMBER(SEARCH("500",E378)),ISNUMBER(SEARCH("100",E378))),1,0.0001))),0))</f>
        <v/>
      </c>
      <c r="Q378" s="27" t="str">
        <f aca="false">IF(K378="","",SETTINGS!$B$6*O378)</f>
        <v/>
      </c>
      <c r="R378" s="24" t="str">
        <f aca="false">IF(K378="","",IFERROR(Q378/(P378*IF(ISNUMBER(SEARCH("JPY",E378)),9.09,IF(ISNUMBER(SEARCH("XAU",E378)),1,IF(OR(ISNUMBER(SEARCH("30",E378)),ISNUMBER(SEARCH("500",E378)),ISNUMBER(SEARCH("100",E378))),1,10)))),0))</f>
        <v/>
      </c>
      <c r="S378" s="10"/>
      <c r="T378" s="28"/>
      <c r="U378" s="27" t="str">
        <f aca="false">IF(OR(S378="",T378=0),"",IFERROR((S378-K378)*IF(F378="Sell",-1,1)*R378*T378*IF(ISNUMBER(SEARCH("JPY",E378)),1000,IF(ISNUMBER(SEARCH("XAU",E378)),100,IF(OR(ISNUMBER(SEARCH("30",E378)),ISNUMBER(SEARCH("500",E378)),ISNUMBER(SEARCH("100",E378))),100,100000))),0))</f>
        <v/>
      </c>
      <c r="V378" s="10"/>
      <c r="W378" s="28"/>
      <c r="X378" s="27" t="str">
        <f aca="false">IF(OR(V378="",W378=0),"",IFERROR((V378-K378)*IF(F378="Sell",-1,1)*R378*W378*IF(ISNUMBER(SEARCH("JPY",E378)),1000,IF(ISNUMBER(SEARCH("XAU",E378)),100,IF(OR(ISNUMBER(SEARCH("30",E378)),ISNUMBER(SEARCH("500",E378)),ISNUMBER(SEARCH("100",E378))),100,100000))),0))</f>
        <v/>
      </c>
      <c r="Y378" s="10"/>
      <c r="Z378" s="28"/>
      <c r="AA378" s="27" t="str">
        <f aca="false">IF(OR(Y378="",Z378=0),"",IFERROR((Y378-K378)*IF(F378="Sell",-1,1)*R378*Z378*IF(ISNUMBER(SEARCH("JPY",E378)),1000,IF(ISNUMBER(SEARCH("XAU",E378)),100,IF(OR(ISNUMBER(SEARCH("30",E378)),ISNUMBER(SEARCH("500",E378)),ISNUMBER(SEARCH("100",E378))),100,100000))),0))</f>
        <v/>
      </c>
      <c r="AB378" s="10"/>
      <c r="AC378" s="29" t="str">
        <f aca="false">IF(K378="","",1-IFERROR(T378,0)-IFERROR(W378,0)-IFERROR(Z378,0))</f>
        <v/>
      </c>
      <c r="AD378" s="30" t="str">
        <f aca="false">IF(AB378="","",IFERROR((IFERROR(S378*T378,0)+IFERROR(V378*W378,0)+IFERROR(Y378*Z378,0)+AB378*AC378)/(IFERROR(T378,0)+IFERROR(W378,0)+IFERROR(Z378,0)+AC378),AB378))</f>
        <v/>
      </c>
      <c r="AE378" s="27" t="str">
        <f aca="false">IF(AB378="","",IF(U378="",0,U378)+IF(X378="",0,X378)+IF(AA378="",0,AA378)+IFERROR((AB378-K378)*IF(F378="Sell",-1,1)*R378*AC378*IF(ISNUMBER(SEARCH("JPY",E378)),1000,IF(ISNUMBER(SEARCH("XAU",E378)),100,IF(OR(ISNUMBER(SEARCH("30",E378)),ISNUMBER(SEARCH("500",E378)),ISNUMBER(SEARCH("100",E378))),100,100000))),0))</f>
        <v/>
      </c>
      <c r="AF378" s="31" t="str">
        <f aca="false">IF(OR(K378="",M378="",L378=""),"",IFERROR(ABS(M378-K378)/ABS(K378-L378),0))</f>
        <v/>
      </c>
      <c r="AG378" s="31" t="str">
        <f aca="false">IF(OR(AE378="",AE378=0,Q378=0,Q378=""),"",IFERROR(AE378/Q378,0))</f>
        <v/>
      </c>
      <c r="AH378" s="32" t="str">
        <f aca="false">IF(AB378="","Open",IF(AG378="","Open",IF(AG378&gt;0.1,"Win",IF(AG378&lt;-0.1,"Loss","Breakeven"))))</f>
        <v>Open</v>
      </c>
      <c r="AI378" s="33" t="str">
        <f aca="false">IF(OR(B378="",D378=""),"",D378-B378)</f>
        <v/>
      </c>
      <c r="AJ378" s="24" t="str">
        <f aca="false">IF(AD378="","",IFERROR((AD378-K378)*IF(F378="Sell",-1,1)/IF(ISNUMBER(SEARCH("JPY",E378)),0.01,IF(ISNUMBER(SEARCH("XAU",E378)),0.01,IF(OR(ISNUMBER(SEARCH("30",E378)),ISNUMBER(SEARCH("500",E378)),ISNUMBER(SEARCH("100",E378))),1,0.0001))),0))</f>
        <v/>
      </c>
      <c r="AK378" s="10"/>
      <c r="AL378" s="10"/>
      <c r="AM378" s="10"/>
      <c r="AN378" s="10"/>
      <c r="AO378" s="27" t="str">
        <f aca="false">IF(AE378="","",IFERROR(IF(AO377="",SETTINGS!$B$6,AO377),SETTINGS!$B$6)+IF(AE378="",0,AE378))</f>
        <v/>
      </c>
      <c r="AP378" s="2"/>
    </row>
    <row r="379" customFormat="false" ht="15" hidden="false" customHeight="false" outlineLevel="0" collapsed="false">
      <c r="A379" s="24" t="str">
        <f aca="false">IF(B379="","",ROW()-3)</f>
        <v/>
      </c>
      <c r="B379" s="34"/>
      <c r="C379" s="12"/>
      <c r="D379" s="34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35"/>
      <c r="P379" s="24" t="str">
        <f aca="false">IF(K379="","",IFERROR(ABS(K379-L379)/IF(ISNUMBER(SEARCH("JPY",E379)),0.01,IF(ISNUMBER(SEARCH("XAU",E379)),0.01,IF(OR(ISNUMBER(SEARCH("30",E379)),ISNUMBER(SEARCH("500",E379)),ISNUMBER(SEARCH("100",E379))),1,0.0001))),0))</f>
        <v/>
      </c>
      <c r="Q379" s="27" t="str">
        <f aca="false">IF(K379="","",SETTINGS!$B$6*O379)</f>
        <v/>
      </c>
      <c r="R379" s="24" t="str">
        <f aca="false">IF(K379="","",IFERROR(Q379/(P379*IF(ISNUMBER(SEARCH("JPY",E379)),9.09,IF(ISNUMBER(SEARCH("XAU",E379)),1,IF(OR(ISNUMBER(SEARCH("30",E379)),ISNUMBER(SEARCH("500",E379)),ISNUMBER(SEARCH("100",E379))),1,10)))),0))</f>
        <v/>
      </c>
      <c r="S379" s="12"/>
      <c r="T379" s="36"/>
      <c r="U379" s="27" t="str">
        <f aca="false">IF(OR(S379="",T379=0),"",IFERROR((S379-K379)*IF(F379="Sell",-1,1)*R379*T379*IF(ISNUMBER(SEARCH("JPY",E379)),1000,IF(ISNUMBER(SEARCH("XAU",E379)),100,IF(OR(ISNUMBER(SEARCH("30",E379)),ISNUMBER(SEARCH("500",E379)),ISNUMBER(SEARCH("100",E379))),100,100000))),0))</f>
        <v/>
      </c>
      <c r="V379" s="12"/>
      <c r="W379" s="36"/>
      <c r="X379" s="27" t="str">
        <f aca="false">IF(OR(V379="",W379=0),"",IFERROR((V379-K379)*IF(F379="Sell",-1,1)*R379*W379*IF(ISNUMBER(SEARCH("JPY",E379)),1000,IF(ISNUMBER(SEARCH("XAU",E379)),100,IF(OR(ISNUMBER(SEARCH("30",E379)),ISNUMBER(SEARCH("500",E379)),ISNUMBER(SEARCH("100",E379))),100,100000))),0))</f>
        <v/>
      </c>
      <c r="Y379" s="12"/>
      <c r="Z379" s="36"/>
      <c r="AA379" s="27" t="str">
        <f aca="false">IF(OR(Y379="",Z379=0),"",IFERROR((Y379-K379)*IF(F379="Sell",-1,1)*R379*Z379*IF(ISNUMBER(SEARCH("JPY",E379)),1000,IF(ISNUMBER(SEARCH("XAU",E379)),100,IF(OR(ISNUMBER(SEARCH("30",E379)),ISNUMBER(SEARCH("500",E379)),ISNUMBER(SEARCH("100",E379))),100,100000))),0))</f>
        <v/>
      </c>
      <c r="AB379" s="12"/>
      <c r="AC379" s="29" t="str">
        <f aca="false">IF(K379="","",1-IFERROR(T379,0)-IFERROR(W379,0)-IFERROR(Z379,0))</f>
        <v/>
      </c>
      <c r="AD379" s="30" t="str">
        <f aca="false">IF(AB379="","",IFERROR((IFERROR(S379*T379,0)+IFERROR(V379*W379,0)+IFERROR(Y379*Z379,0)+AB379*AC379)/(IFERROR(T379,0)+IFERROR(W379,0)+IFERROR(Z379,0)+AC379),AB379))</f>
        <v/>
      </c>
      <c r="AE379" s="27" t="str">
        <f aca="false">IF(AB379="","",IF(U379="",0,U379)+IF(X379="",0,X379)+IF(AA379="",0,AA379)+IFERROR((AB379-K379)*IF(F379="Sell",-1,1)*R379*AC379*IF(ISNUMBER(SEARCH("JPY",E379)),1000,IF(ISNUMBER(SEARCH("XAU",E379)),100,IF(OR(ISNUMBER(SEARCH("30",E379)),ISNUMBER(SEARCH("500",E379)),ISNUMBER(SEARCH("100",E379))),100,100000))),0))</f>
        <v/>
      </c>
      <c r="AF379" s="31" t="str">
        <f aca="false">IF(OR(K379="",M379="",L379=""),"",IFERROR(ABS(M379-K379)/ABS(K379-L379),0))</f>
        <v/>
      </c>
      <c r="AG379" s="31" t="str">
        <f aca="false">IF(OR(AE379="",AE379=0,Q379=0,Q379=""),"",IFERROR(AE379/Q379,0))</f>
        <v/>
      </c>
      <c r="AH379" s="32" t="str">
        <f aca="false">IF(AB379="","Open",IF(AG379="","Open",IF(AG379&gt;0.1,"Win",IF(AG379&lt;-0.1,"Loss","Breakeven"))))</f>
        <v>Open</v>
      </c>
      <c r="AI379" s="33" t="str">
        <f aca="false">IF(OR(B379="",D379=""),"",D379-B379)</f>
        <v/>
      </c>
      <c r="AJ379" s="24" t="str">
        <f aca="false">IF(AD379="","",IFERROR((AD379-K379)*IF(F379="Sell",-1,1)/IF(ISNUMBER(SEARCH("JPY",E379)),0.01,IF(ISNUMBER(SEARCH("XAU",E379)),0.01,IF(OR(ISNUMBER(SEARCH("30",E379)),ISNUMBER(SEARCH("500",E379)),ISNUMBER(SEARCH("100",E379))),1,0.0001))),0))</f>
        <v/>
      </c>
      <c r="AK379" s="12"/>
      <c r="AL379" s="12"/>
      <c r="AM379" s="12"/>
      <c r="AN379" s="12"/>
      <c r="AO379" s="27" t="str">
        <f aca="false">IF(AE379="","",IFERROR(IF(AO378="",SETTINGS!$B$6,AO378),SETTINGS!$B$6)+IF(AE379="",0,AE379))</f>
        <v/>
      </c>
      <c r="AP379" s="2"/>
    </row>
    <row r="380" customFormat="false" ht="15" hidden="false" customHeight="false" outlineLevel="0" collapsed="false">
      <c r="A380" s="24" t="str">
        <f aca="false">IF(B380="","",ROW()-3)</f>
        <v/>
      </c>
      <c r="B380" s="25"/>
      <c r="C380" s="10"/>
      <c r="D380" s="25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26"/>
      <c r="P380" s="24" t="str">
        <f aca="false">IF(K380="","",IFERROR(ABS(K380-L380)/IF(ISNUMBER(SEARCH("JPY",E380)),0.01,IF(ISNUMBER(SEARCH("XAU",E380)),0.01,IF(OR(ISNUMBER(SEARCH("30",E380)),ISNUMBER(SEARCH("500",E380)),ISNUMBER(SEARCH("100",E380))),1,0.0001))),0))</f>
        <v/>
      </c>
      <c r="Q380" s="27" t="str">
        <f aca="false">IF(K380="","",SETTINGS!$B$6*O380)</f>
        <v/>
      </c>
      <c r="R380" s="24" t="str">
        <f aca="false">IF(K380="","",IFERROR(Q380/(P380*IF(ISNUMBER(SEARCH("JPY",E380)),9.09,IF(ISNUMBER(SEARCH("XAU",E380)),1,IF(OR(ISNUMBER(SEARCH("30",E380)),ISNUMBER(SEARCH("500",E380)),ISNUMBER(SEARCH("100",E380))),1,10)))),0))</f>
        <v/>
      </c>
      <c r="S380" s="10"/>
      <c r="T380" s="28"/>
      <c r="U380" s="27" t="str">
        <f aca="false">IF(OR(S380="",T380=0),"",IFERROR((S380-K380)*IF(F380="Sell",-1,1)*R380*T380*IF(ISNUMBER(SEARCH("JPY",E380)),1000,IF(ISNUMBER(SEARCH("XAU",E380)),100,IF(OR(ISNUMBER(SEARCH("30",E380)),ISNUMBER(SEARCH("500",E380)),ISNUMBER(SEARCH("100",E380))),100,100000))),0))</f>
        <v/>
      </c>
      <c r="V380" s="10"/>
      <c r="W380" s="28"/>
      <c r="X380" s="27" t="str">
        <f aca="false">IF(OR(V380="",W380=0),"",IFERROR((V380-K380)*IF(F380="Sell",-1,1)*R380*W380*IF(ISNUMBER(SEARCH("JPY",E380)),1000,IF(ISNUMBER(SEARCH("XAU",E380)),100,IF(OR(ISNUMBER(SEARCH("30",E380)),ISNUMBER(SEARCH("500",E380)),ISNUMBER(SEARCH("100",E380))),100,100000))),0))</f>
        <v/>
      </c>
      <c r="Y380" s="10"/>
      <c r="Z380" s="28"/>
      <c r="AA380" s="27" t="str">
        <f aca="false">IF(OR(Y380="",Z380=0),"",IFERROR((Y380-K380)*IF(F380="Sell",-1,1)*R380*Z380*IF(ISNUMBER(SEARCH("JPY",E380)),1000,IF(ISNUMBER(SEARCH("XAU",E380)),100,IF(OR(ISNUMBER(SEARCH("30",E380)),ISNUMBER(SEARCH("500",E380)),ISNUMBER(SEARCH("100",E380))),100,100000))),0))</f>
        <v/>
      </c>
      <c r="AB380" s="10"/>
      <c r="AC380" s="29" t="str">
        <f aca="false">IF(K380="","",1-IFERROR(T380,0)-IFERROR(W380,0)-IFERROR(Z380,0))</f>
        <v/>
      </c>
      <c r="AD380" s="30" t="str">
        <f aca="false">IF(AB380="","",IFERROR((IFERROR(S380*T380,0)+IFERROR(V380*W380,0)+IFERROR(Y380*Z380,0)+AB380*AC380)/(IFERROR(T380,0)+IFERROR(W380,0)+IFERROR(Z380,0)+AC380),AB380))</f>
        <v/>
      </c>
      <c r="AE380" s="27" t="str">
        <f aca="false">IF(AB380="","",IF(U380="",0,U380)+IF(X380="",0,X380)+IF(AA380="",0,AA380)+IFERROR((AB380-K380)*IF(F380="Sell",-1,1)*R380*AC380*IF(ISNUMBER(SEARCH("JPY",E380)),1000,IF(ISNUMBER(SEARCH("XAU",E380)),100,IF(OR(ISNUMBER(SEARCH("30",E380)),ISNUMBER(SEARCH("500",E380)),ISNUMBER(SEARCH("100",E380))),100,100000))),0))</f>
        <v/>
      </c>
      <c r="AF380" s="31" t="str">
        <f aca="false">IF(OR(K380="",M380="",L380=""),"",IFERROR(ABS(M380-K380)/ABS(K380-L380),0))</f>
        <v/>
      </c>
      <c r="AG380" s="31" t="str">
        <f aca="false">IF(OR(AE380="",AE380=0,Q380=0,Q380=""),"",IFERROR(AE380/Q380,0))</f>
        <v/>
      </c>
      <c r="AH380" s="32" t="str">
        <f aca="false">IF(AB380="","Open",IF(AG380="","Open",IF(AG380&gt;0.1,"Win",IF(AG380&lt;-0.1,"Loss","Breakeven"))))</f>
        <v>Open</v>
      </c>
      <c r="AI380" s="33" t="str">
        <f aca="false">IF(OR(B380="",D380=""),"",D380-B380)</f>
        <v/>
      </c>
      <c r="AJ380" s="24" t="str">
        <f aca="false">IF(AD380="","",IFERROR((AD380-K380)*IF(F380="Sell",-1,1)/IF(ISNUMBER(SEARCH("JPY",E380)),0.01,IF(ISNUMBER(SEARCH("XAU",E380)),0.01,IF(OR(ISNUMBER(SEARCH("30",E380)),ISNUMBER(SEARCH("500",E380)),ISNUMBER(SEARCH("100",E380))),1,0.0001))),0))</f>
        <v/>
      </c>
      <c r="AK380" s="10"/>
      <c r="AL380" s="10"/>
      <c r="AM380" s="10"/>
      <c r="AN380" s="10"/>
      <c r="AO380" s="27" t="str">
        <f aca="false">IF(AE380="","",IFERROR(IF(AO379="",SETTINGS!$B$6,AO379),SETTINGS!$B$6)+IF(AE380="",0,AE380))</f>
        <v/>
      </c>
      <c r="AP380" s="2"/>
    </row>
    <row r="381" customFormat="false" ht="15" hidden="false" customHeight="false" outlineLevel="0" collapsed="false">
      <c r="A381" s="24" t="str">
        <f aca="false">IF(B381="","",ROW()-3)</f>
        <v/>
      </c>
      <c r="B381" s="34"/>
      <c r="C381" s="12"/>
      <c r="D381" s="34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35"/>
      <c r="P381" s="24" t="str">
        <f aca="false">IF(K381="","",IFERROR(ABS(K381-L381)/IF(ISNUMBER(SEARCH("JPY",E381)),0.01,IF(ISNUMBER(SEARCH("XAU",E381)),0.01,IF(OR(ISNUMBER(SEARCH("30",E381)),ISNUMBER(SEARCH("500",E381)),ISNUMBER(SEARCH("100",E381))),1,0.0001))),0))</f>
        <v/>
      </c>
      <c r="Q381" s="27" t="str">
        <f aca="false">IF(K381="","",SETTINGS!$B$6*O381)</f>
        <v/>
      </c>
      <c r="R381" s="24" t="str">
        <f aca="false">IF(K381="","",IFERROR(Q381/(P381*IF(ISNUMBER(SEARCH("JPY",E381)),9.09,IF(ISNUMBER(SEARCH("XAU",E381)),1,IF(OR(ISNUMBER(SEARCH("30",E381)),ISNUMBER(SEARCH("500",E381)),ISNUMBER(SEARCH("100",E381))),1,10)))),0))</f>
        <v/>
      </c>
      <c r="S381" s="12"/>
      <c r="T381" s="36"/>
      <c r="U381" s="27" t="str">
        <f aca="false">IF(OR(S381="",T381=0),"",IFERROR((S381-K381)*IF(F381="Sell",-1,1)*R381*T381*IF(ISNUMBER(SEARCH("JPY",E381)),1000,IF(ISNUMBER(SEARCH("XAU",E381)),100,IF(OR(ISNUMBER(SEARCH("30",E381)),ISNUMBER(SEARCH("500",E381)),ISNUMBER(SEARCH("100",E381))),100,100000))),0))</f>
        <v/>
      </c>
      <c r="V381" s="12"/>
      <c r="W381" s="36"/>
      <c r="X381" s="27" t="str">
        <f aca="false">IF(OR(V381="",W381=0),"",IFERROR((V381-K381)*IF(F381="Sell",-1,1)*R381*W381*IF(ISNUMBER(SEARCH("JPY",E381)),1000,IF(ISNUMBER(SEARCH("XAU",E381)),100,IF(OR(ISNUMBER(SEARCH("30",E381)),ISNUMBER(SEARCH("500",E381)),ISNUMBER(SEARCH("100",E381))),100,100000))),0))</f>
        <v/>
      </c>
      <c r="Y381" s="12"/>
      <c r="Z381" s="36"/>
      <c r="AA381" s="27" t="str">
        <f aca="false">IF(OR(Y381="",Z381=0),"",IFERROR((Y381-K381)*IF(F381="Sell",-1,1)*R381*Z381*IF(ISNUMBER(SEARCH("JPY",E381)),1000,IF(ISNUMBER(SEARCH("XAU",E381)),100,IF(OR(ISNUMBER(SEARCH("30",E381)),ISNUMBER(SEARCH("500",E381)),ISNUMBER(SEARCH("100",E381))),100,100000))),0))</f>
        <v/>
      </c>
      <c r="AB381" s="12"/>
      <c r="AC381" s="29" t="str">
        <f aca="false">IF(K381="","",1-IFERROR(T381,0)-IFERROR(W381,0)-IFERROR(Z381,0))</f>
        <v/>
      </c>
      <c r="AD381" s="30" t="str">
        <f aca="false">IF(AB381="","",IFERROR((IFERROR(S381*T381,0)+IFERROR(V381*W381,0)+IFERROR(Y381*Z381,0)+AB381*AC381)/(IFERROR(T381,0)+IFERROR(W381,0)+IFERROR(Z381,0)+AC381),AB381))</f>
        <v/>
      </c>
      <c r="AE381" s="27" t="str">
        <f aca="false">IF(AB381="","",IF(U381="",0,U381)+IF(X381="",0,X381)+IF(AA381="",0,AA381)+IFERROR((AB381-K381)*IF(F381="Sell",-1,1)*R381*AC381*IF(ISNUMBER(SEARCH("JPY",E381)),1000,IF(ISNUMBER(SEARCH("XAU",E381)),100,IF(OR(ISNUMBER(SEARCH("30",E381)),ISNUMBER(SEARCH("500",E381)),ISNUMBER(SEARCH("100",E381))),100,100000))),0))</f>
        <v/>
      </c>
      <c r="AF381" s="31" t="str">
        <f aca="false">IF(OR(K381="",M381="",L381=""),"",IFERROR(ABS(M381-K381)/ABS(K381-L381),0))</f>
        <v/>
      </c>
      <c r="AG381" s="31" t="str">
        <f aca="false">IF(OR(AE381="",AE381=0,Q381=0,Q381=""),"",IFERROR(AE381/Q381,0))</f>
        <v/>
      </c>
      <c r="AH381" s="32" t="str">
        <f aca="false">IF(AB381="","Open",IF(AG381="","Open",IF(AG381&gt;0.1,"Win",IF(AG381&lt;-0.1,"Loss","Breakeven"))))</f>
        <v>Open</v>
      </c>
      <c r="AI381" s="33" t="str">
        <f aca="false">IF(OR(B381="",D381=""),"",D381-B381)</f>
        <v/>
      </c>
      <c r="AJ381" s="24" t="str">
        <f aca="false">IF(AD381="","",IFERROR((AD381-K381)*IF(F381="Sell",-1,1)/IF(ISNUMBER(SEARCH("JPY",E381)),0.01,IF(ISNUMBER(SEARCH("XAU",E381)),0.01,IF(OR(ISNUMBER(SEARCH("30",E381)),ISNUMBER(SEARCH("500",E381)),ISNUMBER(SEARCH("100",E381))),1,0.0001))),0))</f>
        <v/>
      </c>
      <c r="AK381" s="12"/>
      <c r="AL381" s="12"/>
      <c r="AM381" s="12"/>
      <c r="AN381" s="12"/>
      <c r="AO381" s="27" t="str">
        <f aca="false">IF(AE381="","",IFERROR(IF(AO380="",SETTINGS!$B$6,AO380),SETTINGS!$B$6)+IF(AE381="",0,AE381))</f>
        <v/>
      </c>
      <c r="AP381" s="2"/>
    </row>
    <row r="382" customFormat="false" ht="15" hidden="false" customHeight="false" outlineLevel="0" collapsed="false">
      <c r="A382" s="24" t="str">
        <f aca="false">IF(B382="","",ROW()-3)</f>
        <v/>
      </c>
      <c r="B382" s="25"/>
      <c r="C382" s="10"/>
      <c r="D382" s="25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26"/>
      <c r="P382" s="24" t="str">
        <f aca="false">IF(K382="","",IFERROR(ABS(K382-L382)/IF(ISNUMBER(SEARCH("JPY",E382)),0.01,IF(ISNUMBER(SEARCH("XAU",E382)),0.01,IF(OR(ISNUMBER(SEARCH("30",E382)),ISNUMBER(SEARCH("500",E382)),ISNUMBER(SEARCH("100",E382))),1,0.0001))),0))</f>
        <v/>
      </c>
      <c r="Q382" s="27" t="str">
        <f aca="false">IF(K382="","",SETTINGS!$B$6*O382)</f>
        <v/>
      </c>
      <c r="R382" s="24" t="str">
        <f aca="false">IF(K382="","",IFERROR(Q382/(P382*IF(ISNUMBER(SEARCH("JPY",E382)),9.09,IF(ISNUMBER(SEARCH("XAU",E382)),1,IF(OR(ISNUMBER(SEARCH("30",E382)),ISNUMBER(SEARCH("500",E382)),ISNUMBER(SEARCH("100",E382))),1,10)))),0))</f>
        <v/>
      </c>
      <c r="S382" s="10"/>
      <c r="T382" s="28"/>
      <c r="U382" s="27" t="str">
        <f aca="false">IF(OR(S382="",T382=0),"",IFERROR((S382-K382)*IF(F382="Sell",-1,1)*R382*T382*IF(ISNUMBER(SEARCH("JPY",E382)),1000,IF(ISNUMBER(SEARCH("XAU",E382)),100,IF(OR(ISNUMBER(SEARCH("30",E382)),ISNUMBER(SEARCH("500",E382)),ISNUMBER(SEARCH("100",E382))),100,100000))),0))</f>
        <v/>
      </c>
      <c r="V382" s="10"/>
      <c r="W382" s="28"/>
      <c r="X382" s="27" t="str">
        <f aca="false">IF(OR(V382="",W382=0),"",IFERROR((V382-K382)*IF(F382="Sell",-1,1)*R382*W382*IF(ISNUMBER(SEARCH("JPY",E382)),1000,IF(ISNUMBER(SEARCH("XAU",E382)),100,IF(OR(ISNUMBER(SEARCH("30",E382)),ISNUMBER(SEARCH("500",E382)),ISNUMBER(SEARCH("100",E382))),100,100000))),0))</f>
        <v/>
      </c>
      <c r="Y382" s="10"/>
      <c r="Z382" s="28"/>
      <c r="AA382" s="27" t="str">
        <f aca="false">IF(OR(Y382="",Z382=0),"",IFERROR((Y382-K382)*IF(F382="Sell",-1,1)*R382*Z382*IF(ISNUMBER(SEARCH("JPY",E382)),1000,IF(ISNUMBER(SEARCH("XAU",E382)),100,IF(OR(ISNUMBER(SEARCH("30",E382)),ISNUMBER(SEARCH("500",E382)),ISNUMBER(SEARCH("100",E382))),100,100000))),0))</f>
        <v/>
      </c>
      <c r="AB382" s="10"/>
      <c r="AC382" s="29" t="str">
        <f aca="false">IF(K382="","",1-IFERROR(T382,0)-IFERROR(W382,0)-IFERROR(Z382,0))</f>
        <v/>
      </c>
      <c r="AD382" s="30" t="str">
        <f aca="false">IF(AB382="","",IFERROR((IFERROR(S382*T382,0)+IFERROR(V382*W382,0)+IFERROR(Y382*Z382,0)+AB382*AC382)/(IFERROR(T382,0)+IFERROR(W382,0)+IFERROR(Z382,0)+AC382),AB382))</f>
        <v/>
      </c>
      <c r="AE382" s="27" t="str">
        <f aca="false">IF(AB382="","",IF(U382="",0,U382)+IF(X382="",0,X382)+IF(AA382="",0,AA382)+IFERROR((AB382-K382)*IF(F382="Sell",-1,1)*R382*AC382*IF(ISNUMBER(SEARCH("JPY",E382)),1000,IF(ISNUMBER(SEARCH("XAU",E382)),100,IF(OR(ISNUMBER(SEARCH("30",E382)),ISNUMBER(SEARCH("500",E382)),ISNUMBER(SEARCH("100",E382))),100,100000))),0))</f>
        <v/>
      </c>
      <c r="AF382" s="31" t="str">
        <f aca="false">IF(OR(K382="",M382="",L382=""),"",IFERROR(ABS(M382-K382)/ABS(K382-L382),0))</f>
        <v/>
      </c>
      <c r="AG382" s="31" t="str">
        <f aca="false">IF(OR(AE382="",AE382=0,Q382=0,Q382=""),"",IFERROR(AE382/Q382,0))</f>
        <v/>
      </c>
      <c r="AH382" s="32" t="str">
        <f aca="false">IF(AB382="","Open",IF(AG382="","Open",IF(AG382&gt;0.1,"Win",IF(AG382&lt;-0.1,"Loss","Breakeven"))))</f>
        <v>Open</v>
      </c>
      <c r="AI382" s="33" t="str">
        <f aca="false">IF(OR(B382="",D382=""),"",D382-B382)</f>
        <v/>
      </c>
      <c r="AJ382" s="24" t="str">
        <f aca="false">IF(AD382="","",IFERROR((AD382-K382)*IF(F382="Sell",-1,1)/IF(ISNUMBER(SEARCH("JPY",E382)),0.01,IF(ISNUMBER(SEARCH("XAU",E382)),0.01,IF(OR(ISNUMBER(SEARCH("30",E382)),ISNUMBER(SEARCH("500",E382)),ISNUMBER(SEARCH("100",E382))),1,0.0001))),0))</f>
        <v/>
      </c>
      <c r="AK382" s="10"/>
      <c r="AL382" s="10"/>
      <c r="AM382" s="10"/>
      <c r="AN382" s="10"/>
      <c r="AO382" s="27" t="str">
        <f aca="false">IF(AE382="","",IFERROR(IF(AO381="",SETTINGS!$B$6,AO381),SETTINGS!$B$6)+IF(AE382="",0,AE382))</f>
        <v/>
      </c>
      <c r="AP382" s="2"/>
    </row>
    <row r="383" customFormat="false" ht="15" hidden="false" customHeight="false" outlineLevel="0" collapsed="false">
      <c r="A383" s="24" t="str">
        <f aca="false">IF(B383="","",ROW()-3)</f>
        <v/>
      </c>
      <c r="B383" s="34"/>
      <c r="C383" s="12"/>
      <c r="D383" s="34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35"/>
      <c r="P383" s="24" t="str">
        <f aca="false">IF(K383="","",IFERROR(ABS(K383-L383)/IF(ISNUMBER(SEARCH("JPY",E383)),0.01,IF(ISNUMBER(SEARCH("XAU",E383)),0.01,IF(OR(ISNUMBER(SEARCH("30",E383)),ISNUMBER(SEARCH("500",E383)),ISNUMBER(SEARCH("100",E383))),1,0.0001))),0))</f>
        <v/>
      </c>
      <c r="Q383" s="27" t="str">
        <f aca="false">IF(K383="","",SETTINGS!$B$6*O383)</f>
        <v/>
      </c>
      <c r="R383" s="24" t="str">
        <f aca="false">IF(K383="","",IFERROR(Q383/(P383*IF(ISNUMBER(SEARCH("JPY",E383)),9.09,IF(ISNUMBER(SEARCH("XAU",E383)),1,IF(OR(ISNUMBER(SEARCH("30",E383)),ISNUMBER(SEARCH("500",E383)),ISNUMBER(SEARCH("100",E383))),1,10)))),0))</f>
        <v/>
      </c>
      <c r="S383" s="12"/>
      <c r="T383" s="36"/>
      <c r="U383" s="27" t="str">
        <f aca="false">IF(OR(S383="",T383=0),"",IFERROR((S383-K383)*IF(F383="Sell",-1,1)*R383*T383*IF(ISNUMBER(SEARCH("JPY",E383)),1000,IF(ISNUMBER(SEARCH("XAU",E383)),100,IF(OR(ISNUMBER(SEARCH("30",E383)),ISNUMBER(SEARCH("500",E383)),ISNUMBER(SEARCH("100",E383))),100,100000))),0))</f>
        <v/>
      </c>
      <c r="V383" s="12"/>
      <c r="W383" s="36"/>
      <c r="X383" s="27" t="str">
        <f aca="false">IF(OR(V383="",W383=0),"",IFERROR((V383-K383)*IF(F383="Sell",-1,1)*R383*W383*IF(ISNUMBER(SEARCH("JPY",E383)),1000,IF(ISNUMBER(SEARCH("XAU",E383)),100,IF(OR(ISNUMBER(SEARCH("30",E383)),ISNUMBER(SEARCH("500",E383)),ISNUMBER(SEARCH("100",E383))),100,100000))),0))</f>
        <v/>
      </c>
      <c r="Y383" s="12"/>
      <c r="Z383" s="36"/>
      <c r="AA383" s="27" t="str">
        <f aca="false">IF(OR(Y383="",Z383=0),"",IFERROR((Y383-K383)*IF(F383="Sell",-1,1)*R383*Z383*IF(ISNUMBER(SEARCH("JPY",E383)),1000,IF(ISNUMBER(SEARCH("XAU",E383)),100,IF(OR(ISNUMBER(SEARCH("30",E383)),ISNUMBER(SEARCH("500",E383)),ISNUMBER(SEARCH("100",E383))),100,100000))),0))</f>
        <v/>
      </c>
      <c r="AB383" s="12"/>
      <c r="AC383" s="29" t="str">
        <f aca="false">IF(K383="","",1-IFERROR(T383,0)-IFERROR(W383,0)-IFERROR(Z383,0))</f>
        <v/>
      </c>
      <c r="AD383" s="30" t="str">
        <f aca="false">IF(AB383="","",IFERROR((IFERROR(S383*T383,0)+IFERROR(V383*W383,0)+IFERROR(Y383*Z383,0)+AB383*AC383)/(IFERROR(T383,0)+IFERROR(W383,0)+IFERROR(Z383,0)+AC383),AB383))</f>
        <v/>
      </c>
      <c r="AE383" s="27" t="str">
        <f aca="false">IF(AB383="","",IF(U383="",0,U383)+IF(X383="",0,X383)+IF(AA383="",0,AA383)+IFERROR((AB383-K383)*IF(F383="Sell",-1,1)*R383*AC383*IF(ISNUMBER(SEARCH("JPY",E383)),1000,IF(ISNUMBER(SEARCH("XAU",E383)),100,IF(OR(ISNUMBER(SEARCH("30",E383)),ISNUMBER(SEARCH("500",E383)),ISNUMBER(SEARCH("100",E383))),100,100000))),0))</f>
        <v/>
      </c>
      <c r="AF383" s="31" t="str">
        <f aca="false">IF(OR(K383="",M383="",L383=""),"",IFERROR(ABS(M383-K383)/ABS(K383-L383),0))</f>
        <v/>
      </c>
      <c r="AG383" s="31" t="str">
        <f aca="false">IF(OR(AE383="",AE383=0,Q383=0,Q383=""),"",IFERROR(AE383/Q383,0))</f>
        <v/>
      </c>
      <c r="AH383" s="32" t="str">
        <f aca="false">IF(AB383="","Open",IF(AG383="","Open",IF(AG383&gt;0.1,"Win",IF(AG383&lt;-0.1,"Loss","Breakeven"))))</f>
        <v>Open</v>
      </c>
      <c r="AI383" s="33" t="str">
        <f aca="false">IF(OR(B383="",D383=""),"",D383-B383)</f>
        <v/>
      </c>
      <c r="AJ383" s="24" t="str">
        <f aca="false">IF(AD383="","",IFERROR((AD383-K383)*IF(F383="Sell",-1,1)/IF(ISNUMBER(SEARCH("JPY",E383)),0.01,IF(ISNUMBER(SEARCH("XAU",E383)),0.01,IF(OR(ISNUMBER(SEARCH("30",E383)),ISNUMBER(SEARCH("500",E383)),ISNUMBER(SEARCH("100",E383))),1,0.0001))),0))</f>
        <v/>
      </c>
      <c r="AK383" s="12"/>
      <c r="AL383" s="12"/>
      <c r="AM383" s="12"/>
      <c r="AN383" s="12"/>
      <c r="AO383" s="27" t="str">
        <f aca="false">IF(AE383="","",IFERROR(IF(AO382="",SETTINGS!$B$6,AO382),SETTINGS!$B$6)+IF(AE383="",0,AE383))</f>
        <v/>
      </c>
      <c r="AP383" s="2"/>
    </row>
    <row r="384" customFormat="false" ht="15" hidden="false" customHeight="false" outlineLevel="0" collapsed="false">
      <c r="A384" s="24" t="str">
        <f aca="false">IF(B384="","",ROW()-3)</f>
        <v/>
      </c>
      <c r="B384" s="25"/>
      <c r="C384" s="10"/>
      <c r="D384" s="25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26"/>
      <c r="P384" s="24" t="str">
        <f aca="false">IF(K384="","",IFERROR(ABS(K384-L384)/IF(ISNUMBER(SEARCH("JPY",E384)),0.01,IF(ISNUMBER(SEARCH("XAU",E384)),0.01,IF(OR(ISNUMBER(SEARCH("30",E384)),ISNUMBER(SEARCH("500",E384)),ISNUMBER(SEARCH("100",E384))),1,0.0001))),0))</f>
        <v/>
      </c>
      <c r="Q384" s="27" t="str">
        <f aca="false">IF(K384="","",SETTINGS!$B$6*O384)</f>
        <v/>
      </c>
      <c r="R384" s="24" t="str">
        <f aca="false">IF(K384="","",IFERROR(Q384/(P384*IF(ISNUMBER(SEARCH("JPY",E384)),9.09,IF(ISNUMBER(SEARCH("XAU",E384)),1,IF(OR(ISNUMBER(SEARCH("30",E384)),ISNUMBER(SEARCH("500",E384)),ISNUMBER(SEARCH("100",E384))),1,10)))),0))</f>
        <v/>
      </c>
      <c r="S384" s="10"/>
      <c r="T384" s="28"/>
      <c r="U384" s="27" t="str">
        <f aca="false">IF(OR(S384="",T384=0),"",IFERROR((S384-K384)*IF(F384="Sell",-1,1)*R384*T384*IF(ISNUMBER(SEARCH("JPY",E384)),1000,IF(ISNUMBER(SEARCH("XAU",E384)),100,IF(OR(ISNUMBER(SEARCH("30",E384)),ISNUMBER(SEARCH("500",E384)),ISNUMBER(SEARCH("100",E384))),100,100000))),0))</f>
        <v/>
      </c>
      <c r="V384" s="10"/>
      <c r="W384" s="28"/>
      <c r="X384" s="27" t="str">
        <f aca="false">IF(OR(V384="",W384=0),"",IFERROR((V384-K384)*IF(F384="Sell",-1,1)*R384*W384*IF(ISNUMBER(SEARCH("JPY",E384)),1000,IF(ISNUMBER(SEARCH("XAU",E384)),100,IF(OR(ISNUMBER(SEARCH("30",E384)),ISNUMBER(SEARCH("500",E384)),ISNUMBER(SEARCH("100",E384))),100,100000))),0))</f>
        <v/>
      </c>
      <c r="Y384" s="10"/>
      <c r="Z384" s="28"/>
      <c r="AA384" s="27" t="str">
        <f aca="false">IF(OR(Y384="",Z384=0),"",IFERROR((Y384-K384)*IF(F384="Sell",-1,1)*R384*Z384*IF(ISNUMBER(SEARCH("JPY",E384)),1000,IF(ISNUMBER(SEARCH("XAU",E384)),100,IF(OR(ISNUMBER(SEARCH("30",E384)),ISNUMBER(SEARCH("500",E384)),ISNUMBER(SEARCH("100",E384))),100,100000))),0))</f>
        <v/>
      </c>
      <c r="AB384" s="10"/>
      <c r="AC384" s="29" t="str">
        <f aca="false">IF(K384="","",1-IFERROR(T384,0)-IFERROR(W384,0)-IFERROR(Z384,0))</f>
        <v/>
      </c>
      <c r="AD384" s="30" t="str">
        <f aca="false">IF(AB384="","",IFERROR((IFERROR(S384*T384,0)+IFERROR(V384*W384,0)+IFERROR(Y384*Z384,0)+AB384*AC384)/(IFERROR(T384,0)+IFERROR(W384,0)+IFERROR(Z384,0)+AC384),AB384))</f>
        <v/>
      </c>
      <c r="AE384" s="27" t="str">
        <f aca="false">IF(AB384="","",IF(U384="",0,U384)+IF(X384="",0,X384)+IF(AA384="",0,AA384)+IFERROR((AB384-K384)*IF(F384="Sell",-1,1)*R384*AC384*IF(ISNUMBER(SEARCH("JPY",E384)),1000,IF(ISNUMBER(SEARCH("XAU",E384)),100,IF(OR(ISNUMBER(SEARCH("30",E384)),ISNUMBER(SEARCH("500",E384)),ISNUMBER(SEARCH("100",E384))),100,100000))),0))</f>
        <v/>
      </c>
      <c r="AF384" s="31" t="str">
        <f aca="false">IF(OR(K384="",M384="",L384=""),"",IFERROR(ABS(M384-K384)/ABS(K384-L384),0))</f>
        <v/>
      </c>
      <c r="AG384" s="31" t="str">
        <f aca="false">IF(OR(AE384="",AE384=0,Q384=0,Q384=""),"",IFERROR(AE384/Q384,0))</f>
        <v/>
      </c>
      <c r="AH384" s="32" t="str">
        <f aca="false">IF(AB384="","Open",IF(AG384="","Open",IF(AG384&gt;0.1,"Win",IF(AG384&lt;-0.1,"Loss","Breakeven"))))</f>
        <v>Open</v>
      </c>
      <c r="AI384" s="33" t="str">
        <f aca="false">IF(OR(B384="",D384=""),"",D384-B384)</f>
        <v/>
      </c>
      <c r="AJ384" s="24" t="str">
        <f aca="false">IF(AD384="","",IFERROR((AD384-K384)*IF(F384="Sell",-1,1)/IF(ISNUMBER(SEARCH("JPY",E384)),0.01,IF(ISNUMBER(SEARCH("XAU",E384)),0.01,IF(OR(ISNUMBER(SEARCH("30",E384)),ISNUMBER(SEARCH("500",E384)),ISNUMBER(SEARCH("100",E384))),1,0.0001))),0))</f>
        <v/>
      </c>
      <c r="AK384" s="10"/>
      <c r="AL384" s="10"/>
      <c r="AM384" s="10"/>
      <c r="AN384" s="10"/>
      <c r="AO384" s="27" t="str">
        <f aca="false">IF(AE384="","",IFERROR(IF(AO383="",SETTINGS!$B$6,AO383),SETTINGS!$B$6)+IF(AE384="",0,AE384))</f>
        <v/>
      </c>
      <c r="AP384" s="2"/>
    </row>
    <row r="385" customFormat="false" ht="15" hidden="false" customHeight="false" outlineLevel="0" collapsed="false">
      <c r="A385" s="24" t="str">
        <f aca="false">IF(B385="","",ROW()-3)</f>
        <v/>
      </c>
      <c r="B385" s="34"/>
      <c r="C385" s="12"/>
      <c r="D385" s="34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35"/>
      <c r="P385" s="24" t="str">
        <f aca="false">IF(K385="","",IFERROR(ABS(K385-L385)/IF(ISNUMBER(SEARCH("JPY",E385)),0.01,IF(ISNUMBER(SEARCH("XAU",E385)),0.01,IF(OR(ISNUMBER(SEARCH("30",E385)),ISNUMBER(SEARCH("500",E385)),ISNUMBER(SEARCH("100",E385))),1,0.0001))),0))</f>
        <v/>
      </c>
      <c r="Q385" s="27" t="str">
        <f aca="false">IF(K385="","",SETTINGS!$B$6*O385)</f>
        <v/>
      </c>
      <c r="R385" s="24" t="str">
        <f aca="false">IF(K385="","",IFERROR(Q385/(P385*IF(ISNUMBER(SEARCH("JPY",E385)),9.09,IF(ISNUMBER(SEARCH("XAU",E385)),1,IF(OR(ISNUMBER(SEARCH("30",E385)),ISNUMBER(SEARCH("500",E385)),ISNUMBER(SEARCH("100",E385))),1,10)))),0))</f>
        <v/>
      </c>
      <c r="S385" s="12"/>
      <c r="T385" s="36"/>
      <c r="U385" s="27" t="str">
        <f aca="false">IF(OR(S385="",T385=0),"",IFERROR((S385-K385)*IF(F385="Sell",-1,1)*R385*T385*IF(ISNUMBER(SEARCH("JPY",E385)),1000,IF(ISNUMBER(SEARCH("XAU",E385)),100,IF(OR(ISNUMBER(SEARCH("30",E385)),ISNUMBER(SEARCH("500",E385)),ISNUMBER(SEARCH("100",E385))),100,100000))),0))</f>
        <v/>
      </c>
      <c r="V385" s="12"/>
      <c r="W385" s="36"/>
      <c r="X385" s="27" t="str">
        <f aca="false">IF(OR(V385="",W385=0),"",IFERROR((V385-K385)*IF(F385="Sell",-1,1)*R385*W385*IF(ISNUMBER(SEARCH("JPY",E385)),1000,IF(ISNUMBER(SEARCH("XAU",E385)),100,IF(OR(ISNUMBER(SEARCH("30",E385)),ISNUMBER(SEARCH("500",E385)),ISNUMBER(SEARCH("100",E385))),100,100000))),0))</f>
        <v/>
      </c>
      <c r="Y385" s="12"/>
      <c r="Z385" s="36"/>
      <c r="AA385" s="27" t="str">
        <f aca="false">IF(OR(Y385="",Z385=0),"",IFERROR((Y385-K385)*IF(F385="Sell",-1,1)*R385*Z385*IF(ISNUMBER(SEARCH("JPY",E385)),1000,IF(ISNUMBER(SEARCH("XAU",E385)),100,IF(OR(ISNUMBER(SEARCH("30",E385)),ISNUMBER(SEARCH("500",E385)),ISNUMBER(SEARCH("100",E385))),100,100000))),0))</f>
        <v/>
      </c>
      <c r="AB385" s="12"/>
      <c r="AC385" s="29" t="str">
        <f aca="false">IF(K385="","",1-IFERROR(T385,0)-IFERROR(W385,0)-IFERROR(Z385,0))</f>
        <v/>
      </c>
      <c r="AD385" s="30" t="str">
        <f aca="false">IF(AB385="","",IFERROR((IFERROR(S385*T385,0)+IFERROR(V385*W385,0)+IFERROR(Y385*Z385,0)+AB385*AC385)/(IFERROR(T385,0)+IFERROR(W385,0)+IFERROR(Z385,0)+AC385),AB385))</f>
        <v/>
      </c>
      <c r="AE385" s="27" t="str">
        <f aca="false">IF(AB385="","",IF(U385="",0,U385)+IF(X385="",0,X385)+IF(AA385="",0,AA385)+IFERROR((AB385-K385)*IF(F385="Sell",-1,1)*R385*AC385*IF(ISNUMBER(SEARCH("JPY",E385)),1000,IF(ISNUMBER(SEARCH("XAU",E385)),100,IF(OR(ISNUMBER(SEARCH("30",E385)),ISNUMBER(SEARCH("500",E385)),ISNUMBER(SEARCH("100",E385))),100,100000))),0))</f>
        <v/>
      </c>
      <c r="AF385" s="31" t="str">
        <f aca="false">IF(OR(K385="",M385="",L385=""),"",IFERROR(ABS(M385-K385)/ABS(K385-L385),0))</f>
        <v/>
      </c>
      <c r="AG385" s="31" t="str">
        <f aca="false">IF(OR(AE385="",AE385=0,Q385=0,Q385=""),"",IFERROR(AE385/Q385,0))</f>
        <v/>
      </c>
      <c r="AH385" s="32" t="str">
        <f aca="false">IF(AB385="","Open",IF(AG385="","Open",IF(AG385&gt;0.1,"Win",IF(AG385&lt;-0.1,"Loss","Breakeven"))))</f>
        <v>Open</v>
      </c>
      <c r="AI385" s="33" t="str">
        <f aca="false">IF(OR(B385="",D385=""),"",D385-B385)</f>
        <v/>
      </c>
      <c r="AJ385" s="24" t="str">
        <f aca="false">IF(AD385="","",IFERROR((AD385-K385)*IF(F385="Sell",-1,1)/IF(ISNUMBER(SEARCH("JPY",E385)),0.01,IF(ISNUMBER(SEARCH("XAU",E385)),0.01,IF(OR(ISNUMBER(SEARCH("30",E385)),ISNUMBER(SEARCH("500",E385)),ISNUMBER(SEARCH("100",E385))),1,0.0001))),0))</f>
        <v/>
      </c>
      <c r="AK385" s="12"/>
      <c r="AL385" s="12"/>
      <c r="AM385" s="12"/>
      <c r="AN385" s="12"/>
      <c r="AO385" s="27" t="str">
        <f aca="false">IF(AE385="","",IFERROR(IF(AO384="",SETTINGS!$B$6,AO384),SETTINGS!$B$6)+IF(AE385="",0,AE385))</f>
        <v/>
      </c>
      <c r="AP385" s="2"/>
    </row>
    <row r="386" customFormat="false" ht="15" hidden="false" customHeight="false" outlineLevel="0" collapsed="false">
      <c r="A386" s="24" t="str">
        <f aca="false">IF(B386="","",ROW()-3)</f>
        <v/>
      </c>
      <c r="B386" s="25"/>
      <c r="C386" s="10"/>
      <c r="D386" s="25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26"/>
      <c r="P386" s="24" t="str">
        <f aca="false">IF(K386="","",IFERROR(ABS(K386-L386)/IF(ISNUMBER(SEARCH("JPY",E386)),0.01,IF(ISNUMBER(SEARCH("XAU",E386)),0.01,IF(OR(ISNUMBER(SEARCH("30",E386)),ISNUMBER(SEARCH("500",E386)),ISNUMBER(SEARCH("100",E386))),1,0.0001))),0))</f>
        <v/>
      </c>
      <c r="Q386" s="27" t="str">
        <f aca="false">IF(K386="","",SETTINGS!$B$6*O386)</f>
        <v/>
      </c>
      <c r="R386" s="24" t="str">
        <f aca="false">IF(K386="","",IFERROR(Q386/(P386*IF(ISNUMBER(SEARCH("JPY",E386)),9.09,IF(ISNUMBER(SEARCH("XAU",E386)),1,IF(OR(ISNUMBER(SEARCH("30",E386)),ISNUMBER(SEARCH("500",E386)),ISNUMBER(SEARCH("100",E386))),1,10)))),0))</f>
        <v/>
      </c>
      <c r="S386" s="10"/>
      <c r="T386" s="28"/>
      <c r="U386" s="27" t="str">
        <f aca="false">IF(OR(S386="",T386=0),"",IFERROR((S386-K386)*IF(F386="Sell",-1,1)*R386*T386*IF(ISNUMBER(SEARCH("JPY",E386)),1000,IF(ISNUMBER(SEARCH("XAU",E386)),100,IF(OR(ISNUMBER(SEARCH("30",E386)),ISNUMBER(SEARCH("500",E386)),ISNUMBER(SEARCH("100",E386))),100,100000))),0))</f>
        <v/>
      </c>
      <c r="V386" s="10"/>
      <c r="W386" s="28"/>
      <c r="X386" s="27" t="str">
        <f aca="false">IF(OR(V386="",W386=0),"",IFERROR((V386-K386)*IF(F386="Sell",-1,1)*R386*W386*IF(ISNUMBER(SEARCH("JPY",E386)),1000,IF(ISNUMBER(SEARCH("XAU",E386)),100,IF(OR(ISNUMBER(SEARCH("30",E386)),ISNUMBER(SEARCH("500",E386)),ISNUMBER(SEARCH("100",E386))),100,100000))),0))</f>
        <v/>
      </c>
      <c r="Y386" s="10"/>
      <c r="Z386" s="28"/>
      <c r="AA386" s="27" t="str">
        <f aca="false">IF(OR(Y386="",Z386=0),"",IFERROR((Y386-K386)*IF(F386="Sell",-1,1)*R386*Z386*IF(ISNUMBER(SEARCH("JPY",E386)),1000,IF(ISNUMBER(SEARCH("XAU",E386)),100,IF(OR(ISNUMBER(SEARCH("30",E386)),ISNUMBER(SEARCH("500",E386)),ISNUMBER(SEARCH("100",E386))),100,100000))),0))</f>
        <v/>
      </c>
      <c r="AB386" s="10"/>
      <c r="AC386" s="29" t="str">
        <f aca="false">IF(K386="","",1-IFERROR(T386,0)-IFERROR(W386,0)-IFERROR(Z386,0))</f>
        <v/>
      </c>
      <c r="AD386" s="30" t="str">
        <f aca="false">IF(AB386="","",IFERROR((IFERROR(S386*T386,0)+IFERROR(V386*W386,0)+IFERROR(Y386*Z386,0)+AB386*AC386)/(IFERROR(T386,0)+IFERROR(W386,0)+IFERROR(Z386,0)+AC386),AB386))</f>
        <v/>
      </c>
      <c r="AE386" s="27" t="str">
        <f aca="false">IF(AB386="","",IF(U386="",0,U386)+IF(X386="",0,X386)+IF(AA386="",0,AA386)+IFERROR((AB386-K386)*IF(F386="Sell",-1,1)*R386*AC386*IF(ISNUMBER(SEARCH("JPY",E386)),1000,IF(ISNUMBER(SEARCH("XAU",E386)),100,IF(OR(ISNUMBER(SEARCH("30",E386)),ISNUMBER(SEARCH("500",E386)),ISNUMBER(SEARCH("100",E386))),100,100000))),0))</f>
        <v/>
      </c>
      <c r="AF386" s="31" t="str">
        <f aca="false">IF(OR(K386="",M386="",L386=""),"",IFERROR(ABS(M386-K386)/ABS(K386-L386),0))</f>
        <v/>
      </c>
      <c r="AG386" s="31" t="str">
        <f aca="false">IF(OR(AE386="",AE386=0,Q386=0,Q386=""),"",IFERROR(AE386/Q386,0))</f>
        <v/>
      </c>
      <c r="AH386" s="32" t="str">
        <f aca="false">IF(AB386="","Open",IF(AG386="","Open",IF(AG386&gt;0.1,"Win",IF(AG386&lt;-0.1,"Loss","Breakeven"))))</f>
        <v>Open</v>
      </c>
      <c r="AI386" s="33" t="str">
        <f aca="false">IF(OR(B386="",D386=""),"",D386-B386)</f>
        <v/>
      </c>
      <c r="AJ386" s="24" t="str">
        <f aca="false">IF(AD386="","",IFERROR((AD386-K386)*IF(F386="Sell",-1,1)/IF(ISNUMBER(SEARCH("JPY",E386)),0.01,IF(ISNUMBER(SEARCH("XAU",E386)),0.01,IF(OR(ISNUMBER(SEARCH("30",E386)),ISNUMBER(SEARCH("500",E386)),ISNUMBER(SEARCH("100",E386))),1,0.0001))),0))</f>
        <v/>
      </c>
      <c r="AK386" s="10"/>
      <c r="AL386" s="10"/>
      <c r="AM386" s="10"/>
      <c r="AN386" s="10"/>
      <c r="AO386" s="27" t="str">
        <f aca="false">IF(AE386="","",IFERROR(IF(AO385="",SETTINGS!$B$6,AO385),SETTINGS!$B$6)+IF(AE386="",0,AE386))</f>
        <v/>
      </c>
      <c r="AP386" s="2"/>
    </row>
    <row r="387" customFormat="false" ht="15" hidden="false" customHeight="false" outlineLevel="0" collapsed="false">
      <c r="A387" s="24" t="str">
        <f aca="false">IF(B387="","",ROW()-3)</f>
        <v/>
      </c>
      <c r="B387" s="34"/>
      <c r="C387" s="12"/>
      <c r="D387" s="34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35"/>
      <c r="P387" s="24" t="str">
        <f aca="false">IF(K387="","",IFERROR(ABS(K387-L387)/IF(ISNUMBER(SEARCH("JPY",E387)),0.01,IF(ISNUMBER(SEARCH("XAU",E387)),0.01,IF(OR(ISNUMBER(SEARCH("30",E387)),ISNUMBER(SEARCH("500",E387)),ISNUMBER(SEARCH("100",E387))),1,0.0001))),0))</f>
        <v/>
      </c>
      <c r="Q387" s="27" t="str">
        <f aca="false">IF(K387="","",SETTINGS!$B$6*O387)</f>
        <v/>
      </c>
      <c r="R387" s="24" t="str">
        <f aca="false">IF(K387="","",IFERROR(Q387/(P387*IF(ISNUMBER(SEARCH("JPY",E387)),9.09,IF(ISNUMBER(SEARCH("XAU",E387)),1,IF(OR(ISNUMBER(SEARCH("30",E387)),ISNUMBER(SEARCH("500",E387)),ISNUMBER(SEARCH("100",E387))),1,10)))),0))</f>
        <v/>
      </c>
      <c r="S387" s="12"/>
      <c r="T387" s="36"/>
      <c r="U387" s="27" t="str">
        <f aca="false">IF(OR(S387="",T387=0),"",IFERROR((S387-K387)*IF(F387="Sell",-1,1)*R387*T387*IF(ISNUMBER(SEARCH("JPY",E387)),1000,IF(ISNUMBER(SEARCH("XAU",E387)),100,IF(OR(ISNUMBER(SEARCH("30",E387)),ISNUMBER(SEARCH("500",E387)),ISNUMBER(SEARCH("100",E387))),100,100000))),0))</f>
        <v/>
      </c>
      <c r="V387" s="12"/>
      <c r="W387" s="36"/>
      <c r="X387" s="27" t="str">
        <f aca="false">IF(OR(V387="",W387=0),"",IFERROR((V387-K387)*IF(F387="Sell",-1,1)*R387*W387*IF(ISNUMBER(SEARCH("JPY",E387)),1000,IF(ISNUMBER(SEARCH("XAU",E387)),100,IF(OR(ISNUMBER(SEARCH("30",E387)),ISNUMBER(SEARCH("500",E387)),ISNUMBER(SEARCH("100",E387))),100,100000))),0))</f>
        <v/>
      </c>
      <c r="Y387" s="12"/>
      <c r="Z387" s="36"/>
      <c r="AA387" s="27" t="str">
        <f aca="false">IF(OR(Y387="",Z387=0),"",IFERROR((Y387-K387)*IF(F387="Sell",-1,1)*R387*Z387*IF(ISNUMBER(SEARCH("JPY",E387)),1000,IF(ISNUMBER(SEARCH("XAU",E387)),100,IF(OR(ISNUMBER(SEARCH("30",E387)),ISNUMBER(SEARCH("500",E387)),ISNUMBER(SEARCH("100",E387))),100,100000))),0))</f>
        <v/>
      </c>
      <c r="AB387" s="12"/>
      <c r="AC387" s="29" t="str">
        <f aca="false">IF(K387="","",1-IFERROR(T387,0)-IFERROR(W387,0)-IFERROR(Z387,0))</f>
        <v/>
      </c>
      <c r="AD387" s="30" t="str">
        <f aca="false">IF(AB387="","",IFERROR((IFERROR(S387*T387,0)+IFERROR(V387*W387,0)+IFERROR(Y387*Z387,0)+AB387*AC387)/(IFERROR(T387,0)+IFERROR(W387,0)+IFERROR(Z387,0)+AC387),AB387))</f>
        <v/>
      </c>
      <c r="AE387" s="27" t="str">
        <f aca="false">IF(AB387="","",IF(U387="",0,U387)+IF(X387="",0,X387)+IF(AA387="",0,AA387)+IFERROR((AB387-K387)*IF(F387="Sell",-1,1)*R387*AC387*IF(ISNUMBER(SEARCH("JPY",E387)),1000,IF(ISNUMBER(SEARCH("XAU",E387)),100,IF(OR(ISNUMBER(SEARCH("30",E387)),ISNUMBER(SEARCH("500",E387)),ISNUMBER(SEARCH("100",E387))),100,100000))),0))</f>
        <v/>
      </c>
      <c r="AF387" s="31" t="str">
        <f aca="false">IF(OR(K387="",M387="",L387=""),"",IFERROR(ABS(M387-K387)/ABS(K387-L387),0))</f>
        <v/>
      </c>
      <c r="AG387" s="31" t="str">
        <f aca="false">IF(OR(AE387="",AE387=0,Q387=0,Q387=""),"",IFERROR(AE387/Q387,0))</f>
        <v/>
      </c>
      <c r="AH387" s="32" t="str">
        <f aca="false">IF(AB387="","Open",IF(AG387="","Open",IF(AG387&gt;0.1,"Win",IF(AG387&lt;-0.1,"Loss","Breakeven"))))</f>
        <v>Open</v>
      </c>
      <c r="AI387" s="33" t="str">
        <f aca="false">IF(OR(B387="",D387=""),"",D387-B387)</f>
        <v/>
      </c>
      <c r="AJ387" s="24" t="str">
        <f aca="false">IF(AD387="","",IFERROR((AD387-K387)*IF(F387="Sell",-1,1)/IF(ISNUMBER(SEARCH("JPY",E387)),0.01,IF(ISNUMBER(SEARCH("XAU",E387)),0.01,IF(OR(ISNUMBER(SEARCH("30",E387)),ISNUMBER(SEARCH("500",E387)),ISNUMBER(SEARCH("100",E387))),1,0.0001))),0))</f>
        <v/>
      </c>
      <c r="AK387" s="12"/>
      <c r="AL387" s="12"/>
      <c r="AM387" s="12"/>
      <c r="AN387" s="12"/>
      <c r="AO387" s="27" t="str">
        <f aca="false">IF(AE387="","",IFERROR(IF(AO386="",SETTINGS!$B$6,AO386),SETTINGS!$B$6)+IF(AE387="",0,AE387))</f>
        <v/>
      </c>
      <c r="AP387" s="2"/>
    </row>
    <row r="388" customFormat="false" ht="15" hidden="false" customHeight="false" outlineLevel="0" collapsed="false">
      <c r="A388" s="24" t="str">
        <f aca="false">IF(B388="","",ROW()-3)</f>
        <v/>
      </c>
      <c r="B388" s="25"/>
      <c r="C388" s="10"/>
      <c r="D388" s="25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26"/>
      <c r="P388" s="24" t="str">
        <f aca="false">IF(K388="","",IFERROR(ABS(K388-L388)/IF(ISNUMBER(SEARCH("JPY",E388)),0.01,IF(ISNUMBER(SEARCH("XAU",E388)),0.01,IF(OR(ISNUMBER(SEARCH("30",E388)),ISNUMBER(SEARCH("500",E388)),ISNUMBER(SEARCH("100",E388))),1,0.0001))),0))</f>
        <v/>
      </c>
      <c r="Q388" s="27" t="str">
        <f aca="false">IF(K388="","",SETTINGS!$B$6*O388)</f>
        <v/>
      </c>
      <c r="R388" s="24" t="str">
        <f aca="false">IF(K388="","",IFERROR(Q388/(P388*IF(ISNUMBER(SEARCH("JPY",E388)),9.09,IF(ISNUMBER(SEARCH("XAU",E388)),1,IF(OR(ISNUMBER(SEARCH("30",E388)),ISNUMBER(SEARCH("500",E388)),ISNUMBER(SEARCH("100",E388))),1,10)))),0))</f>
        <v/>
      </c>
      <c r="S388" s="10"/>
      <c r="T388" s="28"/>
      <c r="U388" s="27" t="str">
        <f aca="false">IF(OR(S388="",T388=0),"",IFERROR((S388-K388)*IF(F388="Sell",-1,1)*R388*T388*IF(ISNUMBER(SEARCH("JPY",E388)),1000,IF(ISNUMBER(SEARCH("XAU",E388)),100,IF(OR(ISNUMBER(SEARCH("30",E388)),ISNUMBER(SEARCH("500",E388)),ISNUMBER(SEARCH("100",E388))),100,100000))),0))</f>
        <v/>
      </c>
      <c r="V388" s="10"/>
      <c r="W388" s="28"/>
      <c r="X388" s="27" t="str">
        <f aca="false">IF(OR(V388="",W388=0),"",IFERROR((V388-K388)*IF(F388="Sell",-1,1)*R388*W388*IF(ISNUMBER(SEARCH("JPY",E388)),1000,IF(ISNUMBER(SEARCH("XAU",E388)),100,IF(OR(ISNUMBER(SEARCH("30",E388)),ISNUMBER(SEARCH("500",E388)),ISNUMBER(SEARCH("100",E388))),100,100000))),0))</f>
        <v/>
      </c>
      <c r="Y388" s="10"/>
      <c r="Z388" s="28"/>
      <c r="AA388" s="27" t="str">
        <f aca="false">IF(OR(Y388="",Z388=0),"",IFERROR((Y388-K388)*IF(F388="Sell",-1,1)*R388*Z388*IF(ISNUMBER(SEARCH("JPY",E388)),1000,IF(ISNUMBER(SEARCH("XAU",E388)),100,IF(OR(ISNUMBER(SEARCH("30",E388)),ISNUMBER(SEARCH("500",E388)),ISNUMBER(SEARCH("100",E388))),100,100000))),0))</f>
        <v/>
      </c>
      <c r="AB388" s="10"/>
      <c r="AC388" s="29" t="str">
        <f aca="false">IF(K388="","",1-IFERROR(T388,0)-IFERROR(W388,0)-IFERROR(Z388,0))</f>
        <v/>
      </c>
      <c r="AD388" s="30" t="str">
        <f aca="false">IF(AB388="","",IFERROR((IFERROR(S388*T388,0)+IFERROR(V388*W388,0)+IFERROR(Y388*Z388,0)+AB388*AC388)/(IFERROR(T388,0)+IFERROR(W388,0)+IFERROR(Z388,0)+AC388),AB388))</f>
        <v/>
      </c>
      <c r="AE388" s="27" t="str">
        <f aca="false">IF(AB388="","",IF(U388="",0,U388)+IF(X388="",0,X388)+IF(AA388="",0,AA388)+IFERROR((AB388-K388)*IF(F388="Sell",-1,1)*R388*AC388*IF(ISNUMBER(SEARCH("JPY",E388)),1000,IF(ISNUMBER(SEARCH("XAU",E388)),100,IF(OR(ISNUMBER(SEARCH("30",E388)),ISNUMBER(SEARCH("500",E388)),ISNUMBER(SEARCH("100",E388))),100,100000))),0))</f>
        <v/>
      </c>
      <c r="AF388" s="31" t="str">
        <f aca="false">IF(OR(K388="",M388="",L388=""),"",IFERROR(ABS(M388-K388)/ABS(K388-L388),0))</f>
        <v/>
      </c>
      <c r="AG388" s="31" t="str">
        <f aca="false">IF(OR(AE388="",AE388=0,Q388=0,Q388=""),"",IFERROR(AE388/Q388,0))</f>
        <v/>
      </c>
      <c r="AH388" s="32" t="str">
        <f aca="false">IF(AB388="","Open",IF(AG388="","Open",IF(AG388&gt;0.1,"Win",IF(AG388&lt;-0.1,"Loss","Breakeven"))))</f>
        <v>Open</v>
      </c>
      <c r="AI388" s="33" t="str">
        <f aca="false">IF(OR(B388="",D388=""),"",D388-B388)</f>
        <v/>
      </c>
      <c r="AJ388" s="24" t="str">
        <f aca="false">IF(AD388="","",IFERROR((AD388-K388)*IF(F388="Sell",-1,1)/IF(ISNUMBER(SEARCH("JPY",E388)),0.01,IF(ISNUMBER(SEARCH("XAU",E388)),0.01,IF(OR(ISNUMBER(SEARCH("30",E388)),ISNUMBER(SEARCH("500",E388)),ISNUMBER(SEARCH("100",E388))),1,0.0001))),0))</f>
        <v/>
      </c>
      <c r="AK388" s="10"/>
      <c r="AL388" s="10"/>
      <c r="AM388" s="10"/>
      <c r="AN388" s="10"/>
      <c r="AO388" s="27" t="str">
        <f aca="false">IF(AE388="","",IFERROR(IF(AO387="",SETTINGS!$B$6,AO387),SETTINGS!$B$6)+IF(AE388="",0,AE388))</f>
        <v/>
      </c>
      <c r="AP388" s="2"/>
    </row>
    <row r="389" customFormat="false" ht="15" hidden="false" customHeight="false" outlineLevel="0" collapsed="false">
      <c r="A389" s="24" t="str">
        <f aca="false">IF(B389="","",ROW()-3)</f>
        <v/>
      </c>
      <c r="B389" s="34"/>
      <c r="C389" s="12"/>
      <c r="D389" s="34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35"/>
      <c r="P389" s="24" t="str">
        <f aca="false">IF(K389="","",IFERROR(ABS(K389-L389)/IF(ISNUMBER(SEARCH("JPY",E389)),0.01,IF(ISNUMBER(SEARCH("XAU",E389)),0.01,IF(OR(ISNUMBER(SEARCH("30",E389)),ISNUMBER(SEARCH("500",E389)),ISNUMBER(SEARCH("100",E389))),1,0.0001))),0))</f>
        <v/>
      </c>
      <c r="Q389" s="27" t="str">
        <f aca="false">IF(K389="","",SETTINGS!$B$6*O389)</f>
        <v/>
      </c>
      <c r="R389" s="24" t="str">
        <f aca="false">IF(K389="","",IFERROR(Q389/(P389*IF(ISNUMBER(SEARCH("JPY",E389)),9.09,IF(ISNUMBER(SEARCH("XAU",E389)),1,IF(OR(ISNUMBER(SEARCH("30",E389)),ISNUMBER(SEARCH("500",E389)),ISNUMBER(SEARCH("100",E389))),1,10)))),0))</f>
        <v/>
      </c>
      <c r="S389" s="12"/>
      <c r="T389" s="36"/>
      <c r="U389" s="27" t="str">
        <f aca="false">IF(OR(S389="",T389=0),"",IFERROR((S389-K389)*IF(F389="Sell",-1,1)*R389*T389*IF(ISNUMBER(SEARCH("JPY",E389)),1000,IF(ISNUMBER(SEARCH("XAU",E389)),100,IF(OR(ISNUMBER(SEARCH("30",E389)),ISNUMBER(SEARCH("500",E389)),ISNUMBER(SEARCH("100",E389))),100,100000))),0))</f>
        <v/>
      </c>
      <c r="V389" s="12"/>
      <c r="W389" s="36"/>
      <c r="X389" s="27" t="str">
        <f aca="false">IF(OR(V389="",W389=0),"",IFERROR((V389-K389)*IF(F389="Sell",-1,1)*R389*W389*IF(ISNUMBER(SEARCH("JPY",E389)),1000,IF(ISNUMBER(SEARCH("XAU",E389)),100,IF(OR(ISNUMBER(SEARCH("30",E389)),ISNUMBER(SEARCH("500",E389)),ISNUMBER(SEARCH("100",E389))),100,100000))),0))</f>
        <v/>
      </c>
      <c r="Y389" s="12"/>
      <c r="Z389" s="36"/>
      <c r="AA389" s="27" t="str">
        <f aca="false">IF(OR(Y389="",Z389=0),"",IFERROR((Y389-K389)*IF(F389="Sell",-1,1)*R389*Z389*IF(ISNUMBER(SEARCH("JPY",E389)),1000,IF(ISNUMBER(SEARCH("XAU",E389)),100,IF(OR(ISNUMBER(SEARCH("30",E389)),ISNUMBER(SEARCH("500",E389)),ISNUMBER(SEARCH("100",E389))),100,100000))),0))</f>
        <v/>
      </c>
      <c r="AB389" s="12"/>
      <c r="AC389" s="29" t="str">
        <f aca="false">IF(K389="","",1-IFERROR(T389,0)-IFERROR(W389,0)-IFERROR(Z389,0))</f>
        <v/>
      </c>
      <c r="AD389" s="30" t="str">
        <f aca="false">IF(AB389="","",IFERROR((IFERROR(S389*T389,0)+IFERROR(V389*W389,0)+IFERROR(Y389*Z389,0)+AB389*AC389)/(IFERROR(T389,0)+IFERROR(W389,0)+IFERROR(Z389,0)+AC389),AB389))</f>
        <v/>
      </c>
      <c r="AE389" s="27" t="str">
        <f aca="false">IF(AB389="","",IF(U389="",0,U389)+IF(X389="",0,X389)+IF(AA389="",0,AA389)+IFERROR((AB389-K389)*IF(F389="Sell",-1,1)*R389*AC389*IF(ISNUMBER(SEARCH("JPY",E389)),1000,IF(ISNUMBER(SEARCH("XAU",E389)),100,IF(OR(ISNUMBER(SEARCH("30",E389)),ISNUMBER(SEARCH("500",E389)),ISNUMBER(SEARCH("100",E389))),100,100000))),0))</f>
        <v/>
      </c>
      <c r="AF389" s="31" t="str">
        <f aca="false">IF(OR(K389="",M389="",L389=""),"",IFERROR(ABS(M389-K389)/ABS(K389-L389),0))</f>
        <v/>
      </c>
      <c r="AG389" s="31" t="str">
        <f aca="false">IF(OR(AE389="",AE389=0,Q389=0,Q389=""),"",IFERROR(AE389/Q389,0))</f>
        <v/>
      </c>
      <c r="AH389" s="32" t="str">
        <f aca="false">IF(AB389="","Open",IF(AG389="","Open",IF(AG389&gt;0.1,"Win",IF(AG389&lt;-0.1,"Loss","Breakeven"))))</f>
        <v>Open</v>
      </c>
      <c r="AI389" s="33" t="str">
        <f aca="false">IF(OR(B389="",D389=""),"",D389-B389)</f>
        <v/>
      </c>
      <c r="AJ389" s="24" t="str">
        <f aca="false">IF(AD389="","",IFERROR((AD389-K389)*IF(F389="Sell",-1,1)/IF(ISNUMBER(SEARCH("JPY",E389)),0.01,IF(ISNUMBER(SEARCH("XAU",E389)),0.01,IF(OR(ISNUMBER(SEARCH("30",E389)),ISNUMBER(SEARCH("500",E389)),ISNUMBER(SEARCH("100",E389))),1,0.0001))),0))</f>
        <v/>
      </c>
      <c r="AK389" s="12"/>
      <c r="AL389" s="12"/>
      <c r="AM389" s="12"/>
      <c r="AN389" s="12"/>
      <c r="AO389" s="27" t="str">
        <f aca="false">IF(AE389="","",IFERROR(IF(AO388="",SETTINGS!$B$6,AO388),SETTINGS!$B$6)+IF(AE389="",0,AE389))</f>
        <v/>
      </c>
      <c r="AP389" s="2"/>
    </row>
    <row r="390" customFormat="false" ht="15" hidden="false" customHeight="false" outlineLevel="0" collapsed="false">
      <c r="A390" s="24" t="str">
        <f aca="false">IF(B390="","",ROW()-3)</f>
        <v/>
      </c>
      <c r="B390" s="25"/>
      <c r="C390" s="10"/>
      <c r="D390" s="25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26"/>
      <c r="P390" s="24" t="str">
        <f aca="false">IF(K390="","",IFERROR(ABS(K390-L390)/IF(ISNUMBER(SEARCH("JPY",E390)),0.01,IF(ISNUMBER(SEARCH("XAU",E390)),0.01,IF(OR(ISNUMBER(SEARCH("30",E390)),ISNUMBER(SEARCH("500",E390)),ISNUMBER(SEARCH("100",E390))),1,0.0001))),0))</f>
        <v/>
      </c>
      <c r="Q390" s="27" t="str">
        <f aca="false">IF(K390="","",SETTINGS!$B$6*O390)</f>
        <v/>
      </c>
      <c r="R390" s="24" t="str">
        <f aca="false">IF(K390="","",IFERROR(Q390/(P390*IF(ISNUMBER(SEARCH("JPY",E390)),9.09,IF(ISNUMBER(SEARCH("XAU",E390)),1,IF(OR(ISNUMBER(SEARCH("30",E390)),ISNUMBER(SEARCH("500",E390)),ISNUMBER(SEARCH("100",E390))),1,10)))),0))</f>
        <v/>
      </c>
      <c r="S390" s="10"/>
      <c r="T390" s="28"/>
      <c r="U390" s="27" t="str">
        <f aca="false">IF(OR(S390="",T390=0),"",IFERROR((S390-K390)*IF(F390="Sell",-1,1)*R390*T390*IF(ISNUMBER(SEARCH("JPY",E390)),1000,IF(ISNUMBER(SEARCH("XAU",E390)),100,IF(OR(ISNUMBER(SEARCH("30",E390)),ISNUMBER(SEARCH("500",E390)),ISNUMBER(SEARCH("100",E390))),100,100000))),0))</f>
        <v/>
      </c>
      <c r="V390" s="10"/>
      <c r="W390" s="28"/>
      <c r="X390" s="27" t="str">
        <f aca="false">IF(OR(V390="",W390=0),"",IFERROR((V390-K390)*IF(F390="Sell",-1,1)*R390*W390*IF(ISNUMBER(SEARCH("JPY",E390)),1000,IF(ISNUMBER(SEARCH("XAU",E390)),100,IF(OR(ISNUMBER(SEARCH("30",E390)),ISNUMBER(SEARCH("500",E390)),ISNUMBER(SEARCH("100",E390))),100,100000))),0))</f>
        <v/>
      </c>
      <c r="Y390" s="10"/>
      <c r="Z390" s="28"/>
      <c r="AA390" s="27" t="str">
        <f aca="false">IF(OR(Y390="",Z390=0),"",IFERROR((Y390-K390)*IF(F390="Sell",-1,1)*R390*Z390*IF(ISNUMBER(SEARCH("JPY",E390)),1000,IF(ISNUMBER(SEARCH("XAU",E390)),100,IF(OR(ISNUMBER(SEARCH("30",E390)),ISNUMBER(SEARCH("500",E390)),ISNUMBER(SEARCH("100",E390))),100,100000))),0))</f>
        <v/>
      </c>
      <c r="AB390" s="10"/>
      <c r="AC390" s="29" t="str">
        <f aca="false">IF(K390="","",1-IFERROR(T390,0)-IFERROR(W390,0)-IFERROR(Z390,0))</f>
        <v/>
      </c>
      <c r="AD390" s="30" t="str">
        <f aca="false">IF(AB390="","",IFERROR((IFERROR(S390*T390,0)+IFERROR(V390*W390,0)+IFERROR(Y390*Z390,0)+AB390*AC390)/(IFERROR(T390,0)+IFERROR(W390,0)+IFERROR(Z390,0)+AC390),AB390))</f>
        <v/>
      </c>
      <c r="AE390" s="27" t="str">
        <f aca="false">IF(AB390="","",IF(U390="",0,U390)+IF(X390="",0,X390)+IF(AA390="",0,AA390)+IFERROR((AB390-K390)*IF(F390="Sell",-1,1)*R390*AC390*IF(ISNUMBER(SEARCH("JPY",E390)),1000,IF(ISNUMBER(SEARCH("XAU",E390)),100,IF(OR(ISNUMBER(SEARCH("30",E390)),ISNUMBER(SEARCH("500",E390)),ISNUMBER(SEARCH("100",E390))),100,100000))),0))</f>
        <v/>
      </c>
      <c r="AF390" s="31" t="str">
        <f aca="false">IF(OR(K390="",M390="",L390=""),"",IFERROR(ABS(M390-K390)/ABS(K390-L390),0))</f>
        <v/>
      </c>
      <c r="AG390" s="31" t="str">
        <f aca="false">IF(OR(AE390="",AE390=0,Q390=0,Q390=""),"",IFERROR(AE390/Q390,0))</f>
        <v/>
      </c>
      <c r="AH390" s="32" t="str">
        <f aca="false">IF(AB390="","Open",IF(AG390="","Open",IF(AG390&gt;0.1,"Win",IF(AG390&lt;-0.1,"Loss","Breakeven"))))</f>
        <v>Open</v>
      </c>
      <c r="AI390" s="33" t="str">
        <f aca="false">IF(OR(B390="",D390=""),"",D390-B390)</f>
        <v/>
      </c>
      <c r="AJ390" s="24" t="str">
        <f aca="false">IF(AD390="","",IFERROR((AD390-K390)*IF(F390="Sell",-1,1)/IF(ISNUMBER(SEARCH("JPY",E390)),0.01,IF(ISNUMBER(SEARCH("XAU",E390)),0.01,IF(OR(ISNUMBER(SEARCH("30",E390)),ISNUMBER(SEARCH("500",E390)),ISNUMBER(SEARCH("100",E390))),1,0.0001))),0))</f>
        <v/>
      </c>
      <c r="AK390" s="10"/>
      <c r="AL390" s="10"/>
      <c r="AM390" s="10"/>
      <c r="AN390" s="10"/>
      <c r="AO390" s="27" t="str">
        <f aca="false">IF(AE390="","",IFERROR(IF(AO389="",SETTINGS!$B$6,AO389),SETTINGS!$B$6)+IF(AE390="",0,AE390))</f>
        <v/>
      </c>
      <c r="AP390" s="2"/>
    </row>
    <row r="391" customFormat="false" ht="15" hidden="false" customHeight="false" outlineLevel="0" collapsed="false">
      <c r="A391" s="24" t="str">
        <f aca="false">IF(B391="","",ROW()-3)</f>
        <v/>
      </c>
      <c r="B391" s="34"/>
      <c r="C391" s="12"/>
      <c r="D391" s="34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35"/>
      <c r="P391" s="24" t="str">
        <f aca="false">IF(K391="","",IFERROR(ABS(K391-L391)/IF(ISNUMBER(SEARCH("JPY",E391)),0.01,IF(ISNUMBER(SEARCH("XAU",E391)),0.01,IF(OR(ISNUMBER(SEARCH("30",E391)),ISNUMBER(SEARCH("500",E391)),ISNUMBER(SEARCH("100",E391))),1,0.0001))),0))</f>
        <v/>
      </c>
      <c r="Q391" s="27" t="str">
        <f aca="false">IF(K391="","",SETTINGS!$B$6*O391)</f>
        <v/>
      </c>
      <c r="R391" s="24" t="str">
        <f aca="false">IF(K391="","",IFERROR(Q391/(P391*IF(ISNUMBER(SEARCH("JPY",E391)),9.09,IF(ISNUMBER(SEARCH("XAU",E391)),1,IF(OR(ISNUMBER(SEARCH("30",E391)),ISNUMBER(SEARCH("500",E391)),ISNUMBER(SEARCH("100",E391))),1,10)))),0))</f>
        <v/>
      </c>
      <c r="S391" s="12"/>
      <c r="T391" s="36"/>
      <c r="U391" s="27" t="str">
        <f aca="false">IF(OR(S391="",T391=0),"",IFERROR((S391-K391)*IF(F391="Sell",-1,1)*R391*T391*IF(ISNUMBER(SEARCH("JPY",E391)),1000,IF(ISNUMBER(SEARCH("XAU",E391)),100,IF(OR(ISNUMBER(SEARCH("30",E391)),ISNUMBER(SEARCH("500",E391)),ISNUMBER(SEARCH("100",E391))),100,100000))),0))</f>
        <v/>
      </c>
      <c r="V391" s="12"/>
      <c r="W391" s="36"/>
      <c r="X391" s="27" t="str">
        <f aca="false">IF(OR(V391="",W391=0),"",IFERROR((V391-K391)*IF(F391="Sell",-1,1)*R391*W391*IF(ISNUMBER(SEARCH("JPY",E391)),1000,IF(ISNUMBER(SEARCH("XAU",E391)),100,IF(OR(ISNUMBER(SEARCH("30",E391)),ISNUMBER(SEARCH("500",E391)),ISNUMBER(SEARCH("100",E391))),100,100000))),0))</f>
        <v/>
      </c>
      <c r="Y391" s="12"/>
      <c r="Z391" s="36"/>
      <c r="AA391" s="27" t="str">
        <f aca="false">IF(OR(Y391="",Z391=0),"",IFERROR((Y391-K391)*IF(F391="Sell",-1,1)*R391*Z391*IF(ISNUMBER(SEARCH("JPY",E391)),1000,IF(ISNUMBER(SEARCH("XAU",E391)),100,IF(OR(ISNUMBER(SEARCH("30",E391)),ISNUMBER(SEARCH("500",E391)),ISNUMBER(SEARCH("100",E391))),100,100000))),0))</f>
        <v/>
      </c>
      <c r="AB391" s="12"/>
      <c r="AC391" s="29" t="str">
        <f aca="false">IF(K391="","",1-IFERROR(T391,0)-IFERROR(W391,0)-IFERROR(Z391,0))</f>
        <v/>
      </c>
      <c r="AD391" s="30" t="str">
        <f aca="false">IF(AB391="","",IFERROR((IFERROR(S391*T391,0)+IFERROR(V391*W391,0)+IFERROR(Y391*Z391,0)+AB391*AC391)/(IFERROR(T391,0)+IFERROR(W391,0)+IFERROR(Z391,0)+AC391),AB391))</f>
        <v/>
      </c>
      <c r="AE391" s="27" t="str">
        <f aca="false">IF(AB391="","",IF(U391="",0,U391)+IF(X391="",0,X391)+IF(AA391="",0,AA391)+IFERROR((AB391-K391)*IF(F391="Sell",-1,1)*R391*AC391*IF(ISNUMBER(SEARCH("JPY",E391)),1000,IF(ISNUMBER(SEARCH("XAU",E391)),100,IF(OR(ISNUMBER(SEARCH("30",E391)),ISNUMBER(SEARCH("500",E391)),ISNUMBER(SEARCH("100",E391))),100,100000))),0))</f>
        <v/>
      </c>
      <c r="AF391" s="31" t="str">
        <f aca="false">IF(OR(K391="",M391="",L391=""),"",IFERROR(ABS(M391-K391)/ABS(K391-L391),0))</f>
        <v/>
      </c>
      <c r="AG391" s="31" t="str">
        <f aca="false">IF(OR(AE391="",AE391=0,Q391=0,Q391=""),"",IFERROR(AE391/Q391,0))</f>
        <v/>
      </c>
      <c r="AH391" s="32" t="str">
        <f aca="false">IF(AB391="","Open",IF(AG391="","Open",IF(AG391&gt;0.1,"Win",IF(AG391&lt;-0.1,"Loss","Breakeven"))))</f>
        <v>Open</v>
      </c>
      <c r="AI391" s="33" t="str">
        <f aca="false">IF(OR(B391="",D391=""),"",D391-B391)</f>
        <v/>
      </c>
      <c r="AJ391" s="24" t="str">
        <f aca="false">IF(AD391="","",IFERROR((AD391-K391)*IF(F391="Sell",-1,1)/IF(ISNUMBER(SEARCH("JPY",E391)),0.01,IF(ISNUMBER(SEARCH("XAU",E391)),0.01,IF(OR(ISNUMBER(SEARCH("30",E391)),ISNUMBER(SEARCH("500",E391)),ISNUMBER(SEARCH("100",E391))),1,0.0001))),0))</f>
        <v/>
      </c>
      <c r="AK391" s="12"/>
      <c r="AL391" s="12"/>
      <c r="AM391" s="12"/>
      <c r="AN391" s="12"/>
      <c r="AO391" s="27" t="str">
        <f aca="false">IF(AE391="","",IFERROR(IF(AO390="",SETTINGS!$B$6,AO390),SETTINGS!$B$6)+IF(AE391="",0,AE391))</f>
        <v/>
      </c>
      <c r="AP391" s="2"/>
    </row>
    <row r="392" customFormat="false" ht="15" hidden="false" customHeight="false" outlineLevel="0" collapsed="false">
      <c r="A392" s="24" t="str">
        <f aca="false">IF(B392="","",ROW()-3)</f>
        <v/>
      </c>
      <c r="B392" s="25"/>
      <c r="C392" s="10"/>
      <c r="D392" s="25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26"/>
      <c r="P392" s="24" t="str">
        <f aca="false">IF(K392="","",IFERROR(ABS(K392-L392)/IF(ISNUMBER(SEARCH("JPY",E392)),0.01,IF(ISNUMBER(SEARCH("XAU",E392)),0.01,IF(OR(ISNUMBER(SEARCH("30",E392)),ISNUMBER(SEARCH("500",E392)),ISNUMBER(SEARCH("100",E392))),1,0.0001))),0))</f>
        <v/>
      </c>
      <c r="Q392" s="27" t="str">
        <f aca="false">IF(K392="","",SETTINGS!$B$6*O392)</f>
        <v/>
      </c>
      <c r="R392" s="24" t="str">
        <f aca="false">IF(K392="","",IFERROR(Q392/(P392*IF(ISNUMBER(SEARCH("JPY",E392)),9.09,IF(ISNUMBER(SEARCH("XAU",E392)),1,IF(OR(ISNUMBER(SEARCH("30",E392)),ISNUMBER(SEARCH("500",E392)),ISNUMBER(SEARCH("100",E392))),1,10)))),0))</f>
        <v/>
      </c>
      <c r="S392" s="10"/>
      <c r="T392" s="28"/>
      <c r="U392" s="27" t="str">
        <f aca="false">IF(OR(S392="",T392=0),"",IFERROR((S392-K392)*IF(F392="Sell",-1,1)*R392*T392*IF(ISNUMBER(SEARCH("JPY",E392)),1000,IF(ISNUMBER(SEARCH("XAU",E392)),100,IF(OR(ISNUMBER(SEARCH("30",E392)),ISNUMBER(SEARCH("500",E392)),ISNUMBER(SEARCH("100",E392))),100,100000))),0))</f>
        <v/>
      </c>
      <c r="V392" s="10"/>
      <c r="W392" s="28"/>
      <c r="X392" s="27" t="str">
        <f aca="false">IF(OR(V392="",W392=0),"",IFERROR((V392-K392)*IF(F392="Sell",-1,1)*R392*W392*IF(ISNUMBER(SEARCH("JPY",E392)),1000,IF(ISNUMBER(SEARCH("XAU",E392)),100,IF(OR(ISNUMBER(SEARCH("30",E392)),ISNUMBER(SEARCH("500",E392)),ISNUMBER(SEARCH("100",E392))),100,100000))),0))</f>
        <v/>
      </c>
      <c r="Y392" s="10"/>
      <c r="Z392" s="28"/>
      <c r="AA392" s="27" t="str">
        <f aca="false">IF(OR(Y392="",Z392=0),"",IFERROR((Y392-K392)*IF(F392="Sell",-1,1)*R392*Z392*IF(ISNUMBER(SEARCH("JPY",E392)),1000,IF(ISNUMBER(SEARCH("XAU",E392)),100,IF(OR(ISNUMBER(SEARCH("30",E392)),ISNUMBER(SEARCH("500",E392)),ISNUMBER(SEARCH("100",E392))),100,100000))),0))</f>
        <v/>
      </c>
      <c r="AB392" s="10"/>
      <c r="AC392" s="29" t="str">
        <f aca="false">IF(K392="","",1-IFERROR(T392,0)-IFERROR(W392,0)-IFERROR(Z392,0))</f>
        <v/>
      </c>
      <c r="AD392" s="30" t="str">
        <f aca="false">IF(AB392="","",IFERROR((IFERROR(S392*T392,0)+IFERROR(V392*W392,0)+IFERROR(Y392*Z392,0)+AB392*AC392)/(IFERROR(T392,0)+IFERROR(W392,0)+IFERROR(Z392,0)+AC392),AB392))</f>
        <v/>
      </c>
      <c r="AE392" s="27" t="str">
        <f aca="false">IF(AB392="","",IF(U392="",0,U392)+IF(X392="",0,X392)+IF(AA392="",0,AA392)+IFERROR((AB392-K392)*IF(F392="Sell",-1,1)*R392*AC392*IF(ISNUMBER(SEARCH("JPY",E392)),1000,IF(ISNUMBER(SEARCH("XAU",E392)),100,IF(OR(ISNUMBER(SEARCH("30",E392)),ISNUMBER(SEARCH("500",E392)),ISNUMBER(SEARCH("100",E392))),100,100000))),0))</f>
        <v/>
      </c>
      <c r="AF392" s="31" t="str">
        <f aca="false">IF(OR(K392="",M392="",L392=""),"",IFERROR(ABS(M392-K392)/ABS(K392-L392),0))</f>
        <v/>
      </c>
      <c r="AG392" s="31" t="str">
        <f aca="false">IF(OR(AE392="",AE392=0,Q392=0,Q392=""),"",IFERROR(AE392/Q392,0))</f>
        <v/>
      </c>
      <c r="AH392" s="32" t="str">
        <f aca="false">IF(AB392="","Open",IF(AG392="","Open",IF(AG392&gt;0.1,"Win",IF(AG392&lt;-0.1,"Loss","Breakeven"))))</f>
        <v>Open</v>
      </c>
      <c r="AI392" s="33" t="str">
        <f aca="false">IF(OR(B392="",D392=""),"",D392-B392)</f>
        <v/>
      </c>
      <c r="AJ392" s="24" t="str">
        <f aca="false">IF(AD392="","",IFERROR((AD392-K392)*IF(F392="Sell",-1,1)/IF(ISNUMBER(SEARCH("JPY",E392)),0.01,IF(ISNUMBER(SEARCH("XAU",E392)),0.01,IF(OR(ISNUMBER(SEARCH("30",E392)),ISNUMBER(SEARCH("500",E392)),ISNUMBER(SEARCH("100",E392))),1,0.0001))),0))</f>
        <v/>
      </c>
      <c r="AK392" s="10"/>
      <c r="AL392" s="10"/>
      <c r="AM392" s="10"/>
      <c r="AN392" s="10"/>
      <c r="AO392" s="27" t="str">
        <f aca="false">IF(AE392="","",IFERROR(IF(AO391="",SETTINGS!$B$6,AO391),SETTINGS!$B$6)+IF(AE392="",0,AE392))</f>
        <v/>
      </c>
      <c r="AP392" s="2"/>
    </row>
    <row r="393" customFormat="false" ht="15" hidden="false" customHeight="false" outlineLevel="0" collapsed="false">
      <c r="A393" s="24" t="str">
        <f aca="false">IF(B393="","",ROW()-3)</f>
        <v/>
      </c>
      <c r="B393" s="34"/>
      <c r="C393" s="12"/>
      <c r="D393" s="34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35"/>
      <c r="P393" s="24" t="str">
        <f aca="false">IF(K393="","",IFERROR(ABS(K393-L393)/IF(ISNUMBER(SEARCH("JPY",E393)),0.01,IF(ISNUMBER(SEARCH("XAU",E393)),0.01,IF(OR(ISNUMBER(SEARCH("30",E393)),ISNUMBER(SEARCH("500",E393)),ISNUMBER(SEARCH("100",E393))),1,0.0001))),0))</f>
        <v/>
      </c>
      <c r="Q393" s="27" t="str">
        <f aca="false">IF(K393="","",SETTINGS!$B$6*O393)</f>
        <v/>
      </c>
      <c r="R393" s="24" t="str">
        <f aca="false">IF(K393="","",IFERROR(Q393/(P393*IF(ISNUMBER(SEARCH("JPY",E393)),9.09,IF(ISNUMBER(SEARCH("XAU",E393)),1,IF(OR(ISNUMBER(SEARCH("30",E393)),ISNUMBER(SEARCH("500",E393)),ISNUMBER(SEARCH("100",E393))),1,10)))),0))</f>
        <v/>
      </c>
      <c r="S393" s="12"/>
      <c r="T393" s="36"/>
      <c r="U393" s="27" t="str">
        <f aca="false">IF(OR(S393="",T393=0),"",IFERROR((S393-K393)*IF(F393="Sell",-1,1)*R393*T393*IF(ISNUMBER(SEARCH("JPY",E393)),1000,IF(ISNUMBER(SEARCH("XAU",E393)),100,IF(OR(ISNUMBER(SEARCH("30",E393)),ISNUMBER(SEARCH("500",E393)),ISNUMBER(SEARCH("100",E393))),100,100000))),0))</f>
        <v/>
      </c>
      <c r="V393" s="12"/>
      <c r="W393" s="36"/>
      <c r="X393" s="27" t="str">
        <f aca="false">IF(OR(V393="",W393=0),"",IFERROR((V393-K393)*IF(F393="Sell",-1,1)*R393*W393*IF(ISNUMBER(SEARCH("JPY",E393)),1000,IF(ISNUMBER(SEARCH("XAU",E393)),100,IF(OR(ISNUMBER(SEARCH("30",E393)),ISNUMBER(SEARCH("500",E393)),ISNUMBER(SEARCH("100",E393))),100,100000))),0))</f>
        <v/>
      </c>
      <c r="Y393" s="12"/>
      <c r="Z393" s="36"/>
      <c r="AA393" s="27" t="str">
        <f aca="false">IF(OR(Y393="",Z393=0),"",IFERROR((Y393-K393)*IF(F393="Sell",-1,1)*R393*Z393*IF(ISNUMBER(SEARCH("JPY",E393)),1000,IF(ISNUMBER(SEARCH("XAU",E393)),100,IF(OR(ISNUMBER(SEARCH("30",E393)),ISNUMBER(SEARCH("500",E393)),ISNUMBER(SEARCH("100",E393))),100,100000))),0))</f>
        <v/>
      </c>
      <c r="AB393" s="12"/>
      <c r="AC393" s="29" t="str">
        <f aca="false">IF(K393="","",1-IFERROR(T393,0)-IFERROR(W393,0)-IFERROR(Z393,0))</f>
        <v/>
      </c>
      <c r="AD393" s="30" t="str">
        <f aca="false">IF(AB393="","",IFERROR((IFERROR(S393*T393,0)+IFERROR(V393*W393,0)+IFERROR(Y393*Z393,0)+AB393*AC393)/(IFERROR(T393,0)+IFERROR(W393,0)+IFERROR(Z393,0)+AC393),AB393))</f>
        <v/>
      </c>
      <c r="AE393" s="27" t="str">
        <f aca="false">IF(AB393="","",IF(U393="",0,U393)+IF(X393="",0,X393)+IF(AA393="",0,AA393)+IFERROR((AB393-K393)*IF(F393="Sell",-1,1)*R393*AC393*IF(ISNUMBER(SEARCH("JPY",E393)),1000,IF(ISNUMBER(SEARCH("XAU",E393)),100,IF(OR(ISNUMBER(SEARCH("30",E393)),ISNUMBER(SEARCH("500",E393)),ISNUMBER(SEARCH("100",E393))),100,100000))),0))</f>
        <v/>
      </c>
      <c r="AF393" s="31" t="str">
        <f aca="false">IF(OR(K393="",M393="",L393=""),"",IFERROR(ABS(M393-K393)/ABS(K393-L393),0))</f>
        <v/>
      </c>
      <c r="AG393" s="31" t="str">
        <f aca="false">IF(OR(AE393="",AE393=0,Q393=0,Q393=""),"",IFERROR(AE393/Q393,0))</f>
        <v/>
      </c>
      <c r="AH393" s="32" t="str">
        <f aca="false">IF(AB393="","Open",IF(AG393="","Open",IF(AG393&gt;0.1,"Win",IF(AG393&lt;-0.1,"Loss","Breakeven"))))</f>
        <v>Open</v>
      </c>
      <c r="AI393" s="33" t="str">
        <f aca="false">IF(OR(B393="",D393=""),"",D393-B393)</f>
        <v/>
      </c>
      <c r="AJ393" s="24" t="str">
        <f aca="false">IF(AD393="","",IFERROR((AD393-K393)*IF(F393="Sell",-1,1)/IF(ISNUMBER(SEARCH("JPY",E393)),0.01,IF(ISNUMBER(SEARCH("XAU",E393)),0.01,IF(OR(ISNUMBER(SEARCH("30",E393)),ISNUMBER(SEARCH("500",E393)),ISNUMBER(SEARCH("100",E393))),1,0.0001))),0))</f>
        <v/>
      </c>
      <c r="AK393" s="12"/>
      <c r="AL393" s="12"/>
      <c r="AM393" s="12"/>
      <c r="AN393" s="12"/>
      <c r="AO393" s="27" t="str">
        <f aca="false">IF(AE393="","",IFERROR(IF(AO392="",SETTINGS!$B$6,AO392),SETTINGS!$B$6)+IF(AE393="",0,AE393))</f>
        <v/>
      </c>
      <c r="AP393" s="2"/>
    </row>
    <row r="394" customFormat="false" ht="15" hidden="false" customHeight="false" outlineLevel="0" collapsed="false">
      <c r="A394" s="24" t="str">
        <f aca="false">IF(B394="","",ROW()-3)</f>
        <v/>
      </c>
      <c r="B394" s="25"/>
      <c r="C394" s="10"/>
      <c r="D394" s="25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26"/>
      <c r="P394" s="24" t="str">
        <f aca="false">IF(K394="","",IFERROR(ABS(K394-L394)/IF(ISNUMBER(SEARCH("JPY",E394)),0.01,IF(ISNUMBER(SEARCH("XAU",E394)),0.01,IF(OR(ISNUMBER(SEARCH("30",E394)),ISNUMBER(SEARCH("500",E394)),ISNUMBER(SEARCH("100",E394))),1,0.0001))),0))</f>
        <v/>
      </c>
      <c r="Q394" s="27" t="str">
        <f aca="false">IF(K394="","",SETTINGS!$B$6*O394)</f>
        <v/>
      </c>
      <c r="R394" s="24" t="str">
        <f aca="false">IF(K394="","",IFERROR(Q394/(P394*IF(ISNUMBER(SEARCH("JPY",E394)),9.09,IF(ISNUMBER(SEARCH("XAU",E394)),1,IF(OR(ISNUMBER(SEARCH("30",E394)),ISNUMBER(SEARCH("500",E394)),ISNUMBER(SEARCH("100",E394))),1,10)))),0))</f>
        <v/>
      </c>
      <c r="S394" s="10"/>
      <c r="T394" s="28"/>
      <c r="U394" s="27" t="str">
        <f aca="false">IF(OR(S394="",T394=0),"",IFERROR((S394-K394)*IF(F394="Sell",-1,1)*R394*T394*IF(ISNUMBER(SEARCH("JPY",E394)),1000,IF(ISNUMBER(SEARCH("XAU",E394)),100,IF(OR(ISNUMBER(SEARCH("30",E394)),ISNUMBER(SEARCH("500",E394)),ISNUMBER(SEARCH("100",E394))),100,100000))),0))</f>
        <v/>
      </c>
      <c r="V394" s="10"/>
      <c r="W394" s="28"/>
      <c r="X394" s="27" t="str">
        <f aca="false">IF(OR(V394="",W394=0),"",IFERROR((V394-K394)*IF(F394="Sell",-1,1)*R394*W394*IF(ISNUMBER(SEARCH("JPY",E394)),1000,IF(ISNUMBER(SEARCH("XAU",E394)),100,IF(OR(ISNUMBER(SEARCH("30",E394)),ISNUMBER(SEARCH("500",E394)),ISNUMBER(SEARCH("100",E394))),100,100000))),0))</f>
        <v/>
      </c>
      <c r="Y394" s="10"/>
      <c r="Z394" s="28"/>
      <c r="AA394" s="27" t="str">
        <f aca="false">IF(OR(Y394="",Z394=0),"",IFERROR((Y394-K394)*IF(F394="Sell",-1,1)*R394*Z394*IF(ISNUMBER(SEARCH("JPY",E394)),1000,IF(ISNUMBER(SEARCH("XAU",E394)),100,IF(OR(ISNUMBER(SEARCH("30",E394)),ISNUMBER(SEARCH("500",E394)),ISNUMBER(SEARCH("100",E394))),100,100000))),0))</f>
        <v/>
      </c>
      <c r="AB394" s="10"/>
      <c r="AC394" s="29" t="str">
        <f aca="false">IF(K394="","",1-IFERROR(T394,0)-IFERROR(W394,0)-IFERROR(Z394,0))</f>
        <v/>
      </c>
      <c r="AD394" s="30" t="str">
        <f aca="false">IF(AB394="","",IFERROR((IFERROR(S394*T394,0)+IFERROR(V394*W394,0)+IFERROR(Y394*Z394,0)+AB394*AC394)/(IFERROR(T394,0)+IFERROR(W394,0)+IFERROR(Z394,0)+AC394),AB394))</f>
        <v/>
      </c>
      <c r="AE394" s="27" t="str">
        <f aca="false">IF(AB394="","",IF(U394="",0,U394)+IF(X394="",0,X394)+IF(AA394="",0,AA394)+IFERROR((AB394-K394)*IF(F394="Sell",-1,1)*R394*AC394*IF(ISNUMBER(SEARCH("JPY",E394)),1000,IF(ISNUMBER(SEARCH("XAU",E394)),100,IF(OR(ISNUMBER(SEARCH("30",E394)),ISNUMBER(SEARCH("500",E394)),ISNUMBER(SEARCH("100",E394))),100,100000))),0))</f>
        <v/>
      </c>
      <c r="AF394" s="31" t="str">
        <f aca="false">IF(OR(K394="",M394="",L394=""),"",IFERROR(ABS(M394-K394)/ABS(K394-L394),0))</f>
        <v/>
      </c>
      <c r="AG394" s="31" t="str">
        <f aca="false">IF(OR(AE394="",AE394=0,Q394=0,Q394=""),"",IFERROR(AE394/Q394,0))</f>
        <v/>
      </c>
      <c r="AH394" s="32" t="str">
        <f aca="false">IF(AB394="","Open",IF(AG394="","Open",IF(AG394&gt;0.1,"Win",IF(AG394&lt;-0.1,"Loss","Breakeven"))))</f>
        <v>Open</v>
      </c>
      <c r="AI394" s="33" t="str">
        <f aca="false">IF(OR(B394="",D394=""),"",D394-B394)</f>
        <v/>
      </c>
      <c r="AJ394" s="24" t="str">
        <f aca="false">IF(AD394="","",IFERROR((AD394-K394)*IF(F394="Sell",-1,1)/IF(ISNUMBER(SEARCH("JPY",E394)),0.01,IF(ISNUMBER(SEARCH("XAU",E394)),0.01,IF(OR(ISNUMBER(SEARCH("30",E394)),ISNUMBER(SEARCH("500",E394)),ISNUMBER(SEARCH("100",E394))),1,0.0001))),0))</f>
        <v/>
      </c>
      <c r="AK394" s="10"/>
      <c r="AL394" s="10"/>
      <c r="AM394" s="10"/>
      <c r="AN394" s="10"/>
      <c r="AO394" s="27" t="str">
        <f aca="false">IF(AE394="","",IFERROR(IF(AO393="",SETTINGS!$B$6,AO393),SETTINGS!$B$6)+IF(AE394="",0,AE394))</f>
        <v/>
      </c>
      <c r="AP394" s="2"/>
    </row>
    <row r="395" customFormat="false" ht="15" hidden="false" customHeight="false" outlineLevel="0" collapsed="false">
      <c r="A395" s="24" t="str">
        <f aca="false">IF(B395="","",ROW()-3)</f>
        <v/>
      </c>
      <c r="B395" s="34"/>
      <c r="C395" s="12"/>
      <c r="D395" s="34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35"/>
      <c r="P395" s="24" t="str">
        <f aca="false">IF(K395="","",IFERROR(ABS(K395-L395)/IF(ISNUMBER(SEARCH("JPY",E395)),0.01,IF(ISNUMBER(SEARCH("XAU",E395)),0.01,IF(OR(ISNUMBER(SEARCH("30",E395)),ISNUMBER(SEARCH("500",E395)),ISNUMBER(SEARCH("100",E395))),1,0.0001))),0))</f>
        <v/>
      </c>
      <c r="Q395" s="27" t="str">
        <f aca="false">IF(K395="","",SETTINGS!$B$6*O395)</f>
        <v/>
      </c>
      <c r="R395" s="24" t="str">
        <f aca="false">IF(K395="","",IFERROR(Q395/(P395*IF(ISNUMBER(SEARCH("JPY",E395)),9.09,IF(ISNUMBER(SEARCH("XAU",E395)),1,IF(OR(ISNUMBER(SEARCH("30",E395)),ISNUMBER(SEARCH("500",E395)),ISNUMBER(SEARCH("100",E395))),1,10)))),0))</f>
        <v/>
      </c>
      <c r="S395" s="12"/>
      <c r="T395" s="36"/>
      <c r="U395" s="27" t="str">
        <f aca="false">IF(OR(S395="",T395=0),"",IFERROR((S395-K395)*IF(F395="Sell",-1,1)*R395*T395*IF(ISNUMBER(SEARCH("JPY",E395)),1000,IF(ISNUMBER(SEARCH("XAU",E395)),100,IF(OR(ISNUMBER(SEARCH("30",E395)),ISNUMBER(SEARCH("500",E395)),ISNUMBER(SEARCH("100",E395))),100,100000))),0))</f>
        <v/>
      </c>
      <c r="V395" s="12"/>
      <c r="W395" s="36"/>
      <c r="X395" s="27" t="str">
        <f aca="false">IF(OR(V395="",W395=0),"",IFERROR((V395-K395)*IF(F395="Sell",-1,1)*R395*W395*IF(ISNUMBER(SEARCH("JPY",E395)),1000,IF(ISNUMBER(SEARCH("XAU",E395)),100,IF(OR(ISNUMBER(SEARCH("30",E395)),ISNUMBER(SEARCH("500",E395)),ISNUMBER(SEARCH("100",E395))),100,100000))),0))</f>
        <v/>
      </c>
      <c r="Y395" s="12"/>
      <c r="Z395" s="36"/>
      <c r="AA395" s="27" t="str">
        <f aca="false">IF(OR(Y395="",Z395=0),"",IFERROR((Y395-K395)*IF(F395="Sell",-1,1)*R395*Z395*IF(ISNUMBER(SEARCH("JPY",E395)),1000,IF(ISNUMBER(SEARCH("XAU",E395)),100,IF(OR(ISNUMBER(SEARCH("30",E395)),ISNUMBER(SEARCH("500",E395)),ISNUMBER(SEARCH("100",E395))),100,100000))),0))</f>
        <v/>
      </c>
      <c r="AB395" s="12"/>
      <c r="AC395" s="29" t="str">
        <f aca="false">IF(K395="","",1-IFERROR(T395,0)-IFERROR(W395,0)-IFERROR(Z395,0))</f>
        <v/>
      </c>
      <c r="AD395" s="30" t="str">
        <f aca="false">IF(AB395="","",IFERROR((IFERROR(S395*T395,0)+IFERROR(V395*W395,0)+IFERROR(Y395*Z395,0)+AB395*AC395)/(IFERROR(T395,0)+IFERROR(W395,0)+IFERROR(Z395,0)+AC395),AB395))</f>
        <v/>
      </c>
      <c r="AE395" s="27" t="str">
        <f aca="false">IF(AB395="","",IF(U395="",0,U395)+IF(X395="",0,X395)+IF(AA395="",0,AA395)+IFERROR((AB395-K395)*IF(F395="Sell",-1,1)*R395*AC395*IF(ISNUMBER(SEARCH("JPY",E395)),1000,IF(ISNUMBER(SEARCH("XAU",E395)),100,IF(OR(ISNUMBER(SEARCH("30",E395)),ISNUMBER(SEARCH("500",E395)),ISNUMBER(SEARCH("100",E395))),100,100000))),0))</f>
        <v/>
      </c>
      <c r="AF395" s="31" t="str">
        <f aca="false">IF(OR(K395="",M395="",L395=""),"",IFERROR(ABS(M395-K395)/ABS(K395-L395),0))</f>
        <v/>
      </c>
      <c r="AG395" s="31" t="str">
        <f aca="false">IF(OR(AE395="",AE395=0,Q395=0,Q395=""),"",IFERROR(AE395/Q395,0))</f>
        <v/>
      </c>
      <c r="AH395" s="32" t="str">
        <f aca="false">IF(AB395="","Open",IF(AG395="","Open",IF(AG395&gt;0.1,"Win",IF(AG395&lt;-0.1,"Loss","Breakeven"))))</f>
        <v>Open</v>
      </c>
      <c r="AI395" s="33" t="str">
        <f aca="false">IF(OR(B395="",D395=""),"",D395-B395)</f>
        <v/>
      </c>
      <c r="AJ395" s="24" t="str">
        <f aca="false">IF(AD395="","",IFERROR((AD395-K395)*IF(F395="Sell",-1,1)/IF(ISNUMBER(SEARCH("JPY",E395)),0.01,IF(ISNUMBER(SEARCH("XAU",E395)),0.01,IF(OR(ISNUMBER(SEARCH("30",E395)),ISNUMBER(SEARCH("500",E395)),ISNUMBER(SEARCH("100",E395))),1,0.0001))),0))</f>
        <v/>
      </c>
      <c r="AK395" s="12"/>
      <c r="AL395" s="12"/>
      <c r="AM395" s="12"/>
      <c r="AN395" s="12"/>
      <c r="AO395" s="27" t="str">
        <f aca="false">IF(AE395="","",IFERROR(IF(AO394="",SETTINGS!$B$6,AO394),SETTINGS!$B$6)+IF(AE395="",0,AE395))</f>
        <v/>
      </c>
      <c r="AP395" s="2"/>
    </row>
    <row r="396" customFormat="false" ht="15" hidden="false" customHeight="false" outlineLevel="0" collapsed="false">
      <c r="A396" s="24" t="str">
        <f aca="false">IF(B396="","",ROW()-3)</f>
        <v/>
      </c>
      <c r="B396" s="25"/>
      <c r="C396" s="10"/>
      <c r="D396" s="25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26"/>
      <c r="P396" s="24" t="str">
        <f aca="false">IF(K396="","",IFERROR(ABS(K396-L396)/IF(ISNUMBER(SEARCH("JPY",E396)),0.01,IF(ISNUMBER(SEARCH("XAU",E396)),0.01,IF(OR(ISNUMBER(SEARCH("30",E396)),ISNUMBER(SEARCH("500",E396)),ISNUMBER(SEARCH("100",E396))),1,0.0001))),0))</f>
        <v/>
      </c>
      <c r="Q396" s="27" t="str">
        <f aca="false">IF(K396="","",SETTINGS!$B$6*O396)</f>
        <v/>
      </c>
      <c r="R396" s="24" t="str">
        <f aca="false">IF(K396="","",IFERROR(Q396/(P396*IF(ISNUMBER(SEARCH("JPY",E396)),9.09,IF(ISNUMBER(SEARCH("XAU",E396)),1,IF(OR(ISNUMBER(SEARCH("30",E396)),ISNUMBER(SEARCH("500",E396)),ISNUMBER(SEARCH("100",E396))),1,10)))),0))</f>
        <v/>
      </c>
      <c r="S396" s="10"/>
      <c r="T396" s="28"/>
      <c r="U396" s="27" t="str">
        <f aca="false">IF(OR(S396="",T396=0),"",IFERROR((S396-K396)*IF(F396="Sell",-1,1)*R396*T396*IF(ISNUMBER(SEARCH("JPY",E396)),1000,IF(ISNUMBER(SEARCH("XAU",E396)),100,IF(OR(ISNUMBER(SEARCH("30",E396)),ISNUMBER(SEARCH("500",E396)),ISNUMBER(SEARCH("100",E396))),100,100000))),0))</f>
        <v/>
      </c>
      <c r="V396" s="10"/>
      <c r="W396" s="28"/>
      <c r="X396" s="27" t="str">
        <f aca="false">IF(OR(V396="",W396=0),"",IFERROR((V396-K396)*IF(F396="Sell",-1,1)*R396*W396*IF(ISNUMBER(SEARCH("JPY",E396)),1000,IF(ISNUMBER(SEARCH("XAU",E396)),100,IF(OR(ISNUMBER(SEARCH("30",E396)),ISNUMBER(SEARCH("500",E396)),ISNUMBER(SEARCH("100",E396))),100,100000))),0))</f>
        <v/>
      </c>
      <c r="Y396" s="10"/>
      <c r="Z396" s="28"/>
      <c r="AA396" s="27" t="str">
        <f aca="false">IF(OR(Y396="",Z396=0),"",IFERROR((Y396-K396)*IF(F396="Sell",-1,1)*R396*Z396*IF(ISNUMBER(SEARCH("JPY",E396)),1000,IF(ISNUMBER(SEARCH("XAU",E396)),100,IF(OR(ISNUMBER(SEARCH("30",E396)),ISNUMBER(SEARCH("500",E396)),ISNUMBER(SEARCH("100",E396))),100,100000))),0))</f>
        <v/>
      </c>
      <c r="AB396" s="10"/>
      <c r="AC396" s="29" t="str">
        <f aca="false">IF(K396="","",1-IFERROR(T396,0)-IFERROR(W396,0)-IFERROR(Z396,0))</f>
        <v/>
      </c>
      <c r="AD396" s="30" t="str">
        <f aca="false">IF(AB396="","",IFERROR((IFERROR(S396*T396,0)+IFERROR(V396*W396,0)+IFERROR(Y396*Z396,0)+AB396*AC396)/(IFERROR(T396,0)+IFERROR(W396,0)+IFERROR(Z396,0)+AC396),AB396))</f>
        <v/>
      </c>
      <c r="AE396" s="27" t="str">
        <f aca="false">IF(AB396="","",IF(U396="",0,U396)+IF(X396="",0,X396)+IF(AA396="",0,AA396)+IFERROR((AB396-K396)*IF(F396="Sell",-1,1)*R396*AC396*IF(ISNUMBER(SEARCH("JPY",E396)),1000,IF(ISNUMBER(SEARCH("XAU",E396)),100,IF(OR(ISNUMBER(SEARCH("30",E396)),ISNUMBER(SEARCH("500",E396)),ISNUMBER(SEARCH("100",E396))),100,100000))),0))</f>
        <v/>
      </c>
      <c r="AF396" s="31" t="str">
        <f aca="false">IF(OR(K396="",M396="",L396=""),"",IFERROR(ABS(M396-K396)/ABS(K396-L396),0))</f>
        <v/>
      </c>
      <c r="AG396" s="31" t="str">
        <f aca="false">IF(OR(AE396="",AE396=0,Q396=0,Q396=""),"",IFERROR(AE396/Q396,0))</f>
        <v/>
      </c>
      <c r="AH396" s="32" t="str">
        <f aca="false">IF(AB396="","Open",IF(AG396="","Open",IF(AG396&gt;0.1,"Win",IF(AG396&lt;-0.1,"Loss","Breakeven"))))</f>
        <v>Open</v>
      </c>
      <c r="AI396" s="33" t="str">
        <f aca="false">IF(OR(B396="",D396=""),"",D396-B396)</f>
        <v/>
      </c>
      <c r="AJ396" s="24" t="str">
        <f aca="false">IF(AD396="","",IFERROR((AD396-K396)*IF(F396="Sell",-1,1)/IF(ISNUMBER(SEARCH("JPY",E396)),0.01,IF(ISNUMBER(SEARCH("XAU",E396)),0.01,IF(OR(ISNUMBER(SEARCH("30",E396)),ISNUMBER(SEARCH("500",E396)),ISNUMBER(SEARCH("100",E396))),1,0.0001))),0))</f>
        <v/>
      </c>
      <c r="AK396" s="10"/>
      <c r="AL396" s="10"/>
      <c r="AM396" s="10"/>
      <c r="AN396" s="10"/>
      <c r="AO396" s="27" t="str">
        <f aca="false">IF(AE396="","",IFERROR(IF(AO395="",SETTINGS!$B$6,AO395),SETTINGS!$B$6)+IF(AE396="",0,AE396))</f>
        <v/>
      </c>
      <c r="AP396" s="2"/>
    </row>
    <row r="397" customFormat="false" ht="15" hidden="false" customHeight="false" outlineLevel="0" collapsed="false">
      <c r="A397" s="24" t="str">
        <f aca="false">IF(B397="","",ROW()-3)</f>
        <v/>
      </c>
      <c r="B397" s="34"/>
      <c r="C397" s="12"/>
      <c r="D397" s="34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35"/>
      <c r="P397" s="24" t="str">
        <f aca="false">IF(K397="","",IFERROR(ABS(K397-L397)/IF(ISNUMBER(SEARCH("JPY",E397)),0.01,IF(ISNUMBER(SEARCH("XAU",E397)),0.01,IF(OR(ISNUMBER(SEARCH("30",E397)),ISNUMBER(SEARCH("500",E397)),ISNUMBER(SEARCH("100",E397))),1,0.0001))),0))</f>
        <v/>
      </c>
      <c r="Q397" s="27" t="str">
        <f aca="false">IF(K397="","",SETTINGS!$B$6*O397)</f>
        <v/>
      </c>
      <c r="R397" s="24" t="str">
        <f aca="false">IF(K397="","",IFERROR(Q397/(P397*IF(ISNUMBER(SEARCH("JPY",E397)),9.09,IF(ISNUMBER(SEARCH("XAU",E397)),1,IF(OR(ISNUMBER(SEARCH("30",E397)),ISNUMBER(SEARCH("500",E397)),ISNUMBER(SEARCH("100",E397))),1,10)))),0))</f>
        <v/>
      </c>
      <c r="S397" s="12"/>
      <c r="T397" s="36"/>
      <c r="U397" s="27" t="str">
        <f aca="false">IF(OR(S397="",T397=0),"",IFERROR((S397-K397)*IF(F397="Sell",-1,1)*R397*T397*IF(ISNUMBER(SEARCH("JPY",E397)),1000,IF(ISNUMBER(SEARCH("XAU",E397)),100,IF(OR(ISNUMBER(SEARCH("30",E397)),ISNUMBER(SEARCH("500",E397)),ISNUMBER(SEARCH("100",E397))),100,100000))),0))</f>
        <v/>
      </c>
      <c r="V397" s="12"/>
      <c r="W397" s="36"/>
      <c r="X397" s="27" t="str">
        <f aca="false">IF(OR(V397="",W397=0),"",IFERROR((V397-K397)*IF(F397="Sell",-1,1)*R397*W397*IF(ISNUMBER(SEARCH("JPY",E397)),1000,IF(ISNUMBER(SEARCH("XAU",E397)),100,IF(OR(ISNUMBER(SEARCH("30",E397)),ISNUMBER(SEARCH("500",E397)),ISNUMBER(SEARCH("100",E397))),100,100000))),0))</f>
        <v/>
      </c>
      <c r="Y397" s="12"/>
      <c r="Z397" s="36"/>
      <c r="AA397" s="27" t="str">
        <f aca="false">IF(OR(Y397="",Z397=0),"",IFERROR((Y397-K397)*IF(F397="Sell",-1,1)*R397*Z397*IF(ISNUMBER(SEARCH("JPY",E397)),1000,IF(ISNUMBER(SEARCH("XAU",E397)),100,IF(OR(ISNUMBER(SEARCH("30",E397)),ISNUMBER(SEARCH("500",E397)),ISNUMBER(SEARCH("100",E397))),100,100000))),0))</f>
        <v/>
      </c>
      <c r="AB397" s="12"/>
      <c r="AC397" s="29" t="str">
        <f aca="false">IF(K397="","",1-IFERROR(T397,0)-IFERROR(W397,0)-IFERROR(Z397,0))</f>
        <v/>
      </c>
      <c r="AD397" s="30" t="str">
        <f aca="false">IF(AB397="","",IFERROR((IFERROR(S397*T397,0)+IFERROR(V397*W397,0)+IFERROR(Y397*Z397,0)+AB397*AC397)/(IFERROR(T397,0)+IFERROR(W397,0)+IFERROR(Z397,0)+AC397),AB397))</f>
        <v/>
      </c>
      <c r="AE397" s="27" t="str">
        <f aca="false">IF(AB397="","",IF(U397="",0,U397)+IF(X397="",0,X397)+IF(AA397="",0,AA397)+IFERROR((AB397-K397)*IF(F397="Sell",-1,1)*R397*AC397*IF(ISNUMBER(SEARCH("JPY",E397)),1000,IF(ISNUMBER(SEARCH("XAU",E397)),100,IF(OR(ISNUMBER(SEARCH("30",E397)),ISNUMBER(SEARCH("500",E397)),ISNUMBER(SEARCH("100",E397))),100,100000))),0))</f>
        <v/>
      </c>
      <c r="AF397" s="31" t="str">
        <f aca="false">IF(OR(K397="",M397="",L397=""),"",IFERROR(ABS(M397-K397)/ABS(K397-L397),0))</f>
        <v/>
      </c>
      <c r="AG397" s="31" t="str">
        <f aca="false">IF(OR(AE397="",AE397=0,Q397=0,Q397=""),"",IFERROR(AE397/Q397,0))</f>
        <v/>
      </c>
      <c r="AH397" s="32" t="str">
        <f aca="false">IF(AB397="","Open",IF(AG397="","Open",IF(AG397&gt;0.1,"Win",IF(AG397&lt;-0.1,"Loss","Breakeven"))))</f>
        <v>Open</v>
      </c>
      <c r="AI397" s="33" t="str">
        <f aca="false">IF(OR(B397="",D397=""),"",D397-B397)</f>
        <v/>
      </c>
      <c r="AJ397" s="24" t="str">
        <f aca="false">IF(AD397="","",IFERROR((AD397-K397)*IF(F397="Sell",-1,1)/IF(ISNUMBER(SEARCH("JPY",E397)),0.01,IF(ISNUMBER(SEARCH("XAU",E397)),0.01,IF(OR(ISNUMBER(SEARCH("30",E397)),ISNUMBER(SEARCH("500",E397)),ISNUMBER(SEARCH("100",E397))),1,0.0001))),0))</f>
        <v/>
      </c>
      <c r="AK397" s="12"/>
      <c r="AL397" s="12"/>
      <c r="AM397" s="12"/>
      <c r="AN397" s="12"/>
      <c r="AO397" s="27" t="str">
        <f aca="false">IF(AE397="","",IFERROR(IF(AO396="",SETTINGS!$B$6,AO396),SETTINGS!$B$6)+IF(AE397="",0,AE397))</f>
        <v/>
      </c>
      <c r="AP397" s="2"/>
    </row>
    <row r="398" customFormat="false" ht="15" hidden="false" customHeight="false" outlineLevel="0" collapsed="false">
      <c r="A398" s="24" t="str">
        <f aca="false">IF(B398="","",ROW()-3)</f>
        <v/>
      </c>
      <c r="B398" s="25"/>
      <c r="C398" s="10"/>
      <c r="D398" s="25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26"/>
      <c r="P398" s="24" t="str">
        <f aca="false">IF(K398="","",IFERROR(ABS(K398-L398)/IF(ISNUMBER(SEARCH("JPY",E398)),0.01,IF(ISNUMBER(SEARCH("XAU",E398)),0.01,IF(OR(ISNUMBER(SEARCH("30",E398)),ISNUMBER(SEARCH("500",E398)),ISNUMBER(SEARCH("100",E398))),1,0.0001))),0))</f>
        <v/>
      </c>
      <c r="Q398" s="27" t="str">
        <f aca="false">IF(K398="","",SETTINGS!$B$6*O398)</f>
        <v/>
      </c>
      <c r="R398" s="24" t="str">
        <f aca="false">IF(K398="","",IFERROR(Q398/(P398*IF(ISNUMBER(SEARCH("JPY",E398)),9.09,IF(ISNUMBER(SEARCH("XAU",E398)),1,IF(OR(ISNUMBER(SEARCH("30",E398)),ISNUMBER(SEARCH("500",E398)),ISNUMBER(SEARCH("100",E398))),1,10)))),0))</f>
        <v/>
      </c>
      <c r="S398" s="10"/>
      <c r="T398" s="28"/>
      <c r="U398" s="27" t="str">
        <f aca="false">IF(OR(S398="",T398=0),"",IFERROR((S398-K398)*IF(F398="Sell",-1,1)*R398*T398*IF(ISNUMBER(SEARCH("JPY",E398)),1000,IF(ISNUMBER(SEARCH("XAU",E398)),100,IF(OR(ISNUMBER(SEARCH("30",E398)),ISNUMBER(SEARCH("500",E398)),ISNUMBER(SEARCH("100",E398))),100,100000))),0))</f>
        <v/>
      </c>
      <c r="V398" s="10"/>
      <c r="W398" s="28"/>
      <c r="X398" s="27" t="str">
        <f aca="false">IF(OR(V398="",W398=0),"",IFERROR((V398-K398)*IF(F398="Sell",-1,1)*R398*W398*IF(ISNUMBER(SEARCH("JPY",E398)),1000,IF(ISNUMBER(SEARCH("XAU",E398)),100,IF(OR(ISNUMBER(SEARCH("30",E398)),ISNUMBER(SEARCH("500",E398)),ISNUMBER(SEARCH("100",E398))),100,100000))),0))</f>
        <v/>
      </c>
      <c r="Y398" s="10"/>
      <c r="Z398" s="28"/>
      <c r="AA398" s="27" t="str">
        <f aca="false">IF(OR(Y398="",Z398=0),"",IFERROR((Y398-K398)*IF(F398="Sell",-1,1)*R398*Z398*IF(ISNUMBER(SEARCH("JPY",E398)),1000,IF(ISNUMBER(SEARCH("XAU",E398)),100,IF(OR(ISNUMBER(SEARCH("30",E398)),ISNUMBER(SEARCH("500",E398)),ISNUMBER(SEARCH("100",E398))),100,100000))),0))</f>
        <v/>
      </c>
      <c r="AB398" s="10"/>
      <c r="AC398" s="29" t="str">
        <f aca="false">IF(K398="","",1-IFERROR(T398,0)-IFERROR(W398,0)-IFERROR(Z398,0))</f>
        <v/>
      </c>
      <c r="AD398" s="30" t="str">
        <f aca="false">IF(AB398="","",IFERROR((IFERROR(S398*T398,0)+IFERROR(V398*W398,0)+IFERROR(Y398*Z398,0)+AB398*AC398)/(IFERROR(T398,0)+IFERROR(W398,0)+IFERROR(Z398,0)+AC398),AB398))</f>
        <v/>
      </c>
      <c r="AE398" s="27" t="str">
        <f aca="false">IF(AB398="","",IF(U398="",0,U398)+IF(X398="",0,X398)+IF(AA398="",0,AA398)+IFERROR((AB398-K398)*IF(F398="Sell",-1,1)*R398*AC398*IF(ISNUMBER(SEARCH("JPY",E398)),1000,IF(ISNUMBER(SEARCH("XAU",E398)),100,IF(OR(ISNUMBER(SEARCH("30",E398)),ISNUMBER(SEARCH("500",E398)),ISNUMBER(SEARCH("100",E398))),100,100000))),0))</f>
        <v/>
      </c>
      <c r="AF398" s="31" t="str">
        <f aca="false">IF(OR(K398="",M398="",L398=""),"",IFERROR(ABS(M398-K398)/ABS(K398-L398),0))</f>
        <v/>
      </c>
      <c r="AG398" s="31" t="str">
        <f aca="false">IF(OR(AE398="",AE398=0,Q398=0,Q398=""),"",IFERROR(AE398/Q398,0))</f>
        <v/>
      </c>
      <c r="AH398" s="32" t="str">
        <f aca="false">IF(AB398="","Open",IF(AG398="","Open",IF(AG398&gt;0.1,"Win",IF(AG398&lt;-0.1,"Loss","Breakeven"))))</f>
        <v>Open</v>
      </c>
      <c r="AI398" s="33" t="str">
        <f aca="false">IF(OR(B398="",D398=""),"",D398-B398)</f>
        <v/>
      </c>
      <c r="AJ398" s="24" t="str">
        <f aca="false">IF(AD398="","",IFERROR((AD398-K398)*IF(F398="Sell",-1,1)/IF(ISNUMBER(SEARCH("JPY",E398)),0.01,IF(ISNUMBER(SEARCH("XAU",E398)),0.01,IF(OR(ISNUMBER(SEARCH("30",E398)),ISNUMBER(SEARCH("500",E398)),ISNUMBER(SEARCH("100",E398))),1,0.0001))),0))</f>
        <v/>
      </c>
      <c r="AK398" s="10"/>
      <c r="AL398" s="10"/>
      <c r="AM398" s="10"/>
      <c r="AN398" s="10"/>
      <c r="AO398" s="27" t="str">
        <f aca="false">IF(AE398="","",IFERROR(IF(AO397="",SETTINGS!$B$6,AO397),SETTINGS!$B$6)+IF(AE398="",0,AE398))</f>
        <v/>
      </c>
      <c r="AP398" s="2"/>
    </row>
    <row r="399" customFormat="false" ht="15" hidden="false" customHeight="false" outlineLevel="0" collapsed="false">
      <c r="A399" s="24" t="str">
        <f aca="false">IF(B399="","",ROW()-3)</f>
        <v/>
      </c>
      <c r="B399" s="34"/>
      <c r="C399" s="12"/>
      <c r="D399" s="34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35"/>
      <c r="P399" s="24" t="str">
        <f aca="false">IF(K399="","",IFERROR(ABS(K399-L399)/IF(ISNUMBER(SEARCH("JPY",E399)),0.01,IF(ISNUMBER(SEARCH("XAU",E399)),0.01,IF(OR(ISNUMBER(SEARCH("30",E399)),ISNUMBER(SEARCH("500",E399)),ISNUMBER(SEARCH("100",E399))),1,0.0001))),0))</f>
        <v/>
      </c>
      <c r="Q399" s="27" t="str">
        <f aca="false">IF(K399="","",SETTINGS!$B$6*O399)</f>
        <v/>
      </c>
      <c r="R399" s="24" t="str">
        <f aca="false">IF(K399="","",IFERROR(Q399/(P399*IF(ISNUMBER(SEARCH("JPY",E399)),9.09,IF(ISNUMBER(SEARCH("XAU",E399)),1,IF(OR(ISNUMBER(SEARCH("30",E399)),ISNUMBER(SEARCH("500",E399)),ISNUMBER(SEARCH("100",E399))),1,10)))),0))</f>
        <v/>
      </c>
      <c r="S399" s="12"/>
      <c r="T399" s="36"/>
      <c r="U399" s="27" t="str">
        <f aca="false">IF(OR(S399="",T399=0),"",IFERROR((S399-K399)*IF(F399="Sell",-1,1)*R399*T399*IF(ISNUMBER(SEARCH("JPY",E399)),1000,IF(ISNUMBER(SEARCH("XAU",E399)),100,IF(OR(ISNUMBER(SEARCH("30",E399)),ISNUMBER(SEARCH("500",E399)),ISNUMBER(SEARCH("100",E399))),100,100000))),0))</f>
        <v/>
      </c>
      <c r="V399" s="12"/>
      <c r="W399" s="36"/>
      <c r="X399" s="27" t="str">
        <f aca="false">IF(OR(V399="",W399=0),"",IFERROR((V399-K399)*IF(F399="Sell",-1,1)*R399*W399*IF(ISNUMBER(SEARCH("JPY",E399)),1000,IF(ISNUMBER(SEARCH("XAU",E399)),100,IF(OR(ISNUMBER(SEARCH("30",E399)),ISNUMBER(SEARCH("500",E399)),ISNUMBER(SEARCH("100",E399))),100,100000))),0))</f>
        <v/>
      </c>
      <c r="Y399" s="12"/>
      <c r="Z399" s="36"/>
      <c r="AA399" s="27" t="str">
        <f aca="false">IF(OR(Y399="",Z399=0),"",IFERROR((Y399-K399)*IF(F399="Sell",-1,1)*R399*Z399*IF(ISNUMBER(SEARCH("JPY",E399)),1000,IF(ISNUMBER(SEARCH("XAU",E399)),100,IF(OR(ISNUMBER(SEARCH("30",E399)),ISNUMBER(SEARCH("500",E399)),ISNUMBER(SEARCH("100",E399))),100,100000))),0))</f>
        <v/>
      </c>
      <c r="AB399" s="12"/>
      <c r="AC399" s="29" t="str">
        <f aca="false">IF(K399="","",1-IFERROR(T399,0)-IFERROR(W399,0)-IFERROR(Z399,0))</f>
        <v/>
      </c>
      <c r="AD399" s="30" t="str">
        <f aca="false">IF(AB399="","",IFERROR((IFERROR(S399*T399,0)+IFERROR(V399*W399,0)+IFERROR(Y399*Z399,0)+AB399*AC399)/(IFERROR(T399,0)+IFERROR(W399,0)+IFERROR(Z399,0)+AC399),AB399))</f>
        <v/>
      </c>
      <c r="AE399" s="27" t="str">
        <f aca="false">IF(AB399="","",IF(U399="",0,U399)+IF(X399="",0,X399)+IF(AA399="",0,AA399)+IFERROR((AB399-K399)*IF(F399="Sell",-1,1)*R399*AC399*IF(ISNUMBER(SEARCH("JPY",E399)),1000,IF(ISNUMBER(SEARCH("XAU",E399)),100,IF(OR(ISNUMBER(SEARCH("30",E399)),ISNUMBER(SEARCH("500",E399)),ISNUMBER(SEARCH("100",E399))),100,100000))),0))</f>
        <v/>
      </c>
      <c r="AF399" s="31" t="str">
        <f aca="false">IF(OR(K399="",M399="",L399=""),"",IFERROR(ABS(M399-K399)/ABS(K399-L399),0))</f>
        <v/>
      </c>
      <c r="AG399" s="31" t="str">
        <f aca="false">IF(OR(AE399="",AE399=0,Q399=0,Q399=""),"",IFERROR(AE399/Q399,0))</f>
        <v/>
      </c>
      <c r="AH399" s="32" t="str">
        <f aca="false">IF(AB399="","Open",IF(AG399="","Open",IF(AG399&gt;0.1,"Win",IF(AG399&lt;-0.1,"Loss","Breakeven"))))</f>
        <v>Open</v>
      </c>
      <c r="AI399" s="33" t="str">
        <f aca="false">IF(OR(B399="",D399=""),"",D399-B399)</f>
        <v/>
      </c>
      <c r="AJ399" s="24" t="str">
        <f aca="false">IF(AD399="","",IFERROR((AD399-K399)*IF(F399="Sell",-1,1)/IF(ISNUMBER(SEARCH("JPY",E399)),0.01,IF(ISNUMBER(SEARCH("XAU",E399)),0.01,IF(OR(ISNUMBER(SEARCH("30",E399)),ISNUMBER(SEARCH("500",E399)),ISNUMBER(SEARCH("100",E399))),1,0.0001))),0))</f>
        <v/>
      </c>
      <c r="AK399" s="12"/>
      <c r="AL399" s="12"/>
      <c r="AM399" s="12"/>
      <c r="AN399" s="12"/>
      <c r="AO399" s="27" t="str">
        <f aca="false">IF(AE399="","",IFERROR(IF(AO398="",SETTINGS!$B$6,AO398),SETTINGS!$B$6)+IF(AE399="",0,AE399))</f>
        <v/>
      </c>
      <c r="AP399" s="2"/>
    </row>
    <row r="400" customFormat="false" ht="15" hidden="false" customHeight="false" outlineLevel="0" collapsed="false">
      <c r="A400" s="24" t="str">
        <f aca="false">IF(B400="","",ROW()-3)</f>
        <v/>
      </c>
      <c r="B400" s="25"/>
      <c r="C400" s="10"/>
      <c r="D400" s="25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26"/>
      <c r="P400" s="24" t="str">
        <f aca="false">IF(K400="","",IFERROR(ABS(K400-L400)/IF(ISNUMBER(SEARCH("JPY",E400)),0.01,IF(ISNUMBER(SEARCH("XAU",E400)),0.01,IF(OR(ISNUMBER(SEARCH("30",E400)),ISNUMBER(SEARCH("500",E400)),ISNUMBER(SEARCH("100",E400))),1,0.0001))),0))</f>
        <v/>
      </c>
      <c r="Q400" s="27" t="str">
        <f aca="false">IF(K400="","",SETTINGS!$B$6*O400)</f>
        <v/>
      </c>
      <c r="R400" s="24" t="str">
        <f aca="false">IF(K400="","",IFERROR(Q400/(P400*IF(ISNUMBER(SEARCH("JPY",E400)),9.09,IF(ISNUMBER(SEARCH("XAU",E400)),1,IF(OR(ISNUMBER(SEARCH("30",E400)),ISNUMBER(SEARCH("500",E400)),ISNUMBER(SEARCH("100",E400))),1,10)))),0))</f>
        <v/>
      </c>
      <c r="S400" s="10"/>
      <c r="T400" s="28"/>
      <c r="U400" s="27" t="str">
        <f aca="false">IF(OR(S400="",T400=0),"",IFERROR((S400-K400)*IF(F400="Sell",-1,1)*R400*T400*IF(ISNUMBER(SEARCH("JPY",E400)),1000,IF(ISNUMBER(SEARCH("XAU",E400)),100,IF(OR(ISNUMBER(SEARCH("30",E400)),ISNUMBER(SEARCH("500",E400)),ISNUMBER(SEARCH("100",E400))),100,100000))),0))</f>
        <v/>
      </c>
      <c r="V400" s="10"/>
      <c r="W400" s="28"/>
      <c r="X400" s="27" t="str">
        <f aca="false">IF(OR(V400="",W400=0),"",IFERROR((V400-K400)*IF(F400="Sell",-1,1)*R400*W400*IF(ISNUMBER(SEARCH("JPY",E400)),1000,IF(ISNUMBER(SEARCH("XAU",E400)),100,IF(OR(ISNUMBER(SEARCH("30",E400)),ISNUMBER(SEARCH("500",E400)),ISNUMBER(SEARCH("100",E400))),100,100000))),0))</f>
        <v/>
      </c>
      <c r="Y400" s="10"/>
      <c r="Z400" s="28"/>
      <c r="AA400" s="27" t="str">
        <f aca="false">IF(OR(Y400="",Z400=0),"",IFERROR((Y400-K400)*IF(F400="Sell",-1,1)*R400*Z400*IF(ISNUMBER(SEARCH("JPY",E400)),1000,IF(ISNUMBER(SEARCH("XAU",E400)),100,IF(OR(ISNUMBER(SEARCH("30",E400)),ISNUMBER(SEARCH("500",E400)),ISNUMBER(SEARCH("100",E400))),100,100000))),0))</f>
        <v/>
      </c>
      <c r="AB400" s="10"/>
      <c r="AC400" s="29" t="str">
        <f aca="false">IF(K400="","",1-IFERROR(T400,0)-IFERROR(W400,0)-IFERROR(Z400,0))</f>
        <v/>
      </c>
      <c r="AD400" s="30" t="str">
        <f aca="false">IF(AB400="","",IFERROR((IFERROR(S400*T400,0)+IFERROR(V400*W400,0)+IFERROR(Y400*Z400,0)+AB400*AC400)/(IFERROR(T400,0)+IFERROR(W400,0)+IFERROR(Z400,0)+AC400),AB400))</f>
        <v/>
      </c>
      <c r="AE400" s="27" t="str">
        <f aca="false">IF(AB400="","",IF(U400="",0,U400)+IF(X400="",0,X400)+IF(AA400="",0,AA400)+IFERROR((AB400-K400)*IF(F400="Sell",-1,1)*R400*AC400*IF(ISNUMBER(SEARCH("JPY",E400)),1000,IF(ISNUMBER(SEARCH("XAU",E400)),100,IF(OR(ISNUMBER(SEARCH("30",E400)),ISNUMBER(SEARCH("500",E400)),ISNUMBER(SEARCH("100",E400))),100,100000))),0))</f>
        <v/>
      </c>
      <c r="AF400" s="31" t="str">
        <f aca="false">IF(OR(K400="",M400="",L400=""),"",IFERROR(ABS(M400-K400)/ABS(K400-L400),0))</f>
        <v/>
      </c>
      <c r="AG400" s="31" t="str">
        <f aca="false">IF(OR(AE400="",AE400=0,Q400=0,Q400=""),"",IFERROR(AE400/Q400,0))</f>
        <v/>
      </c>
      <c r="AH400" s="32" t="str">
        <f aca="false">IF(AB400="","Open",IF(AG400="","Open",IF(AG400&gt;0.1,"Win",IF(AG400&lt;-0.1,"Loss","Breakeven"))))</f>
        <v>Open</v>
      </c>
      <c r="AI400" s="33" t="str">
        <f aca="false">IF(OR(B400="",D400=""),"",D400-B400)</f>
        <v/>
      </c>
      <c r="AJ400" s="24" t="str">
        <f aca="false">IF(AD400="","",IFERROR((AD400-K400)*IF(F400="Sell",-1,1)/IF(ISNUMBER(SEARCH("JPY",E400)),0.01,IF(ISNUMBER(SEARCH("XAU",E400)),0.01,IF(OR(ISNUMBER(SEARCH("30",E400)),ISNUMBER(SEARCH("500",E400)),ISNUMBER(SEARCH("100",E400))),1,0.0001))),0))</f>
        <v/>
      </c>
      <c r="AK400" s="10"/>
      <c r="AL400" s="10"/>
      <c r="AM400" s="10"/>
      <c r="AN400" s="10"/>
      <c r="AO400" s="27" t="str">
        <f aca="false">IF(AE400="","",IFERROR(IF(AO399="",SETTINGS!$B$6,AO399),SETTINGS!$B$6)+IF(AE400="",0,AE400))</f>
        <v/>
      </c>
      <c r="AP400" s="2"/>
    </row>
    <row r="401" customFormat="false" ht="15" hidden="false" customHeight="false" outlineLevel="0" collapsed="false">
      <c r="A401" s="24" t="str">
        <f aca="false">IF(B401="","",ROW()-3)</f>
        <v/>
      </c>
      <c r="B401" s="34"/>
      <c r="C401" s="12"/>
      <c r="D401" s="34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35"/>
      <c r="P401" s="24" t="str">
        <f aca="false">IF(K401="","",IFERROR(ABS(K401-L401)/IF(ISNUMBER(SEARCH("JPY",E401)),0.01,IF(ISNUMBER(SEARCH("XAU",E401)),0.01,IF(OR(ISNUMBER(SEARCH("30",E401)),ISNUMBER(SEARCH("500",E401)),ISNUMBER(SEARCH("100",E401))),1,0.0001))),0))</f>
        <v/>
      </c>
      <c r="Q401" s="27" t="str">
        <f aca="false">IF(K401="","",SETTINGS!$B$6*O401)</f>
        <v/>
      </c>
      <c r="R401" s="24" t="str">
        <f aca="false">IF(K401="","",IFERROR(Q401/(P401*IF(ISNUMBER(SEARCH("JPY",E401)),9.09,IF(ISNUMBER(SEARCH("XAU",E401)),1,IF(OR(ISNUMBER(SEARCH("30",E401)),ISNUMBER(SEARCH("500",E401)),ISNUMBER(SEARCH("100",E401))),1,10)))),0))</f>
        <v/>
      </c>
      <c r="S401" s="12"/>
      <c r="T401" s="36"/>
      <c r="U401" s="27" t="str">
        <f aca="false">IF(OR(S401="",T401=0),"",IFERROR((S401-K401)*IF(F401="Sell",-1,1)*R401*T401*IF(ISNUMBER(SEARCH("JPY",E401)),1000,IF(ISNUMBER(SEARCH("XAU",E401)),100,IF(OR(ISNUMBER(SEARCH("30",E401)),ISNUMBER(SEARCH("500",E401)),ISNUMBER(SEARCH("100",E401))),100,100000))),0))</f>
        <v/>
      </c>
      <c r="V401" s="12"/>
      <c r="W401" s="36"/>
      <c r="X401" s="27" t="str">
        <f aca="false">IF(OR(V401="",W401=0),"",IFERROR((V401-K401)*IF(F401="Sell",-1,1)*R401*W401*IF(ISNUMBER(SEARCH("JPY",E401)),1000,IF(ISNUMBER(SEARCH("XAU",E401)),100,IF(OR(ISNUMBER(SEARCH("30",E401)),ISNUMBER(SEARCH("500",E401)),ISNUMBER(SEARCH("100",E401))),100,100000))),0))</f>
        <v/>
      </c>
      <c r="Y401" s="12"/>
      <c r="Z401" s="36"/>
      <c r="AA401" s="27" t="str">
        <f aca="false">IF(OR(Y401="",Z401=0),"",IFERROR((Y401-K401)*IF(F401="Sell",-1,1)*R401*Z401*IF(ISNUMBER(SEARCH("JPY",E401)),1000,IF(ISNUMBER(SEARCH("XAU",E401)),100,IF(OR(ISNUMBER(SEARCH("30",E401)),ISNUMBER(SEARCH("500",E401)),ISNUMBER(SEARCH("100",E401))),100,100000))),0))</f>
        <v/>
      </c>
      <c r="AB401" s="12"/>
      <c r="AC401" s="29" t="str">
        <f aca="false">IF(K401="","",1-IFERROR(T401,0)-IFERROR(W401,0)-IFERROR(Z401,0))</f>
        <v/>
      </c>
      <c r="AD401" s="30" t="str">
        <f aca="false">IF(AB401="","",IFERROR((IFERROR(S401*T401,0)+IFERROR(V401*W401,0)+IFERROR(Y401*Z401,0)+AB401*AC401)/(IFERROR(T401,0)+IFERROR(W401,0)+IFERROR(Z401,0)+AC401),AB401))</f>
        <v/>
      </c>
      <c r="AE401" s="27" t="str">
        <f aca="false">IF(AB401="","",IF(U401="",0,U401)+IF(X401="",0,X401)+IF(AA401="",0,AA401)+IFERROR((AB401-K401)*IF(F401="Sell",-1,1)*R401*AC401*IF(ISNUMBER(SEARCH("JPY",E401)),1000,IF(ISNUMBER(SEARCH("XAU",E401)),100,IF(OR(ISNUMBER(SEARCH("30",E401)),ISNUMBER(SEARCH("500",E401)),ISNUMBER(SEARCH("100",E401))),100,100000))),0))</f>
        <v/>
      </c>
      <c r="AF401" s="31" t="str">
        <f aca="false">IF(OR(K401="",M401="",L401=""),"",IFERROR(ABS(M401-K401)/ABS(K401-L401),0))</f>
        <v/>
      </c>
      <c r="AG401" s="31" t="str">
        <f aca="false">IF(OR(AE401="",AE401=0,Q401=0,Q401=""),"",IFERROR(AE401/Q401,0))</f>
        <v/>
      </c>
      <c r="AH401" s="32" t="str">
        <f aca="false">IF(AB401="","Open",IF(AG401="","Open",IF(AG401&gt;0.1,"Win",IF(AG401&lt;-0.1,"Loss","Breakeven"))))</f>
        <v>Open</v>
      </c>
      <c r="AI401" s="33" t="str">
        <f aca="false">IF(OR(B401="",D401=""),"",D401-B401)</f>
        <v/>
      </c>
      <c r="AJ401" s="24" t="str">
        <f aca="false">IF(AD401="","",IFERROR((AD401-K401)*IF(F401="Sell",-1,1)/IF(ISNUMBER(SEARCH("JPY",E401)),0.01,IF(ISNUMBER(SEARCH("XAU",E401)),0.01,IF(OR(ISNUMBER(SEARCH("30",E401)),ISNUMBER(SEARCH("500",E401)),ISNUMBER(SEARCH("100",E401))),1,0.0001))),0))</f>
        <v/>
      </c>
      <c r="AK401" s="12"/>
      <c r="AL401" s="12"/>
      <c r="AM401" s="12"/>
      <c r="AN401" s="12"/>
      <c r="AO401" s="27" t="str">
        <f aca="false">IF(AE401="","",IFERROR(IF(AO400="",SETTINGS!$B$6,AO400),SETTINGS!$B$6)+IF(AE401="",0,AE401))</f>
        <v/>
      </c>
      <c r="AP401" s="2"/>
    </row>
    <row r="402" customFormat="false" ht="15" hidden="false" customHeight="false" outlineLevel="0" collapsed="false">
      <c r="A402" s="24" t="str">
        <f aca="false">IF(B402="","",ROW()-3)</f>
        <v/>
      </c>
      <c r="B402" s="25"/>
      <c r="C402" s="10"/>
      <c r="D402" s="25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26"/>
      <c r="P402" s="24" t="str">
        <f aca="false">IF(K402="","",IFERROR(ABS(K402-L402)/IF(ISNUMBER(SEARCH("JPY",E402)),0.01,IF(ISNUMBER(SEARCH("XAU",E402)),0.01,IF(OR(ISNUMBER(SEARCH("30",E402)),ISNUMBER(SEARCH("500",E402)),ISNUMBER(SEARCH("100",E402))),1,0.0001))),0))</f>
        <v/>
      </c>
      <c r="Q402" s="27" t="str">
        <f aca="false">IF(K402="","",SETTINGS!$B$6*O402)</f>
        <v/>
      </c>
      <c r="R402" s="24" t="str">
        <f aca="false">IF(K402="","",IFERROR(Q402/(P402*IF(ISNUMBER(SEARCH("JPY",E402)),9.09,IF(ISNUMBER(SEARCH("XAU",E402)),1,IF(OR(ISNUMBER(SEARCH("30",E402)),ISNUMBER(SEARCH("500",E402)),ISNUMBER(SEARCH("100",E402))),1,10)))),0))</f>
        <v/>
      </c>
      <c r="S402" s="10"/>
      <c r="T402" s="28"/>
      <c r="U402" s="27" t="str">
        <f aca="false">IF(OR(S402="",T402=0),"",IFERROR((S402-K402)*IF(F402="Sell",-1,1)*R402*T402*IF(ISNUMBER(SEARCH("JPY",E402)),1000,IF(ISNUMBER(SEARCH("XAU",E402)),100,IF(OR(ISNUMBER(SEARCH("30",E402)),ISNUMBER(SEARCH("500",E402)),ISNUMBER(SEARCH("100",E402))),100,100000))),0))</f>
        <v/>
      </c>
      <c r="V402" s="10"/>
      <c r="W402" s="28"/>
      <c r="X402" s="27" t="str">
        <f aca="false">IF(OR(V402="",W402=0),"",IFERROR((V402-K402)*IF(F402="Sell",-1,1)*R402*W402*IF(ISNUMBER(SEARCH("JPY",E402)),1000,IF(ISNUMBER(SEARCH("XAU",E402)),100,IF(OR(ISNUMBER(SEARCH("30",E402)),ISNUMBER(SEARCH("500",E402)),ISNUMBER(SEARCH("100",E402))),100,100000))),0))</f>
        <v/>
      </c>
      <c r="Y402" s="10"/>
      <c r="Z402" s="28"/>
      <c r="AA402" s="27" t="str">
        <f aca="false">IF(OR(Y402="",Z402=0),"",IFERROR((Y402-K402)*IF(F402="Sell",-1,1)*R402*Z402*IF(ISNUMBER(SEARCH("JPY",E402)),1000,IF(ISNUMBER(SEARCH("XAU",E402)),100,IF(OR(ISNUMBER(SEARCH("30",E402)),ISNUMBER(SEARCH("500",E402)),ISNUMBER(SEARCH("100",E402))),100,100000))),0))</f>
        <v/>
      </c>
      <c r="AB402" s="10"/>
      <c r="AC402" s="29" t="str">
        <f aca="false">IF(K402="","",1-IFERROR(T402,0)-IFERROR(W402,0)-IFERROR(Z402,0))</f>
        <v/>
      </c>
      <c r="AD402" s="30" t="str">
        <f aca="false">IF(AB402="","",IFERROR((IFERROR(S402*T402,0)+IFERROR(V402*W402,0)+IFERROR(Y402*Z402,0)+AB402*AC402)/(IFERROR(T402,0)+IFERROR(W402,0)+IFERROR(Z402,0)+AC402),AB402))</f>
        <v/>
      </c>
      <c r="AE402" s="27" t="str">
        <f aca="false">IF(AB402="","",IF(U402="",0,U402)+IF(X402="",0,X402)+IF(AA402="",0,AA402)+IFERROR((AB402-K402)*IF(F402="Sell",-1,1)*R402*AC402*IF(ISNUMBER(SEARCH("JPY",E402)),1000,IF(ISNUMBER(SEARCH("XAU",E402)),100,IF(OR(ISNUMBER(SEARCH("30",E402)),ISNUMBER(SEARCH("500",E402)),ISNUMBER(SEARCH("100",E402))),100,100000))),0))</f>
        <v/>
      </c>
      <c r="AF402" s="31" t="str">
        <f aca="false">IF(OR(K402="",M402="",L402=""),"",IFERROR(ABS(M402-K402)/ABS(K402-L402),0))</f>
        <v/>
      </c>
      <c r="AG402" s="31" t="str">
        <f aca="false">IF(OR(AE402="",AE402=0,Q402=0,Q402=""),"",IFERROR(AE402/Q402,0))</f>
        <v/>
      </c>
      <c r="AH402" s="32" t="str">
        <f aca="false">IF(AB402="","Open",IF(AG402="","Open",IF(AG402&gt;0.1,"Win",IF(AG402&lt;-0.1,"Loss","Breakeven"))))</f>
        <v>Open</v>
      </c>
      <c r="AI402" s="33" t="str">
        <f aca="false">IF(OR(B402="",D402=""),"",D402-B402)</f>
        <v/>
      </c>
      <c r="AJ402" s="24" t="str">
        <f aca="false">IF(AD402="","",IFERROR((AD402-K402)*IF(F402="Sell",-1,1)/IF(ISNUMBER(SEARCH("JPY",E402)),0.01,IF(ISNUMBER(SEARCH("XAU",E402)),0.01,IF(OR(ISNUMBER(SEARCH("30",E402)),ISNUMBER(SEARCH("500",E402)),ISNUMBER(SEARCH("100",E402))),1,0.0001))),0))</f>
        <v/>
      </c>
      <c r="AK402" s="10"/>
      <c r="AL402" s="10"/>
      <c r="AM402" s="10"/>
      <c r="AN402" s="10"/>
      <c r="AO402" s="27" t="str">
        <f aca="false">IF(AE402="","",IFERROR(IF(AO401="",SETTINGS!$B$6,AO401),SETTINGS!$B$6)+IF(AE402="",0,AE402))</f>
        <v/>
      </c>
      <c r="AP402" s="2"/>
    </row>
    <row r="403" customFormat="false" ht="15" hidden="false" customHeight="false" outlineLevel="0" collapsed="false">
      <c r="A403" s="24" t="str">
        <f aca="false">IF(B403="","",ROW()-3)</f>
        <v/>
      </c>
      <c r="B403" s="34"/>
      <c r="C403" s="12"/>
      <c r="D403" s="34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35"/>
      <c r="P403" s="24" t="str">
        <f aca="false">IF(K403="","",IFERROR(ABS(K403-L403)/IF(ISNUMBER(SEARCH("JPY",E403)),0.01,IF(ISNUMBER(SEARCH("XAU",E403)),0.01,IF(OR(ISNUMBER(SEARCH("30",E403)),ISNUMBER(SEARCH("500",E403)),ISNUMBER(SEARCH("100",E403))),1,0.0001))),0))</f>
        <v/>
      </c>
      <c r="Q403" s="27" t="str">
        <f aca="false">IF(K403="","",SETTINGS!$B$6*O403)</f>
        <v/>
      </c>
      <c r="R403" s="24" t="str">
        <f aca="false">IF(K403="","",IFERROR(Q403/(P403*IF(ISNUMBER(SEARCH("JPY",E403)),9.09,IF(ISNUMBER(SEARCH("XAU",E403)),1,IF(OR(ISNUMBER(SEARCH("30",E403)),ISNUMBER(SEARCH("500",E403)),ISNUMBER(SEARCH("100",E403))),1,10)))),0))</f>
        <v/>
      </c>
      <c r="S403" s="12"/>
      <c r="T403" s="36"/>
      <c r="U403" s="27" t="str">
        <f aca="false">IF(OR(S403="",T403=0),"",IFERROR((S403-K403)*IF(F403="Sell",-1,1)*R403*T403*IF(ISNUMBER(SEARCH("JPY",E403)),1000,IF(ISNUMBER(SEARCH("XAU",E403)),100,IF(OR(ISNUMBER(SEARCH("30",E403)),ISNUMBER(SEARCH("500",E403)),ISNUMBER(SEARCH("100",E403))),100,100000))),0))</f>
        <v/>
      </c>
      <c r="V403" s="12"/>
      <c r="W403" s="36"/>
      <c r="X403" s="27" t="str">
        <f aca="false">IF(OR(V403="",W403=0),"",IFERROR((V403-K403)*IF(F403="Sell",-1,1)*R403*W403*IF(ISNUMBER(SEARCH("JPY",E403)),1000,IF(ISNUMBER(SEARCH("XAU",E403)),100,IF(OR(ISNUMBER(SEARCH("30",E403)),ISNUMBER(SEARCH("500",E403)),ISNUMBER(SEARCH("100",E403))),100,100000))),0))</f>
        <v/>
      </c>
      <c r="Y403" s="12"/>
      <c r="Z403" s="36"/>
      <c r="AA403" s="27" t="str">
        <f aca="false">IF(OR(Y403="",Z403=0),"",IFERROR((Y403-K403)*IF(F403="Sell",-1,1)*R403*Z403*IF(ISNUMBER(SEARCH("JPY",E403)),1000,IF(ISNUMBER(SEARCH("XAU",E403)),100,IF(OR(ISNUMBER(SEARCH("30",E403)),ISNUMBER(SEARCH("500",E403)),ISNUMBER(SEARCH("100",E403))),100,100000))),0))</f>
        <v/>
      </c>
      <c r="AB403" s="12"/>
      <c r="AC403" s="29" t="str">
        <f aca="false">IF(K403="","",1-IFERROR(T403,0)-IFERROR(W403,0)-IFERROR(Z403,0))</f>
        <v/>
      </c>
      <c r="AD403" s="30" t="str">
        <f aca="false">IF(AB403="","",IFERROR((IFERROR(S403*T403,0)+IFERROR(V403*W403,0)+IFERROR(Y403*Z403,0)+AB403*AC403)/(IFERROR(T403,0)+IFERROR(W403,0)+IFERROR(Z403,0)+AC403),AB403))</f>
        <v/>
      </c>
      <c r="AE403" s="27" t="str">
        <f aca="false">IF(AB403="","",IF(U403="",0,U403)+IF(X403="",0,X403)+IF(AA403="",0,AA403)+IFERROR((AB403-K403)*IF(F403="Sell",-1,1)*R403*AC403*IF(ISNUMBER(SEARCH("JPY",E403)),1000,IF(ISNUMBER(SEARCH("XAU",E403)),100,IF(OR(ISNUMBER(SEARCH("30",E403)),ISNUMBER(SEARCH("500",E403)),ISNUMBER(SEARCH("100",E403))),100,100000))),0))</f>
        <v/>
      </c>
      <c r="AF403" s="31" t="str">
        <f aca="false">IF(OR(K403="",M403="",L403=""),"",IFERROR(ABS(M403-K403)/ABS(K403-L403),0))</f>
        <v/>
      </c>
      <c r="AG403" s="31" t="str">
        <f aca="false">IF(OR(AE403="",AE403=0,Q403=0,Q403=""),"",IFERROR(AE403/Q403,0))</f>
        <v/>
      </c>
      <c r="AH403" s="32" t="str">
        <f aca="false">IF(AB403="","Open",IF(AG403="","Open",IF(AG403&gt;0.1,"Win",IF(AG403&lt;-0.1,"Loss","Breakeven"))))</f>
        <v>Open</v>
      </c>
      <c r="AI403" s="33" t="str">
        <f aca="false">IF(OR(B403="",D403=""),"",D403-B403)</f>
        <v/>
      </c>
      <c r="AJ403" s="24" t="str">
        <f aca="false">IF(AD403="","",IFERROR((AD403-K403)*IF(F403="Sell",-1,1)/IF(ISNUMBER(SEARCH("JPY",E403)),0.01,IF(ISNUMBER(SEARCH("XAU",E403)),0.01,IF(OR(ISNUMBER(SEARCH("30",E403)),ISNUMBER(SEARCH("500",E403)),ISNUMBER(SEARCH("100",E403))),1,0.0001))),0))</f>
        <v/>
      </c>
      <c r="AK403" s="12"/>
      <c r="AL403" s="12"/>
      <c r="AM403" s="12"/>
      <c r="AN403" s="12"/>
      <c r="AO403" s="27" t="str">
        <f aca="false">IF(AE403="","",IFERROR(IF(AO402="",SETTINGS!$B$6,AO402),SETTINGS!$B$6)+IF(AE403="",0,AE403))</f>
        <v/>
      </c>
      <c r="AP403" s="2"/>
    </row>
    <row r="404" customFormat="false" ht="15" hidden="false" customHeight="false" outlineLevel="0" collapsed="false">
      <c r="A404" s="24" t="str">
        <f aca="false">IF(B404="","",ROW()-3)</f>
        <v/>
      </c>
      <c r="B404" s="25"/>
      <c r="C404" s="10"/>
      <c r="D404" s="25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26"/>
      <c r="P404" s="24" t="str">
        <f aca="false">IF(K404="","",IFERROR(ABS(K404-L404)/IF(ISNUMBER(SEARCH("JPY",E404)),0.01,IF(ISNUMBER(SEARCH("XAU",E404)),0.01,IF(OR(ISNUMBER(SEARCH("30",E404)),ISNUMBER(SEARCH("500",E404)),ISNUMBER(SEARCH("100",E404))),1,0.0001))),0))</f>
        <v/>
      </c>
      <c r="Q404" s="27" t="str">
        <f aca="false">IF(K404="","",SETTINGS!$B$6*O404)</f>
        <v/>
      </c>
      <c r="R404" s="24" t="str">
        <f aca="false">IF(K404="","",IFERROR(Q404/(P404*IF(ISNUMBER(SEARCH("JPY",E404)),9.09,IF(ISNUMBER(SEARCH("XAU",E404)),1,IF(OR(ISNUMBER(SEARCH("30",E404)),ISNUMBER(SEARCH("500",E404)),ISNUMBER(SEARCH("100",E404))),1,10)))),0))</f>
        <v/>
      </c>
      <c r="S404" s="10"/>
      <c r="T404" s="28"/>
      <c r="U404" s="27" t="str">
        <f aca="false">IF(OR(S404="",T404=0),"",IFERROR((S404-K404)*IF(F404="Sell",-1,1)*R404*T404*IF(ISNUMBER(SEARCH("JPY",E404)),1000,IF(ISNUMBER(SEARCH("XAU",E404)),100,IF(OR(ISNUMBER(SEARCH("30",E404)),ISNUMBER(SEARCH("500",E404)),ISNUMBER(SEARCH("100",E404))),100,100000))),0))</f>
        <v/>
      </c>
      <c r="V404" s="10"/>
      <c r="W404" s="28"/>
      <c r="X404" s="27" t="str">
        <f aca="false">IF(OR(V404="",W404=0),"",IFERROR((V404-K404)*IF(F404="Sell",-1,1)*R404*W404*IF(ISNUMBER(SEARCH("JPY",E404)),1000,IF(ISNUMBER(SEARCH("XAU",E404)),100,IF(OR(ISNUMBER(SEARCH("30",E404)),ISNUMBER(SEARCH("500",E404)),ISNUMBER(SEARCH("100",E404))),100,100000))),0))</f>
        <v/>
      </c>
      <c r="Y404" s="10"/>
      <c r="Z404" s="28"/>
      <c r="AA404" s="27" t="str">
        <f aca="false">IF(OR(Y404="",Z404=0),"",IFERROR((Y404-K404)*IF(F404="Sell",-1,1)*R404*Z404*IF(ISNUMBER(SEARCH("JPY",E404)),1000,IF(ISNUMBER(SEARCH("XAU",E404)),100,IF(OR(ISNUMBER(SEARCH("30",E404)),ISNUMBER(SEARCH("500",E404)),ISNUMBER(SEARCH("100",E404))),100,100000))),0))</f>
        <v/>
      </c>
      <c r="AB404" s="10"/>
      <c r="AC404" s="29" t="str">
        <f aca="false">IF(K404="","",1-IFERROR(T404,0)-IFERROR(W404,0)-IFERROR(Z404,0))</f>
        <v/>
      </c>
      <c r="AD404" s="30" t="str">
        <f aca="false">IF(AB404="","",IFERROR((IFERROR(S404*T404,0)+IFERROR(V404*W404,0)+IFERROR(Y404*Z404,0)+AB404*AC404)/(IFERROR(T404,0)+IFERROR(W404,0)+IFERROR(Z404,0)+AC404),AB404))</f>
        <v/>
      </c>
      <c r="AE404" s="27" t="str">
        <f aca="false">IF(AB404="","",IF(U404="",0,U404)+IF(X404="",0,X404)+IF(AA404="",0,AA404)+IFERROR((AB404-K404)*IF(F404="Sell",-1,1)*R404*AC404*IF(ISNUMBER(SEARCH("JPY",E404)),1000,IF(ISNUMBER(SEARCH("XAU",E404)),100,IF(OR(ISNUMBER(SEARCH("30",E404)),ISNUMBER(SEARCH("500",E404)),ISNUMBER(SEARCH("100",E404))),100,100000))),0))</f>
        <v/>
      </c>
      <c r="AF404" s="31" t="str">
        <f aca="false">IF(OR(K404="",M404="",L404=""),"",IFERROR(ABS(M404-K404)/ABS(K404-L404),0))</f>
        <v/>
      </c>
      <c r="AG404" s="31" t="str">
        <f aca="false">IF(OR(AE404="",AE404=0,Q404=0,Q404=""),"",IFERROR(AE404/Q404,0))</f>
        <v/>
      </c>
      <c r="AH404" s="32" t="str">
        <f aca="false">IF(AB404="","Open",IF(AG404="","Open",IF(AG404&gt;0.1,"Win",IF(AG404&lt;-0.1,"Loss","Breakeven"))))</f>
        <v>Open</v>
      </c>
      <c r="AI404" s="33" t="str">
        <f aca="false">IF(OR(B404="",D404=""),"",D404-B404)</f>
        <v/>
      </c>
      <c r="AJ404" s="24" t="str">
        <f aca="false">IF(AD404="","",IFERROR((AD404-K404)*IF(F404="Sell",-1,1)/IF(ISNUMBER(SEARCH("JPY",E404)),0.01,IF(ISNUMBER(SEARCH("XAU",E404)),0.01,IF(OR(ISNUMBER(SEARCH("30",E404)),ISNUMBER(SEARCH("500",E404)),ISNUMBER(SEARCH("100",E404))),1,0.0001))),0))</f>
        <v/>
      </c>
      <c r="AK404" s="10"/>
      <c r="AL404" s="10"/>
      <c r="AM404" s="10"/>
      <c r="AN404" s="10"/>
      <c r="AO404" s="27" t="str">
        <f aca="false">IF(AE404="","",IFERROR(IF(AO403="",SETTINGS!$B$6,AO403),SETTINGS!$B$6)+IF(AE404="",0,AE404))</f>
        <v/>
      </c>
      <c r="AP404" s="2"/>
    </row>
    <row r="405" customFormat="false" ht="15" hidden="false" customHeight="false" outlineLevel="0" collapsed="false">
      <c r="A405" s="24" t="str">
        <f aca="false">IF(B405="","",ROW()-3)</f>
        <v/>
      </c>
      <c r="B405" s="34"/>
      <c r="C405" s="12"/>
      <c r="D405" s="34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35"/>
      <c r="P405" s="24" t="str">
        <f aca="false">IF(K405="","",IFERROR(ABS(K405-L405)/IF(ISNUMBER(SEARCH("JPY",E405)),0.01,IF(ISNUMBER(SEARCH("XAU",E405)),0.01,IF(OR(ISNUMBER(SEARCH("30",E405)),ISNUMBER(SEARCH("500",E405)),ISNUMBER(SEARCH("100",E405))),1,0.0001))),0))</f>
        <v/>
      </c>
      <c r="Q405" s="27" t="str">
        <f aca="false">IF(K405="","",SETTINGS!$B$6*O405)</f>
        <v/>
      </c>
      <c r="R405" s="24" t="str">
        <f aca="false">IF(K405="","",IFERROR(Q405/(P405*IF(ISNUMBER(SEARCH("JPY",E405)),9.09,IF(ISNUMBER(SEARCH("XAU",E405)),1,IF(OR(ISNUMBER(SEARCH("30",E405)),ISNUMBER(SEARCH("500",E405)),ISNUMBER(SEARCH("100",E405))),1,10)))),0))</f>
        <v/>
      </c>
      <c r="S405" s="12"/>
      <c r="T405" s="36"/>
      <c r="U405" s="27" t="str">
        <f aca="false">IF(OR(S405="",T405=0),"",IFERROR((S405-K405)*IF(F405="Sell",-1,1)*R405*T405*IF(ISNUMBER(SEARCH("JPY",E405)),1000,IF(ISNUMBER(SEARCH("XAU",E405)),100,IF(OR(ISNUMBER(SEARCH("30",E405)),ISNUMBER(SEARCH("500",E405)),ISNUMBER(SEARCH("100",E405))),100,100000))),0))</f>
        <v/>
      </c>
      <c r="V405" s="12"/>
      <c r="W405" s="36"/>
      <c r="X405" s="27" t="str">
        <f aca="false">IF(OR(V405="",W405=0),"",IFERROR((V405-K405)*IF(F405="Sell",-1,1)*R405*W405*IF(ISNUMBER(SEARCH("JPY",E405)),1000,IF(ISNUMBER(SEARCH("XAU",E405)),100,IF(OR(ISNUMBER(SEARCH("30",E405)),ISNUMBER(SEARCH("500",E405)),ISNUMBER(SEARCH("100",E405))),100,100000))),0))</f>
        <v/>
      </c>
      <c r="Y405" s="12"/>
      <c r="Z405" s="36"/>
      <c r="AA405" s="27" t="str">
        <f aca="false">IF(OR(Y405="",Z405=0),"",IFERROR((Y405-K405)*IF(F405="Sell",-1,1)*R405*Z405*IF(ISNUMBER(SEARCH("JPY",E405)),1000,IF(ISNUMBER(SEARCH("XAU",E405)),100,IF(OR(ISNUMBER(SEARCH("30",E405)),ISNUMBER(SEARCH("500",E405)),ISNUMBER(SEARCH("100",E405))),100,100000))),0))</f>
        <v/>
      </c>
      <c r="AB405" s="12"/>
      <c r="AC405" s="29" t="str">
        <f aca="false">IF(K405="","",1-IFERROR(T405,0)-IFERROR(W405,0)-IFERROR(Z405,0))</f>
        <v/>
      </c>
      <c r="AD405" s="30" t="str">
        <f aca="false">IF(AB405="","",IFERROR((IFERROR(S405*T405,0)+IFERROR(V405*W405,0)+IFERROR(Y405*Z405,0)+AB405*AC405)/(IFERROR(T405,0)+IFERROR(W405,0)+IFERROR(Z405,0)+AC405),AB405))</f>
        <v/>
      </c>
      <c r="AE405" s="27" t="str">
        <f aca="false">IF(AB405="","",IF(U405="",0,U405)+IF(X405="",0,X405)+IF(AA405="",0,AA405)+IFERROR((AB405-K405)*IF(F405="Sell",-1,1)*R405*AC405*IF(ISNUMBER(SEARCH("JPY",E405)),1000,IF(ISNUMBER(SEARCH("XAU",E405)),100,IF(OR(ISNUMBER(SEARCH("30",E405)),ISNUMBER(SEARCH("500",E405)),ISNUMBER(SEARCH("100",E405))),100,100000))),0))</f>
        <v/>
      </c>
      <c r="AF405" s="31" t="str">
        <f aca="false">IF(OR(K405="",M405="",L405=""),"",IFERROR(ABS(M405-K405)/ABS(K405-L405),0))</f>
        <v/>
      </c>
      <c r="AG405" s="31" t="str">
        <f aca="false">IF(OR(AE405="",AE405=0,Q405=0,Q405=""),"",IFERROR(AE405/Q405,0))</f>
        <v/>
      </c>
      <c r="AH405" s="32" t="str">
        <f aca="false">IF(AB405="","Open",IF(AG405="","Open",IF(AG405&gt;0.1,"Win",IF(AG405&lt;-0.1,"Loss","Breakeven"))))</f>
        <v>Open</v>
      </c>
      <c r="AI405" s="33" t="str">
        <f aca="false">IF(OR(B405="",D405=""),"",D405-B405)</f>
        <v/>
      </c>
      <c r="AJ405" s="24" t="str">
        <f aca="false">IF(AD405="","",IFERROR((AD405-K405)*IF(F405="Sell",-1,1)/IF(ISNUMBER(SEARCH("JPY",E405)),0.01,IF(ISNUMBER(SEARCH("XAU",E405)),0.01,IF(OR(ISNUMBER(SEARCH("30",E405)),ISNUMBER(SEARCH("500",E405)),ISNUMBER(SEARCH("100",E405))),1,0.0001))),0))</f>
        <v/>
      </c>
      <c r="AK405" s="12"/>
      <c r="AL405" s="12"/>
      <c r="AM405" s="12"/>
      <c r="AN405" s="12"/>
      <c r="AO405" s="27" t="str">
        <f aca="false">IF(AE405="","",IFERROR(IF(AO404="",SETTINGS!$B$6,AO404),SETTINGS!$B$6)+IF(AE405="",0,AE405))</f>
        <v/>
      </c>
      <c r="AP405" s="2"/>
    </row>
    <row r="406" customFormat="false" ht="15" hidden="false" customHeight="false" outlineLevel="0" collapsed="false">
      <c r="A406" s="24" t="str">
        <f aca="false">IF(B406="","",ROW()-3)</f>
        <v/>
      </c>
      <c r="B406" s="25"/>
      <c r="C406" s="10"/>
      <c r="D406" s="25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26"/>
      <c r="P406" s="24" t="str">
        <f aca="false">IF(K406="","",IFERROR(ABS(K406-L406)/IF(ISNUMBER(SEARCH("JPY",E406)),0.01,IF(ISNUMBER(SEARCH("XAU",E406)),0.01,IF(OR(ISNUMBER(SEARCH("30",E406)),ISNUMBER(SEARCH("500",E406)),ISNUMBER(SEARCH("100",E406))),1,0.0001))),0))</f>
        <v/>
      </c>
      <c r="Q406" s="27" t="str">
        <f aca="false">IF(K406="","",SETTINGS!$B$6*O406)</f>
        <v/>
      </c>
      <c r="R406" s="24" t="str">
        <f aca="false">IF(K406="","",IFERROR(Q406/(P406*IF(ISNUMBER(SEARCH("JPY",E406)),9.09,IF(ISNUMBER(SEARCH("XAU",E406)),1,IF(OR(ISNUMBER(SEARCH("30",E406)),ISNUMBER(SEARCH("500",E406)),ISNUMBER(SEARCH("100",E406))),1,10)))),0))</f>
        <v/>
      </c>
      <c r="S406" s="10"/>
      <c r="T406" s="28"/>
      <c r="U406" s="27" t="str">
        <f aca="false">IF(OR(S406="",T406=0),"",IFERROR((S406-K406)*IF(F406="Sell",-1,1)*R406*T406*IF(ISNUMBER(SEARCH("JPY",E406)),1000,IF(ISNUMBER(SEARCH("XAU",E406)),100,IF(OR(ISNUMBER(SEARCH("30",E406)),ISNUMBER(SEARCH("500",E406)),ISNUMBER(SEARCH("100",E406))),100,100000))),0))</f>
        <v/>
      </c>
      <c r="V406" s="10"/>
      <c r="W406" s="28"/>
      <c r="X406" s="27" t="str">
        <f aca="false">IF(OR(V406="",W406=0),"",IFERROR((V406-K406)*IF(F406="Sell",-1,1)*R406*W406*IF(ISNUMBER(SEARCH("JPY",E406)),1000,IF(ISNUMBER(SEARCH("XAU",E406)),100,IF(OR(ISNUMBER(SEARCH("30",E406)),ISNUMBER(SEARCH("500",E406)),ISNUMBER(SEARCH("100",E406))),100,100000))),0))</f>
        <v/>
      </c>
      <c r="Y406" s="10"/>
      <c r="Z406" s="28"/>
      <c r="AA406" s="27" t="str">
        <f aca="false">IF(OR(Y406="",Z406=0),"",IFERROR((Y406-K406)*IF(F406="Sell",-1,1)*R406*Z406*IF(ISNUMBER(SEARCH("JPY",E406)),1000,IF(ISNUMBER(SEARCH("XAU",E406)),100,IF(OR(ISNUMBER(SEARCH("30",E406)),ISNUMBER(SEARCH("500",E406)),ISNUMBER(SEARCH("100",E406))),100,100000))),0))</f>
        <v/>
      </c>
      <c r="AB406" s="10"/>
      <c r="AC406" s="29" t="str">
        <f aca="false">IF(K406="","",1-IFERROR(T406,0)-IFERROR(W406,0)-IFERROR(Z406,0))</f>
        <v/>
      </c>
      <c r="AD406" s="30" t="str">
        <f aca="false">IF(AB406="","",IFERROR((IFERROR(S406*T406,0)+IFERROR(V406*W406,0)+IFERROR(Y406*Z406,0)+AB406*AC406)/(IFERROR(T406,0)+IFERROR(W406,0)+IFERROR(Z406,0)+AC406),AB406))</f>
        <v/>
      </c>
      <c r="AE406" s="27" t="str">
        <f aca="false">IF(AB406="","",IF(U406="",0,U406)+IF(X406="",0,X406)+IF(AA406="",0,AA406)+IFERROR((AB406-K406)*IF(F406="Sell",-1,1)*R406*AC406*IF(ISNUMBER(SEARCH("JPY",E406)),1000,IF(ISNUMBER(SEARCH("XAU",E406)),100,IF(OR(ISNUMBER(SEARCH("30",E406)),ISNUMBER(SEARCH("500",E406)),ISNUMBER(SEARCH("100",E406))),100,100000))),0))</f>
        <v/>
      </c>
      <c r="AF406" s="31" t="str">
        <f aca="false">IF(OR(K406="",M406="",L406=""),"",IFERROR(ABS(M406-K406)/ABS(K406-L406),0))</f>
        <v/>
      </c>
      <c r="AG406" s="31" t="str">
        <f aca="false">IF(OR(AE406="",AE406=0,Q406=0,Q406=""),"",IFERROR(AE406/Q406,0))</f>
        <v/>
      </c>
      <c r="AH406" s="32" t="str">
        <f aca="false">IF(AB406="","Open",IF(AG406="","Open",IF(AG406&gt;0.1,"Win",IF(AG406&lt;-0.1,"Loss","Breakeven"))))</f>
        <v>Open</v>
      </c>
      <c r="AI406" s="33" t="str">
        <f aca="false">IF(OR(B406="",D406=""),"",D406-B406)</f>
        <v/>
      </c>
      <c r="AJ406" s="24" t="str">
        <f aca="false">IF(AD406="","",IFERROR((AD406-K406)*IF(F406="Sell",-1,1)/IF(ISNUMBER(SEARCH("JPY",E406)),0.01,IF(ISNUMBER(SEARCH("XAU",E406)),0.01,IF(OR(ISNUMBER(SEARCH("30",E406)),ISNUMBER(SEARCH("500",E406)),ISNUMBER(SEARCH("100",E406))),1,0.0001))),0))</f>
        <v/>
      </c>
      <c r="AK406" s="10"/>
      <c r="AL406" s="10"/>
      <c r="AM406" s="10"/>
      <c r="AN406" s="10"/>
      <c r="AO406" s="27" t="str">
        <f aca="false">IF(AE406="","",IFERROR(IF(AO405="",SETTINGS!$B$6,AO405),SETTINGS!$B$6)+IF(AE406="",0,AE406))</f>
        <v/>
      </c>
      <c r="AP406" s="2"/>
    </row>
    <row r="407" customFormat="false" ht="15" hidden="false" customHeight="false" outlineLevel="0" collapsed="false">
      <c r="A407" s="24" t="str">
        <f aca="false">IF(B407="","",ROW()-3)</f>
        <v/>
      </c>
      <c r="B407" s="34"/>
      <c r="C407" s="12"/>
      <c r="D407" s="34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35"/>
      <c r="P407" s="24" t="str">
        <f aca="false">IF(K407="","",IFERROR(ABS(K407-L407)/IF(ISNUMBER(SEARCH("JPY",E407)),0.01,IF(ISNUMBER(SEARCH("XAU",E407)),0.01,IF(OR(ISNUMBER(SEARCH("30",E407)),ISNUMBER(SEARCH("500",E407)),ISNUMBER(SEARCH("100",E407))),1,0.0001))),0))</f>
        <v/>
      </c>
      <c r="Q407" s="27" t="str">
        <f aca="false">IF(K407="","",SETTINGS!$B$6*O407)</f>
        <v/>
      </c>
      <c r="R407" s="24" t="str">
        <f aca="false">IF(K407="","",IFERROR(Q407/(P407*IF(ISNUMBER(SEARCH("JPY",E407)),9.09,IF(ISNUMBER(SEARCH("XAU",E407)),1,IF(OR(ISNUMBER(SEARCH("30",E407)),ISNUMBER(SEARCH("500",E407)),ISNUMBER(SEARCH("100",E407))),1,10)))),0))</f>
        <v/>
      </c>
      <c r="S407" s="12"/>
      <c r="T407" s="36"/>
      <c r="U407" s="27" t="str">
        <f aca="false">IF(OR(S407="",T407=0),"",IFERROR((S407-K407)*IF(F407="Sell",-1,1)*R407*T407*IF(ISNUMBER(SEARCH("JPY",E407)),1000,IF(ISNUMBER(SEARCH("XAU",E407)),100,IF(OR(ISNUMBER(SEARCH("30",E407)),ISNUMBER(SEARCH("500",E407)),ISNUMBER(SEARCH("100",E407))),100,100000))),0))</f>
        <v/>
      </c>
      <c r="V407" s="12"/>
      <c r="W407" s="36"/>
      <c r="X407" s="27" t="str">
        <f aca="false">IF(OR(V407="",W407=0),"",IFERROR((V407-K407)*IF(F407="Sell",-1,1)*R407*W407*IF(ISNUMBER(SEARCH("JPY",E407)),1000,IF(ISNUMBER(SEARCH("XAU",E407)),100,IF(OR(ISNUMBER(SEARCH("30",E407)),ISNUMBER(SEARCH("500",E407)),ISNUMBER(SEARCH("100",E407))),100,100000))),0))</f>
        <v/>
      </c>
      <c r="Y407" s="12"/>
      <c r="Z407" s="36"/>
      <c r="AA407" s="27" t="str">
        <f aca="false">IF(OR(Y407="",Z407=0),"",IFERROR((Y407-K407)*IF(F407="Sell",-1,1)*R407*Z407*IF(ISNUMBER(SEARCH("JPY",E407)),1000,IF(ISNUMBER(SEARCH("XAU",E407)),100,IF(OR(ISNUMBER(SEARCH("30",E407)),ISNUMBER(SEARCH("500",E407)),ISNUMBER(SEARCH("100",E407))),100,100000))),0))</f>
        <v/>
      </c>
      <c r="AB407" s="12"/>
      <c r="AC407" s="29" t="str">
        <f aca="false">IF(K407="","",1-IFERROR(T407,0)-IFERROR(W407,0)-IFERROR(Z407,0))</f>
        <v/>
      </c>
      <c r="AD407" s="30" t="str">
        <f aca="false">IF(AB407="","",IFERROR((IFERROR(S407*T407,0)+IFERROR(V407*W407,0)+IFERROR(Y407*Z407,0)+AB407*AC407)/(IFERROR(T407,0)+IFERROR(W407,0)+IFERROR(Z407,0)+AC407),AB407))</f>
        <v/>
      </c>
      <c r="AE407" s="27" t="str">
        <f aca="false">IF(AB407="","",IF(U407="",0,U407)+IF(X407="",0,X407)+IF(AA407="",0,AA407)+IFERROR((AB407-K407)*IF(F407="Sell",-1,1)*R407*AC407*IF(ISNUMBER(SEARCH("JPY",E407)),1000,IF(ISNUMBER(SEARCH("XAU",E407)),100,IF(OR(ISNUMBER(SEARCH("30",E407)),ISNUMBER(SEARCH("500",E407)),ISNUMBER(SEARCH("100",E407))),100,100000))),0))</f>
        <v/>
      </c>
      <c r="AF407" s="31" t="str">
        <f aca="false">IF(OR(K407="",M407="",L407=""),"",IFERROR(ABS(M407-K407)/ABS(K407-L407),0))</f>
        <v/>
      </c>
      <c r="AG407" s="31" t="str">
        <f aca="false">IF(OR(AE407="",AE407=0,Q407=0,Q407=""),"",IFERROR(AE407/Q407,0))</f>
        <v/>
      </c>
      <c r="AH407" s="32" t="str">
        <f aca="false">IF(AB407="","Open",IF(AG407="","Open",IF(AG407&gt;0.1,"Win",IF(AG407&lt;-0.1,"Loss","Breakeven"))))</f>
        <v>Open</v>
      </c>
      <c r="AI407" s="33" t="str">
        <f aca="false">IF(OR(B407="",D407=""),"",D407-B407)</f>
        <v/>
      </c>
      <c r="AJ407" s="24" t="str">
        <f aca="false">IF(AD407="","",IFERROR((AD407-K407)*IF(F407="Sell",-1,1)/IF(ISNUMBER(SEARCH("JPY",E407)),0.01,IF(ISNUMBER(SEARCH("XAU",E407)),0.01,IF(OR(ISNUMBER(SEARCH("30",E407)),ISNUMBER(SEARCH("500",E407)),ISNUMBER(SEARCH("100",E407))),1,0.0001))),0))</f>
        <v/>
      </c>
      <c r="AK407" s="12"/>
      <c r="AL407" s="12"/>
      <c r="AM407" s="12"/>
      <c r="AN407" s="12"/>
      <c r="AO407" s="27" t="str">
        <f aca="false">IF(AE407="","",IFERROR(IF(AO406="",SETTINGS!$B$6,AO406),SETTINGS!$B$6)+IF(AE407="",0,AE407))</f>
        <v/>
      </c>
      <c r="AP407" s="2"/>
    </row>
    <row r="408" customFormat="false" ht="15" hidden="false" customHeight="false" outlineLevel="0" collapsed="false">
      <c r="A408" s="24" t="str">
        <f aca="false">IF(B408="","",ROW()-3)</f>
        <v/>
      </c>
      <c r="B408" s="25"/>
      <c r="C408" s="10"/>
      <c r="D408" s="25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26"/>
      <c r="P408" s="24" t="str">
        <f aca="false">IF(K408="","",IFERROR(ABS(K408-L408)/IF(ISNUMBER(SEARCH("JPY",E408)),0.01,IF(ISNUMBER(SEARCH("XAU",E408)),0.01,IF(OR(ISNUMBER(SEARCH("30",E408)),ISNUMBER(SEARCH("500",E408)),ISNUMBER(SEARCH("100",E408))),1,0.0001))),0))</f>
        <v/>
      </c>
      <c r="Q408" s="27" t="str">
        <f aca="false">IF(K408="","",SETTINGS!$B$6*O408)</f>
        <v/>
      </c>
      <c r="R408" s="24" t="str">
        <f aca="false">IF(K408="","",IFERROR(Q408/(P408*IF(ISNUMBER(SEARCH("JPY",E408)),9.09,IF(ISNUMBER(SEARCH("XAU",E408)),1,IF(OR(ISNUMBER(SEARCH("30",E408)),ISNUMBER(SEARCH("500",E408)),ISNUMBER(SEARCH("100",E408))),1,10)))),0))</f>
        <v/>
      </c>
      <c r="S408" s="10"/>
      <c r="T408" s="28"/>
      <c r="U408" s="27" t="str">
        <f aca="false">IF(OR(S408="",T408=0),"",IFERROR((S408-K408)*IF(F408="Sell",-1,1)*R408*T408*IF(ISNUMBER(SEARCH("JPY",E408)),1000,IF(ISNUMBER(SEARCH("XAU",E408)),100,IF(OR(ISNUMBER(SEARCH("30",E408)),ISNUMBER(SEARCH("500",E408)),ISNUMBER(SEARCH("100",E408))),100,100000))),0))</f>
        <v/>
      </c>
      <c r="V408" s="10"/>
      <c r="W408" s="28"/>
      <c r="X408" s="27" t="str">
        <f aca="false">IF(OR(V408="",W408=0),"",IFERROR((V408-K408)*IF(F408="Sell",-1,1)*R408*W408*IF(ISNUMBER(SEARCH("JPY",E408)),1000,IF(ISNUMBER(SEARCH("XAU",E408)),100,IF(OR(ISNUMBER(SEARCH("30",E408)),ISNUMBER(SEARCH("500",E408)),ISNUMBER(SEARCH("100",E408))),100,100000))),0))</f>
        <v/>
      </c>
      <c r="Y408" s="10"/>
      <c r="Z408" s="28"/>
      <c r="AA408" s="27" t="str">
        <f aca="false">IF(OR(Y408="",Z408=0),"",IFERROR((Y408-K408)*IF(F408="Sell",-1,1)*R408*Z408*IF(ISNUMBER(SEARCH("JPY",E408)),1000,IF(ISNUMBER(SEARCH("XAU",E408)),100,IF(OR(ISNUMBER(SEARCH("30",E408)),ISNUMBER(SEARCH("500",E408)),ISNUMBER(SEARCH("100",E408))),100,100000))),0))</f>
        <v/>
      </c>
      <c r="AB408" s="10"/>
      <c r="AC408" s="29" t="str">
        <f aca="false">IF(K408="","",1-IFERROR(T408,0)-IFERROR(W408,0)-IFERROR(Z408,0))</f>
        <v/>
      </c>
      <c r="AD408" s="30" t="str">
        <f aca="false">IF(AB408="","",IFERROR((IFERROR(S408*T408,0)+IFERROR(V408*W408,0)+IFERROR(Y408*Z408,0)+AB408*AC408)/(IFERROR(T408,0)+IFERROR(W408,0)+IFERROR(Z408,0)+AC408),AB408))</f>
        <v/>
      </c>
      <c r="AE408" s="27" t="str">
        <f aca="false">IF(AB408="","",IF(U408="",0,U408)+IF(X408="",0,X408)+IF(AA408="",0,AA408)+IFERROR((AB408-K408)*IF(F408="Sell",-1,1)*R408*AC408*IF(ISNUMBER(SEARCH("JPY",E408)),1000,IF(ISNUMBER(SEARCH("XAU",E408)),100,IF(OR(ISNUMBER(SEARCH("30",E408)),ISNUMBER(SEARCH("500",E408)),ISNUMBER(SEARCH("100",E408))),100,100000))),0))</f>
        <v/>
      </c>
      <c r="AF408" s="31" t="str">
        <f aca="false">IF(OR(K408="",M408="",L408=""),"",IFERROR(ABS(M408-K408)/ABS(K408-L408),0))</f>
        <v/>
      </c>
      <c r="AG408" s="31" t="str">
        <f aca="false">IF(OR(AE408="",AE408=0,Q408=0,Q408=""),"",IFERROR(AE408/Q408,0))</f>
        <v/>
      </c>
      <c r="AH408" s="32" t="str">
        <f aca="false">IF(AB408="","Open",IF(AG408="","Open",IF(AG408&gt;0.1,"Win",IF(AG408&lt;-0.1,"Loss","Breakeven"))))</f>
        <v>Open</v>
      </c>
      <c r="AI408" s="33" t="str">
        <f aca="false">IF(OR(B408="",D408=""),"",D408-B408)</f>
        <v/>
      </c>
      <c r="AJ408" s="24" t="str">
        <f aca="false">IF(AD408="","",IFERROR((AD408-K408)*IF(F408="Sell",-1,1)/IF(ISNUMBER(SEARCH("JPY",E408)),0.01,IF(ISNUMBER(SEARCH("XAU",E408)),0.01,IF(OR(ISNUMBER(SEARCH("30",E408)),ISNUMBER(SEARCH("500",E408)),ISNUMBER(SEARCH("100",E408))),1,0.0001))),0))</f>
        <v/>
      </c>
      <c r="AK408" s="10"/>
      <c r="AL408" s="10"/>
      <c r="AM408" s="10"/>
      <c r="AN408" s="10"/>
      <c r="AO408" s="27" t="str">
        <f aca="false">IF(AE408="","",IFERROR(IF(AO407="",SETTINGS!$B$6,AO407),SETTINGS!$B$6)+IF(AE408="",0,AE408))</f>
        <v/>
      </c>
      <c r="AP408" s="2"/>
    </row>
    <row r="409" customFormat="false" ht="15" hidden="false" customHeight="false" outlineLevel="0" collapsed="false">
      <c r="A409" s="24" t="str">
        <f aca="false">IF(B409="","",ROW()-3)</f>
        <v/>
      </c>
      <c r="B409" s="34"/>
      <c r="C409" s="12"/>
      <c r="D409" s="34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35"/>
      <c r="P409" s="24" t="str">
        <f aca="false">IF(K409="","",IFERROR(ABS(K409-L409)/IF(ISNUMBER(SEARCH("JPY",E409)),0.01,IF(ISNUMBER(SEARCH("XAU",E409)),0.01,IF(OR(ISNUMBER(SEARCH("30",E409)),ISNUMBER(SEARCH("500",E409)),ISNUMBER(SEARCH("100",E409))),1,0.0001))),0))</f>
        <v/>
      </c>
      <c r="Q409" s="27" t="str">
        <f aca="false">IF(K409="","",SETTINGS!$B$6*O409)</f>
        <v/>
      </c>
      <c r="R409" s="24" t="str">
        <f aca="false">IF(K409="","",IFERROR(Q409/(P409*IF(ISNUMBER(SEARCH("JPY",E409)),9.09,IF(ISNUMBER(SEARCH("XAU",E409)),1,IF(OR(ISNUMBER(SEARCH("30",E409)),ISNUMBER(SEARCH("500",E409)),ISNUMBER(SEARCH("100",E409))),1,10)))),0))</f>
        <v/>
      </c>
      <c r="S409" s="12"/>
      <c r="T409" s="36"/>
      <c r="U409" s="27" t="str">
        <f aca="false">IF(OR(S409="",T409=0),"",IFERROR((S409-K409)*IF(F409="Sell",-1,1)*R409*T409*IF(ISNUMBER(SEARCH("JPY",E409)),1000,IF(ISNUMBER(SEARCH("XAU",E409)),100,IF(OR(ISNUMBER(SEARCH("30",E409)),ISNUMBER(SEARCH("500",E409)),ISNUMBER(SEARCH("100",E409))),100,100000))),0))</f>
        <v/>
      </c>
      <c r="V409" s="12"/>
      <c r="W409" s="36"/>
      <c r="X409" s="27" t="str">
        <f aca="false">IF(OR(V409="",W409=0),"",IFERROR((V409-K409)*IF(F409="Sell",-1,1)*R409*W409*IF(ISNUMBER(SEARCH("JPY",E409)),1000,IF(ISNUMBER(SEARCH("XAU",E409)),100,IF(OR(ISNUMBER(SEARCH("30",E409)),ISNUMBER(SEARCH("500",E409)),ISNUMBER(SEARCH("100",E409))),100,100000))),0))</f>
        <v/>
      </c>
      <c r="Y409" s="12"/>
      <c r="Z409" s="36"/>
      <c r="AA409" s="27" t="str">
        <f aca="false">IF(OR(Y409="",Z409=0),"",IFERROR((Y409-K409)*IF(F409="Sell",-1,1)*R409*Z409*IF(ISNUMBER(SEARCH("JPY",E409)),1000,IF(ISNUMBER(SEARCH("XAU",E409)),100,IF(OR(ISNUMBER(SEARCH("30",E409)),ISNUMBER(SEARCH("500",E409)),ISNUMBER(SEARCH("100",E409))),100,100000))),0))</f>
        <v/>
      </c>
      <c r="AB409" s="12"/>
      <c r="AC409" s="29" t="str">
        <f aca="false">IF(K409="","",1-IFERROR(T409,0)-IFERROR(W409,0)-IFERROR(Z409,0))</f>
        <v/>
      </c>
      <c r="AD409" s="30" t="str">
        <f aca="false">IF(AB409="","",IFERROR((IFERROR(S409*T409,0)+IFERROR(V409*W409,0)+IFERROR(Y409*Z409,0)+AB409*AC409)/(IFERROR(T409,0)+IFERROR(W409,0)+IFERROR(Z409,0)+AC409),AB409))</f>
        <v/>
      </c>
      <c r="AE409" s="27" t="str">
        <f aca="false">IF(AB409="","",IF(U409="",0,U409)+IF(X409="",0,X409)+IF(AA409="",0,AA409)+IFERROR((AB409-K409)*IF(F409="Sell",-1,1)*R409*AC409*IF(ISNUMBER(SEARCH("JPY",E409)),1000,IF(ISNUMBER(SEARCH("XAU",E409)),100,IF(OR(ISNUMBER(SEARCH("30",E409)),ISNUMBER(SEARCH("500",E409)),ISNUMBER(SEARCH("100",E409))),100,100000))),0))</f>
        <v/>
      </c>
      <c r="AF409" s="31" t="str">
        <f aca="false">IF(OR(K409="",M409="",L409=""),"",IFERROR(ABS(M409-K409)/ABS(K409-L409),0))</f>
        <v/>
      </c>
      <c r="AG409" s="31" t="str">
        <f aca="false">IF(OR(AE409="",AE409=0,Q409=0,Q409=""),"",IFERROR(AE409/Q409,0))</f>
        <v/>
      </c>
      <c r="AH409" s="32" t="str">
        <f aca="false">IF(AB409="","Open",IF(AG409="","Open",IF(AG409&gt;0.1,"Win",IF(AG409&lt;-0.1,"Loss","Breakeven"))))</f>
        <v>Open</v>
      </c>
      <c r="AI409" s="33" t="str">
        <f aca="false">IF(OR(B409="",D409=""),"",D409-B409)</f>
        <v/>
      </c>
      <c r="AJ409" s="24" t="str">
        <f aca="false">IF(AD409="","",IFERROR((AD409-K409)*IF(F409="Sell",-1,1)/IF(ISNUMBER(SEARCH("JPY",E409)),0.01,IF(ISNUMBER(SEARCH("XAU",E409)),0.01,IF(OR(ISNUMBER(SEARCH("30",E409)),ISNUMBER(SEARCH("500",E409)),ISNUMBER(SEARCH("100",E409))),1,0.0001))),0))</f>
        <v/>
      </c>
      <c r="AK409" s="12"/>
      <c r="AL409" s="12"/>
      <c r="AM409" s="12"/>
      <c r="AN409" s="12"/>
      <c r="AO409" s="27" t="str">
        <f aca="false">IF(AE409="","",IFERROR(IF(AO408="",SETTINGS!$B$6,AO408),SETTINGS!$B$6)+IF(AE409="",0,AE409))</f>
        <v/>
      </c>
      <c r="AP409" s="2"/>
    </row>
    <row r="410" customFormat="false" ht="15" hidden="false" customHeight="false" outlineLevel="0" collapsed="false">
      <c r="A410" s="24" t="str">
        <f aca="false">IF(B410="","",ROW()-3)</f>
        <v/>
      </c>
      <c r="B410" s="25"/>
      <c r="C410" s="10"/>
      <c r="D410" s="25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26"/>
      <c r="P410" s="24" t="str">
        <f aca="false">IF(K410="","",IFERROR(ABS(K410-L410)/IF(ISNUMBER(SEARCH("JPY",E410)),0.01,IF(ISNUMBER(SEARCH("XAU",E410)),0.01,IF(OR(ISNUMBER(SEARCH("30",E410)),ISNUMBER(SEARCH("500",E410)),ISNUMBER(SEARCH("100",E410))),1,0.0001))),0))</f>
        <v/>
      </c>
      <c r="Q410" s="27" t="str">
        <f aca="false">IF(K410="","",SETTINGS!$B$6*O410)</f>
        <v/>
      </c>
      <c r="R410" s="24" t="str">
        <f aca="false">IF(K410="","",IFERROR(Q410/(P410*IF(ISNUMBER(SEARCH("JPY",E410)),9.09,IF(ISNUMBER(SEARCH("XAU",E410)),1,IF(OR(ISNUMBER(SEARCH("30",E410)),ISNUMBER(SEARCH("500",E410)),ISNUMBER(SEARCH("100",E410))),1,10)))),0))</f>
        <v/>
      </c>
      <c r="S410" s="10"/>
      <c r="T410" s="28"/>
      <c r="U410" s="27" t="str">
        <f aca="false">IF(OR(S410="",T410=0),"",IFERROR((S410-K410)*IF(F410="Sell",-1,1)*R410*T410*IF(ISNUMBER(SEARCH("JPY",E410)),1000,IF(ISNUMBER(SEARCH("XAU",E410)),100,IF(OR(ISNUMBER(SEARCH("30",E410)),ISNUMBER(SEARCH("500",E410)),ISNUMBER(SEARCH("100",E410))),100,100000))),0))</f>
        <v/>
      </c>
      <c r="V410" s="10"/>
      <c r="W410" s="28"/>
      <c r="X410" s="27" t="str">
        <f aca="false">IF(OR(V410="",W410=0),"",IFERROR((V410-K410)*IF(F410="Sell",-1,1)*R410*W410*IF(ISNUMBER(SEARCH("JPY",E410)),1000,IF(ISNUMBER(SEARCH("XAU",E410)),100,IF(OR(ISNUMBER(SEARCH("30",E410)),ISNUMBER(SEARCH("500",E410)),ISNUMBER(SEARCH("100",E410))),100,100000))),0))</f>
        <v/>
      </c>
      <c r="Y410" s="10"/>
      <c r="Z410" s="28"/>
      <c r="AA410" s="27" t="str">
        <f aca="false">IF(OR(Y410="",Z410=0),"",IFERROR((Y410-K410)*IF(F410="Sell",-1,1)*R410*Z410*IF(ISNUMBER(SEARCH("JPY",E410)),1000,IF(ISNUMBER(SEARCH("XAU",E410)),100,IF(OR(ISNUMBER(SEARCH("30",E410)),ISNUMBER(SEARCH("500",E410)),ISNUMBER(SEARCH("100",E410))),100,100000))),0))</f>
        <v/>
      </c>
      <c r="AB410" s="10"/>
      <c r="AC410" s="29" t="str">
        <f aca="false">IF(K410="","",1-IFERROR(T410,0)-IFERROR(W410,0)-IFERROR(Z410,0))</f>
        <v/>
      </c>
      <c r="AD410" s="30" t="str">
        <f aca="false">IF(AB410="","",IFERROR((IFERROR(S410*T410,0)+IFERROR(V410*W410,0)+IFERROR(Y410*Z410,0)+AB410*AC410)/(IFERROR(T410,0)+IFERROR(W410,0)+IFERROR(Z410,0)+AC410),AB410))</f>
        <v/>
      </c>
      <c r="AE410" s="27" t="str">
        <f aca="false">IF(AB410="","",IF(U410="",0,U410)+IF(X410="",0,X410)+IF(AA410="",0,AA410)+IFERROR((AB410-K410)*IF(F410="Sell",-1,1)*R410*AC410*IF(ISNUMBER(SEARCH("JPY",E410)),1000,IF(ISNUMBER(SEARCH("XAU",E410)),100,IF(OR(ISNUMBER(SEARCH("30",E410)),ISNUMBER(SEARCH("500",E410)),ISNUMBER(SEARCH("100",E410))),100,100000))),0))</f>
        <v/>
      </c>
      <c r="AF410" s="31" t="str">
        <f aca="false">IF(OR(K410="",M410="",L410=""),"",IFERROR(ABS(M410-K410)/ABS(K410-L410),0))</f>
        <v/>
      </c>
      <c r="AG410" s="31" t="str">
        <f aca="false">IF(OR(AE410="",AE410=0,Q410=0,Q410=""),"",IFERROR(AE410/Q410,0))</f>
        <v/>
      </c>
      <c r="AH410" s="32" t="str">
        <f aca="false">IF(AB410="","Open",IF(AG410="","Open",IF(AG410&gt;0.1,"Win",IF(AG410&lt;-0.1,"Loss","Breakeven"))))</f>
        <v>Open</v>
      </c>
      <c r="AI410" s="33" t="str">
        <f aca="false">IF(OR(B410="",D410=""),"",D410-B410)</f>
        <v/>
      </c>
      <c r="AJ410" s="24" t="str">
        <f aca="false">IF(AD410="","",IFERROR((AD410-K410)*IF(F410="Sell",-1,1)/IF(ISNUMBER(SEARCH("JPY",E410)),0.01,IF(ISNUMBER(SEARCH("XAU",E410)),0.01,IF(OR(ISNUMBER(SEARCH("30",E410)),ISNUMBER(SEARCH("500",E410)),ISNUMBER(SEARCH("100",E410))),1,0.0001))),0))</f>
        <v/>
      </c>
      <c r="AK410" s="10"/>
      <c r="AL410" s="10"/>
      <c r="AM410" s="10"/>
      <c r="AN410" s="10"/>
      <c r="AO410" s="27" t="str">
        <f aca="false">IF(AE410="","",IFERROR(IF(AO409="",SETTINGS!$B$6,AO409),SETTINGS!$B$6)+IF(AE410="",0,AE410))</f>
        <v/>
      </c>
      <c r="AP410" s="2"/>
    </row>
    <row r="411" customFormat="false" ht="15" hidden="false" customHeight="false" outlineLevel="0" collapsed="false">
      <c r="A411" s="24" t="str">
        <f aca="false">IF(B411="","",ROW()-3)</f>
        <v/>
      </c>
      <c r="B411" s="34"/>
      <c r="C411" s="12"/>
      <c r="D411" s="34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35"/>
      <c r="P411" s="24" t="str">
        <f aca="false">IF(K411="","",IFERROR(ABS(K411-L411)/IF(ISNUMBER(SEARCH("JPY",E411)),0.01,IF(ISNUMBER(SEARCH("XAU",E411)),0.01,IF(OR(ISNUMBER(SEARCH("30",E411)),ISNUMBER(SEARCH("500",E411)),ISNUMBER(SEARCH("100",E411))),1,0.0001))),0))</f>
        <v/>
      </c>
      <c r="Q411" s="27" t="str">
        <f aca="false">IF(K411="","",SETTINGS!$B$6*O411)</f>
        <v/>
      </c>
      <c r="R411" s="24" t="str">
        <f aca="false">IF(K411="","",IFERROR(Q411/(P411*IF(ISNUMBER(SEARCH("JPY",E411)),9.09,IF(ISNUMBER(SEARCH("XAU",E411)),1,IF(OR(ISNUMBER(SEARCH("30",E411)),ISNUMBER(SEARCH("500",E411)),ISNUMBER(SEARCH("100",E411))),1,10)))),0))</f>
        <v/>
      </c>
      <c r="S411" s="12"/>
      <c r="T411" s="36"/>
      <c r="U411" s="27" t="str">
        <f aca="false">IF(OR(S411="",T411=0),"",IFERROR((S411-K411)*IF(F411="Sell",-1,1)*R411*T411*IF(ISNUMBER(SEARCH("JPY",E411)),1000,IF(ISNUMBER(SEARCH("XAU",E411)),100,IF(OR(ISNUMBER(SEARCH("30",E411)),ISNUMBER(SEARCH("500",E411)),ISNUMBER(SEARCH("100",E411))),100,100000))),0))</f>
        <v/>
      </c>
      <c r="V411" s="12"/>
      <c r="W411" s="36"/>
      <c r="X411" s="27" t="str">
        <f aca="false">IF(OR(V411="",W411=0),"",IFERROR((V411-K411)*IF(F411="Sell",-1,1)*R411*W411*IF(ISNUMBER(SEARCH("JPY",E411)),1000,IF(ISNUMBER(SEARCH("XAU",E411)),100,IF(OR(ISNUMBER(SEARCH("30",E411)),ISNUMBER(SEARCH("500",E411)),ISNUMBER(SEARCH("100",E411))),100,100000))),0))</f>
        <v/>
      </c>
      <c r="Y411" s="12"/>
      <c r="Z411" s="36"/>
      <c r="AA411" s="27" t="str">
        <f aca="false">IF(OR(Y411="",Z411=0),"",IFERROR((Y411-K411)*IF(F411="Sell",-1,1)*R411*Z411*IF(ISNUMBER(SEARCH("JPY",E411)),1000,IF(ISNUMBER(SEARCH("XAU",E411)),100,IF(OR(ISNUMBER(SEARCH("30",E411)),ISNUMBER(SEARCH("500",E411)),ISNUMBER(SEARCH("100",E411))),100,100000))),0))</f>
        <v/>
      </c>
      <c r="AB411" s="12"/>
      <c r="AC411" s="29" t="str">
        <f aca="false">IF(K411="","",1-IFERROR(T411,0)-IFERROR(W411,0)-IFERROR(Z411,0))</f>
        <v/>
      </c>
      <c r="AD411" s="30" t="str">
        <f aca="false">IF(AB411="","",IFERROR((IFERROR(S411*T411,0)+IFERROR(V411*W411,0)+IFERROR(Y411*Z411,0)+AB411*AC411)/(IFERROR(T411,0)+IFERROR(W411,0)+IFERROR(Z411,0)+AC411),AB411))</f>
        <v/>
      </c>
      <c r="AE411" s="27" t="str">
        <f aca="false">IF(AB411="","",IF(U411="",0,U411)+IF(X411="",0,X411)+IF(AA411="",0,AA411)+IFERROR((AB411-K411)*IF(F411="Sell",-1,1)*R411*AC411*IF(ISNUMBER(SEARCH("JPY",E411)),1000,IF(ISNUMBER(SEARCH("XAU",E411)),100,IF(OR(ISNUMBER(SEARCH("30",E411)),ISNUMBER(SEARCH("500",E411)),ISNUMBER(SEARCH("100",E411))),100,100000))),0))</f>
        <v/>
      </c>
      <c r="AF411" s="31" t="str">
        <f aca="false">IF(OR(K411="",M411="",L411=""),"",IFERROR(ABS(M411-K411)/ABS(K411-L411),0))</f>
        <v/>
      </c>
      <c r="AG411" s="31" t="str">
        <f aca="false">IF(OR(AE411="",AE411=0,Q411=0,Q411=""),"",IFERROR(AE411/Q411,0))</f>
        <v/>
      </c>
      <c r="AH411" s="32" t="str">
        <f aca="false">IF(AB411="","Open",IF(AG411="","Open",IF(AG411&gt;0.1,"Win",IF(AG411&lt;-0.1,"Loss","Breakeven"))))</f>
        <v>Open</v>
      </c>
      <c r="AI411" s="33" t="str">
        <f aca="false">IF(OR(B411="",D411=""),"",D411-B411)</f>
        <v/>
      </c>
      <c r="AJ411" s="24" t="str">
        <f aca="false">IF(AD411="","",IFERROR((AD411-K411)*IF(F411="Sell",-1,1)/IF(ISNUMBER(SEARCH("JPY",E411)),0.01,IF(ISNUMBER(SEARCH("XAU",E411)),0.01,IF(OR(ISNUMBER(SEARCH("30",E411)),ISNUMBER(SEARCH("500",E411)),ISNUMBER(SEARCH("100",E411))),1,0.0001))),0))</f>
        <v/>
      </c>
      <c r="AK411" s="12"/>
      <c r="AL411" s="12"/>
      <c r="AM411" s="12"/>
      <c r="AN411" s="12"/>
      <c r="AO411" s="27" t="str">
        <f aca="false">IF(AE411="","",IFERROR(IF(AO410="",SETTINGS!$B$6,AO410),SETTINGS!$B$6)+IF(AE411="",0,AE411))</f>
        <v/>
      </c>
      <c r="AP411" s="2"/>
    </row>
    <row r="412" customFormat="false" ht="15" hidden="false" customHeight="false" outlineLevel="0" collapsed="false">
      <c r="A412" s="24" t="str">
        <f aca="false">IF(B412="","",ROW()-3)</f>
        <v/>
      </c>
      <c r="B412" s="25"/>
      <c r="C412" s="10"/>
      <c r="D412" s="25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26"/>
      <c r="P412" s="24" t="str">
        <f aca="false">IF(K412="","",IFERROR(ABS(K412-L412)/IF(ISNUMBER(SEARCH("JPY",E412)),0.01,IF(ISNUMBER(SEARCH("XAU",E412)),0.01,IF(OR(ISNUMBER(SEARCH("30",E412)),ISNUMBER(SEARCH("500",E412)),ISNUMBER(SEARCH("100",E412))),1,0.0001))),0))</f>
        <v/>
      </c>
      <c r="Q412" s="27" t="str">
        <f aca="false">IF(K412="","",SETTINGS!$B$6*O412)</f>
        <v/>
      </c>
      <c r="R412" s="24" t="str">
        <f aca="false">IF(K412="","",IFERROR(Q412/(P412*IF(ISNUMBER(SEARCH("JPY",E412)),9.09,IF(ISNUMBER(SEARCH("XAU",E412)),1,IF(OR(ISNUMBER(SEARCH("30",E412)),ISNUMBER(SEARCH("500",E412)),ISNUMBER(SEARCH("100",E412))),1,10)))),0))</f>
        <v/>
      </c>
      <c r="S412" s="10"/>
      <c r="T412" s="28"/>
      <c r="U412" s="27" t="str">
        <f aca="false">IF(OR(S412="",T412=0),"",IFERROR((S412-K412)*IF(F412="Sell",-1,1)*R412*T412*IF(ISNUMBER(SEARCH("JPY",E412)),1000,IF(ISNUMBER(SEARCH("XAU",E412)),100,IF(OR(ISNUMBER(SEARCH("30",E412)),ISNUMBER(SEARCH("500",E412)),ISNUMBER(SEARCH("100",E412))),100,100000))),0))</f>
        <v/>
      </c>
      <c r="V412" s="10"/>
      <c r="W412" s="28"/>
      <c r="X412" s="27" t="str">
        <f aca="false">IF(OR(V412="",W412=0),"",IFERROR((V412-K412)*IF(F412="Sell",-1,1)*R412*W412*IF(ISNUMBER(SEARCH("JPY",E412)),1000,IF(ISNUMBER(SEARCH("XAU",E412)),100,IF(OR(ISNUMBER(SEARCH("30",E412)),ISNUMBER(SEARCH("500",E412)),ISNUMBER(SEARCH("100",E412))),100,100000))),0))</f>
        <v/>
      </c>
      <c r="Y412" s="10"/>
      <c r="Z412" s="28"/>
      <c r="AA412" s="27" t="str">
        <f aca="false">IF(OR(Y412="",Z412=0),"",IFERROR((Y412-K412)*IF(F412="Sell",-1,1)*R412*Z412*IF(ISNUMBER(SEARCH("JPY",E412)),1000,IF(ISNUMBER(SEARCH("XAU",E412)),100,IF(OR(ISNUMBER(SEARCH("30",E412)),ISNUMBER(SEARCH("500",E412)),ISNUMBER(SEARCH("100",E412))),100,100000))),0))</f>
        <v/>
      </c>
      <c r="AB412" s="10"/>
      <c r="AC412" s="29" t="str">
        <f aca="false">IF(K412="","",1-IFERROR(T412,0)-IFERROR(W412,0)-IFERROR(Z412,0))</f>
        <v/>
      </c>
      <c r="AD412" s="30" t="str">
        <f aca="false">IF(AB412="","",IFERROR((IFERROR(S412*T412,0)+IFERROR(V412*W412,0)+IFERROR(Y412*Z412,0)+AB412*AC412)/(IFERROR(T412,0)+IFERROR(W412,0)+IFERROR(Z412,0)+AC412),AB412))</f>
        <v/>
      </c>
      <c r="AE412" s="27" t="str">
        <f aca="false">IF(AB412="","",IF(U412="",0,U412)+IF(X412="",0,X412)+IF(AA412="",0,AA412)+IFERROR((AB412-K412)*IF(F412="Sell",-1,1)*R412*AC412*IF(ISNUMBER(SEARCH("JPY",E412)),1000,IF(ISNUMBER(SEARCH("XAU",E412)),100,IF(OR(ISNUMBER(SEARCH("30",E412)),ISNUMBER(SEARCH("500",E412)),ISNUMBER(SEARCH("100",E412))),100,100000))),0))</f>
        <v/>
      </c>
      <c r="AF412" s="31" t="str">
        <f aca="false">IF(OR(K412="",M412="",L412=""),"",IFERROR(ABS(M412-K412)/ABS(K412-L412),0))</f>
        <v/>
      </c>
      <c r="AG412" s="31" t="str">
        <f aca="false">IF(OR(AE412="",AE412=0,Q412=0,Q412=""),"",IFERROR(AE412/Q412,0))</f>
        <v/>
      </c>
      <c r="AH412" s="32" t="str">
        <f aca="false">IF(AB412="","Open",IF(AG412="","Open",IF(AG412&gt;0.1,"Win",IF(AG412&lt;-0.1,"Loss","Breakeven"))))</f>
        <v>Open</v>
      </c>
      <c r="AI412" s="33" t="str">
        <f aca="false">IF(OR(B412="",D412=""),"",D412-B412)</f>
        <v/>
      </c>
      <c r="AJ412" s="24" t="str">
        <f aca="false">IF(AD412="","",IFERROR((AD412-K412)*IF(F412="Sell",-1,1)/IF(ISNUMBER(SEARCH("JPY",E412)),0.01,IF(ISNUMBER(SEARCH("XAU",E412)),0.01,IF(OR(ISNUMBER(SEARCH("30",E412)),ISNUMBER(SEARCH("500",E412)),ISNUMBER(SEARCH("100",E412))),1,0.0001))),0))</f>
        <v/>
      </c>
      <c r="AK412" s="10"/>
      <c r="AL412" s="10"/>
      <c r="AM412" s="10"/>
      <c r="AN412" s="10"/>
      <c r="AO412" s="27" t="str">
        <f aca="false">IF(AE412="","",IFERROR(IF(AO411="",SETTINGS!$B$6,AO411),SETTINGS!$B$6)+IF(AE412="",0,AE412))</f>
        <v/>
      </c>
      <c r="AP412" s="2"/>
    </row>
    <row r="413" customFormat="false" ht="15" hidden="false" customHeight="false" outlineLevel="0" collapsed="false">
      <c r="A413" s="24" t="str">
        <f aca="false">IF(B413="","",ROW()-3)</f>
        <v/>
      </c>
      <c r="B413" s="34"/>
      <c r="C413" s="12"/>
      <c r="D413" s="34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35"/>
      <c r="P413" s="24" t="str">
        <f aca="false">IF(K413="","",IFERROR(ABS(K413-L413)/IF(ISNUMBER(SEARCH("JPY",E413)),0.01,IF(ISNUMBER(SEARCH("XAU",E413)),0.01,IF(OR(ISNUMBER(SEARCH("30",E413)),ISNUMBER(SEARCH("500",E413)),ISNUMBER(SEARCH("100",E413))),1,0.0001))),0))</f>
        <v/>
      </c>
      <c r="Q413" s="27" t="str">
        <f aca="false">IF(K413="","",SETTINGS!$B$6*O413)</f>
        <v/>
      </c>
      <c r="R413" s="24" t="str">
        <f aca="false">IF(K413="","",IFERROR(Q413/(P413*IF(ISNUMBER(SEARCH("JPY",E413)),9.09,IF(ISNUMBER(SEARCH("XAU",E413)),1,IF(OR(ISNUMBER(SEARCH("30",E413)),ISNUMBER(SEARCH("500",E413)),ISNUMBER(SEARCH("100",E413))),1,10)))),0))</f>
        <v/>
      </c>
      <c r="S413" s="12"/>
      <c r="T413" s="36"/>
      <c r="U413" s="27" t="str">
        <f aca="false">IF(OR(S413="",T413=0),"",IFERROR((S413-K413)*IF(F413="Sell",-1,1)*R413*T413*IF(ISNUMBER(SEARCH("JPY",E413)),1000,IF(ISNUMBER(SEARCH("XAU",E413)),100,IF(OR(ISNUMBER(SEARCH("30",E413)),ISNUMBER(SEARCH("500",E413)),ISNUMBER(SEARCH("100",E413))),100,100000))),0))</f>
        <v/>
      </c>
      <c r="V413" s="12"/>
      <c r="W413" s="36"/>
      <c r="X413" s="27" t="str">
        <f aca="false">IF(OR(V413="",W413=0),"",IFERROR((V413-K413)*IF(F413="Sell",-1,1)*R413*W413*IF(ISNUMBER(SEARCH("JPY",E413)),1000,IF(ISNUMBER(SEARCH("XAU",E413)),100,IF(OR(ISNUMBER(SEARCH("30",E413)),ISNUMBER(SEARCH("500",E413)),ISNUMBER(SEARCH("100",E413))),100,100000))),0))</f>
        <v/>
      </c>
      <c r="Y413" s="12"/>
      <c r="Z413" s="36"/>
      <c r="AA413" s="27" t="str">
        <f aca="false">IF(OR(Y413="",Z413=0),"",IFERROR((Y413-K413)*IF(F413="Sell",-1,1)*R413*Z413*IF(ISNUMBER(SEARCH("JPY",E413)),1000,IF(ISNUMBER(SEARCH("XAU",E413)),100,IF(OR(ISNUMBER(SEARCH("30",E413)),ISNUMBER(SEARCH("500",E413)),ISNUMBER(SEARCH("100",E413))),100,100000))),0))</f>
        <v/>
      </c>
      <c r="AB413" s="12"/>
      <c r="AC413" s="29" t="str">
        <f aca="false">IF(K413="","",1-IFERROR(T413,0)-IFERROR(W413,0)-IFERROR(Z413,0))</f>
        <v/>
      </c>
      <c r="AD413" s="30" t="str">
        <f aca="false">IF(AB413="","",IFERROR((IFERROR(S413*T413,0)+IFERROR(V413*W413,0)+IFERROR(Y413*Z413,0)+AB413*AC413)/(IFERROR(T413,0)+IFERROR(W413,0)+IFERROR(Z413,0)+AC413),AB413))</f>
        <v/>
      </c>
      <c r="AE413" s="27" t="str">
        <f aca="false">IF(AB413="","",IF(U413="",0,U413)+IF(X413="",0,X413)+IF(AA413="",0,AA413)+IFERROR((AB413-K413)*IF(F413="Sell",-1,1)*R413*AC413*IF(ISNUMBER(SEARCH("JPY",E413)),1000,IF(ISNUMBER(SEARCH("XAU",E413)),100,IF(OR(ISNUMBER(SEARCH("30",E413)),ISNUMBER(SEARCH("500",E413)),ISNUMBER(SEARCH("100",E413))),100,100000))),0))</f>
        <v/>
      </c>
      <c r="AF413" s="31" t="str">
        <f aca="false">IF(OR(K413="",M413="",L413=""),"",IFERROR(ABS(M413-K413)/ABS(K413-L413),0))</f>
        <v/>
      </c>
      <c r="AG413" s="31" t="str">
        <f aca="false">IF(OR(AE413="",AE413=0,Q413=0,Q413=""),"",IFERROR(AE413/Q413,0))</f>
        <v/>
      </c>
      <c r="AH413" s="32" t="str">
        <f aca="false">IF(AB413="","Open",IF(AG413="","Open",IF(AG413&gt;0.1,"Win",IF(AG413&lt;-0.1,"Loss","Breakeven"))))</f>
        <v>Open</v>
      </c>
      <c r="AI413" s="33" t="str">
        <f aca="false">IF(OR(B413="",D413=""),"",D413-B413)</f>
        <v/>
      </c>
      <c r="AJ413" s="24" t="str">
        <f aca="false">IF(AD413="","",IFERROR((AD413-K413)*IF(F413="Sell",-1,1)/IF(ISNUMBER(SEARCH("JPY",E413)),0.01,IF(ISNUMBER(SEARCH("XAU",E413)),0.01,IF(OR(ISNUMBER(SEARCH("30",E413)),ISNUMBER(SEARCH("500",E413)),ISNUMBER(SEARCH("100",E413))),1,0.0001))),0))</f>
        <v/>
      </c>
      <c r="AK413" s="12"/>
      <c r="AL413" s="12"/>
      <c r="AM413" s="12"/>
      <c r="AN413" s="12"/>
      <c r="AO413" s="27" t="str">
        <f aca="false">IF(AE413="","",IFERROR(IF(AO412="",SETTINGS!$B$6,AO412),SETTINGS!$B$6)+IF(AE413="",0,AE413))</f>
        <v/>
      </c>
      <c r="AP413" s="2"/>
    </row>
    <row r="414" customFormat="false" ht="15" hidden="false" customHeight="false" outlineLevel="0" collapsed="false">
      <c r="A414" s="24" t="str">
        <f aca="false">IF(B414="","",ROW()-3)</f>
        <v/>
      </c>
      <c r="B414" s="25"/>
      <c r="C414" s="10"/>
      <c r="D414" s="25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26"/>
      <c r="P414" s="24" t="str">
        <f aca="false">IF(K414="","",IFERROR(ABS(K414-L414)/IF(ISNUMBER(SEARCH("JPY",E414)),0.01,IF(ISNUMBER(SEARCH("XAU",E414)),0.01,IF(OR(ISNUMBER(SEARCH("30",E414)),ISNUMBER(SEARCH("500",E414)),ISNUMBER(SEARCH("100",E414))),1,0.0001))),0))</f>
        <v/>
      </c>
      <c r="Q414" s="27" t="str">
        <f aca="false">IF(K414="","",SETTINGS!$B$6*O414)</f>
        <v/>
      </c>
      <c r="R414" s="24" t="str">
        <f aca="false">IF(K414="","",IFERROR(Q414/(P414*IF(ISNUMBER(SEARCH("JPY",E414)),9.09,IF(ISNUMBER(SEARCH("XAU",E414)),1,IF(OR(ISNUMBER(SEARCH("30",E414)),ISNUMBER(SEARCH("500",E414)),ISNUMBER(SEARCH("100",E414))),1,10)))),0))</f>
        <v/>
      </c>
      <c r="S414" s="10"/>
      <c r="T414" s="28"/>
      <c r="U414" s="27" t="str">
        <f aca="false">IF(OR(S414="",T414=0),"",IFERROR((S414-K414)*IF(F414="Sell",-1,1)*R414*T414*IF(ISNUMBER(SEARCH("JPY",E414)),1000,IF(ISNUMBER(SEARCH("XAU",E414)),100,IF(OR(ISNUMBER(SEARCH("30",E414)),ISNUMBER(SEARCH("500",E414)),ISNUMBER(SEARCH("100",E414))),100,100000))),0))</f>
        <v/>
      </c>
      <c r="V414" s="10"/>
      <c r="W414" s="28"/>
      <c r="X414" s="27" t="str">
        <f aca="false">IF(OR(V414="",W414=0),"",IFERROR((V414-K414)*IF(F414="Sell",-1,1)*R414*W414*IF(ISNUMBER(SEARCH("JPY",E414)),1000,IF(ISNUMBER(SEARCH("XAU",E414)),100,IF(OR(ISNUMBER(SEARCH("30",E414)),ISNUMBER(SEARCH("500",E414)),ISNUMBER(SEARCH("100",E414))),100,100000))),0))</f>
        <v/>
      </c>
      <c r="Y414" s="10"/>
      <c r="Z414" s="28"/>
      <c r="AA414" s="27" t="str">
        <f aca="false">IF(OR(Y414="",Z414=0),"",IFERROR((Y414-K414)*IF(F414="Sell",-1,1)*R414*Z414*IF(ISNUMBER(SEARCH("JPY",E414)),1000,IF(ISNUMBER(SEARCH("XAU",E414)),100,IF(OR(ISNUMBER(SEARCH("30",E414)),ISNUMBER(SEARCH("500",E414)),ISNUMBER(SEARCH("100",E414))),100,100000))),0))</f>
        <v/>
      </c>
      <c r="AB414" s="10"/>
      <c r="AC414" s="29" t="str">
        <f aca="false">IF(K414="","",1-IFERROR(T414,0)-IFERROR(W414,0)-IFERROR(Z414,0))</f>
        <v/>
      </c>
      <c r="AD414" s="30" t="str">
        <f aca="false">IF(AB414="","",IFERROR((IFERROR(S414*T414,0)+IFERROR(V414*W414,0)+IFERROR(Y414*Z414,0)+AB414*AC414)/(IFERROR(T414,0)+IFERROR(W414,0)+IFERROR(Z414,0)+AC414),AB414))</f>
        <v/>
      </c>
      <c r="AE414" s="27" t="str">
        <f aca="false">IF(AB414="","",IF(U414="",0,U414)+IF(X414="",0,X414)+IF(AA414="",0,AA414)+IFERROR((AB414-K414)*IF(F414="Sell",-1,1)*R414*AC414*IF(ISNUMBER(SEARCH("JPY",E414)),1000,IF(ISNUMBER(SEARCH("XAU",E414)),100,IF(OR(ISNUMBER(SEARCH("30",E414)),ISNUMBER(SEARCH("500",E414)),ISNUMBER(SEARCH("100",E414))),100,100000))),0))</f>
        <v/>
      </c>
      <c r="AF414" s="31" t="str">
        <f aca="false">IF(OR(K414="",M414="",L414=""),"",IFERROR(ABS(M414-K414)/ABS(K414-L414),0))</f>
        <v/>
      </c>
      <c r="AG414" s="31" t="str">
        <f aca="false">IF(OR(AE414="",AE414=0,Q414=0,Q414=""),"",IFERROR(AE414/Q414,0))</f>
        <v/>
      </c>
      <c r="AH414" s="32" t="str">
        <f aca="false">IF(AB414="","Open",IF(AG414="","Open",IF(AG414&gt;0.1,"Win",IF(AG414&lt;-0.1,"Loss","Breakeven"))))</f>
        <v>Open</v>
      </c>
      <c r="AI414" s="33" t="str">
        <f aca="false">IF(OR(B414="",D414=""),"",D414-B414)</f>
        <v/>
      </c>
      <c r="AJ414" s="24" t="str">
        <f aca="false">IF(AD414="","",IFERROR((AD414-K414)*IF(F414="Sell",-1,1)/IF(ISNUMBER(SEARCH("JPY",E414)),0.01,IF(ISNUMBER(SEARCH("XAU",E414)),0.01,IF(OR(ISNUMBER(SEARCH("30",E414)),ISNUMBER(SEARCH("500",E414)),ISNUMBER(SEARCH("100",E414))),1,0.0001))),0))</f>
        <v/>
      </c>
      <c r="AK414" s="10"/>
      <c r="AL414" s="10"/>
      <c r="AM414" s="10"/>
      <c r="AN414" s="10"/>
      <c r="AO414" s="27" t="str">
        <f aca="false">IF(AE414="","",IFERROR(IF(AO413="",SETTINGS!$B$6,AO413),SETTINGS!$B$6)+IF(AE414="",0,AE414))</f>
        <v/>
      </c>
      <c r="AP414" s="2"/>
    </row>
    <row r="415" customFormat="false" ht="15" hidden="false" customHeight="false" outlineLevel="0" collapsed="false">
      <c r="A415" s="24" t="str">
        <f aca="false">IF(B415="","",ROW()-3)</f>
        <v/>
      </c>
      <c r="B415" s="34"/>
      <c r="C415" s="12"/>
      <c r="D415" s="34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35"/>
      <c r="P415" s="24" t="str">
        <f aca="false">IF(K415="","",IFERROR(ABS(K415-L415)/IF(ISNUMBER(SEARCH("JPY",E415)),0.01,IF(ISNUMBER(SEARCH("XAU",E415)),0.01,IF(OR(ISNUMBER(SEARCH("30",E415)),ISNUMBER(SEARCH("500",E415)),ISNUMBER(SEARCH("100",E415))),1,0.0001))),0))</f>
        <v/>
      </c>
      <c r="Q415" s="27" t="str">
        <f aca="false">IF(K415="","",SETTINGS!$B$6*O415)</f>
        <v/>
      </c>
      <c r="R415" s="24" t="str">
        <f aca="false">IF(K415="","",IFERROR(Q415/(P415*IF(ISNUMBER(SEARCH("JPY",E415)),9.09,IF(ISNUMBER(SEARCH("XAU",E415)),1,IF(OR(ISNUMBER(SEARCH("30",E415)),ISNUMBER(SEARCH("500",E415)),ISNUMBER(SEARCH("100",E415))),1,10)))),0))</f>
        <v/>
      </c>
      <c r="S415" s="12"/>
      <c r="T415" s="36"/>
      <c r="U415" s="27" t="str">
        <f aca="false">IF(OR(S415="",T415=0),"",IFERROR((S415-K415)*IF(F415="Sell",-1,1)*R415*T415*IF(ISNUMBER(SEARCH("JPY",E415)),1000,IF(ISNUMBER(SEARCH("XAU",E415)),100,IF(OR(ISNUMBER(SEARCH("30",E415)),ISNUMBER(SEARCH("500",E415)),ISNUMBER(SEARCH("100",E415))),100,100000))),0))</f>
        <v/>
      </c>
      <c r="V415" s="12"/>
      <c r="W415" s="36"/>
      <c r="X415" s="27" t="str">
        <f aca="false">IF(OR(V415="",W415=0),"",IFERROR((V415-K415)*IF(F415="Sell",-1,1)*R415*W415*IF(ISNUMBER(SEARCH("JPY",E415)),1000,IF(ISNUMBER(SEARCH("XAU",E415)),100,IF(OR(ISNUMBER(SEARCH("30",E415)),ISNUMBER(SEARCH("500",E415)),ISNUMBER(SEARCH("100",E415))),100,100000))),0))</f>
        <v/>
      </c>
      <c r="Y415" s="12"/>
      <c r="Z415" s="36"/>
      <c r="AA415" s="27" t="str">
        <f aca="false">IF(OR(Y415="",Z415=0),"",IFERROR((Y415-K415)*IF(F415="Sell",-1,1)*R415*Z415*IF(ISNUMBER(SEARCH("JPY",E415)),1000,IF(ISNUMBER(SEARCH("XAU",E415)),100,IF(OR(ISNUMBER(SEARCH("30",E415)),ISNUMBER(SEARCH("500",E415)),ISNUMBER(SEARCH("100",E415))),100,100000))),0))</f>
        <v/>
      </c>
      <c r="AB415" s="12"/>
      <c r="AC415" s="29" t="str">
        <f aca="false">IF(K415="","",1-IFERROR(T415,0)-IFERROR(W415,0)-IFERROR(Z415,0))</f>
        <v/>
      </c>
      <c r="AD415" s="30" t="str">
        <f aca="false">IF(AB415="","",IFERROR((IFERROR(S415*T415,0)+IFERROR(V415*W415,0)+IFERROR(Y415*Z415,0)+AB415*AC415)/(IFERROR(T415,0)+IFERROR(W415,0)+IFERROR(Z415,0)+AC415),AB415))</f>
        <v/>
      </c>
      <c r="AE415" s="27" t="str">
        <f aca="false">IF(AB415="","",IF(U415="",0,U415)+IF(X415="",0,X415)+IF(AA415="",0,AA415)+IFERROR((AB415-K415)*IF(F415="Sell",-1,1)*R415*AC415*IF(ISNUMBER(SEARCH("JPY",E415)),1000,IF(ISNUMBER(SEARCH("XAU",E415)),100,IF(OR(ISNUMBER(SEARCH("30",E415)),ISNUMBER(SEARCH("500",E415)),ISNUMBER(SEARCH("100",E415))),100,100000))),0))</f>
        <v/>
      </c>
      <c r="AF415" s="31" t="str">
        <f aca="false">IF(OR(K415="",M415="",L415=""),"",IFERROR(ABS(M415-K415)/ABS(K415-L415),0))</f>
        <v/>
      </c>
      <c r="AG415" s="31" t="str">
        <f aca="false">IF(OR(AE415="",AE415=0,Q415=0,Q415=""),"",IFERROR(AE415/Q415,0))</f>
        <v/>
      </c>
      <c r="AH415" s="32" t="str">
        <f aca="false">IF(AB415="","Open",IF(AG415="","Open",IF(AG415&gt;0.1,"Win",IF(AG415&lt;-0.1,"Loss","Breakeven"))))</f>
        <v>Open</v>
      </c>
      <c r="AI415" s="33" t="str">
        <f aca="false">IF(OR(B415="",D415=""),"",D415-B415)</f>
        <v/>
      </c>
      <c r="AJ415" s="24" t="str">
        <f aca="false">IF(AD415="","",IFERROR((AD415-K415)*IF(F415="Sell",-1,1)/IF(ISNUMBER(SEARCH("JPY",E415)),0.01,IF(ISNUMBER(SEARCH("XAU",E415)),0.01,IF(OR(ISNUMBER(SEARCH("30",E415)),ISNUMBER(SEARCH("500",E415)),ISNUMBER(SEARCH("100",E415))),1,0.0001))),0))</f>
        <v/>
      </c>
      <c r="AK415" s="12"/>
      <c r="AL415" s="12"/>
      <c r="AM415" s="12"/>
      <c r="AN415" s="12"/>
      <c r="AO415" s="27" t="str">
        <f aca="false">IF(AE415="","",IFERROR(IF(AO414="",SETTINGS!$B$6,AO414),SETTINGS!$B$6)+IF(AE415="",0,AE415))</f>
        <v/>
      </c>
      <c r="AP415" s="2"/>
    </row>
    <row r="416" customFormat="false" ht="15" hidden="false" customHeight="false" outlineLevel="0" collapsed="false">
      <c r="A416" s="24" t="str">
        <f aca="false">IF(B416="","",ROW()-3)</f>
        <v/>
      </c>
      <c r="B416" s="25"/>
      <c r="C416" s="10"/>
      <c r="D416" s="25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26"/>
      <c r="P416" s="24" t="str">
        <f aca="false">IF(K416="","",IFERROR(ABS(K416-L416)/IF(ISNUMBER(SEARCH("JPY",E416)),0.01,IF(ISNUMBER(SEARCH("XAU",E416)),0.01,IF(OR(ISNUMBER(SEARCH("30",E416)),ISNUMBER(SEARCH("500",E416)),ISNUMBER(SEARCH("100",E416))),1,0.0001))),0))</f>
        <v/>
      </c>
      <c r="Q416" s="27" t="str">
        <f aca="false">IF(K416="","",SETTINGS!$B$6*O416)</f>
        <v/>
      </c>
      <c r="R416" s="24" t="str">
        <f aca="false">IF(K416="","",IFERROR(Q416/(P416*IF(ISNUMBER(SEARCH("JPY",E416)),9.09,IF(ISNUMBER(SEARCH("XAU",E416)),1,IF(OR(ISNUMBER(SEARCH("30",E416)),ISNUMBER(SEARCH("500",E416)),ISNUMBER(SEARCH("100",E416))),1,10)))),0))</f>
        <v/>
      </c>
      <c r="S416" s="10"/>
      <c r="T416" s="28"/>
      <c r="U416" s="27" t="str">
        <f aca="false">IF(OR(S416="",T416=0),"",IFERROR((S416-K416)*IF(F416="Sell",-1,1)*R416*T416*IF(ISNUMBER(SEARCH("JPY",E416)),1000,IF(ISNUMBER(SEARCH("XAU",E416)),100,IF(OR(ISNUMBER(SEARCH("30",E416)),ISNUMBER(SEARCH("500",E416)),ISNUMBER(SEARCH("100",E416))),100,100000))),0))</f>
        <v/>
      </c>
      <c r="V416" s="10"/>
      <c r="W416" s="28"/>
      <c r="X416" s="27" t="str">
        <f aca="false">IF(OR(V416="",W416=0),"",IFERROR((V416-K416)*IF(F416="Sell",-1,1)*R416*W416*IF(ISNUMBER(SEARCH("JPY",E416)),1000,IF(ISNUMBER(SEARCH("XAU",E416)),100,IF(OR(ISNUMBER(SEARCH("30",E416)),ISNUMBER(SEARCH("500",E416)),ISNUMBER(SEARCH("100",E416))),100,100000))),0))</f>
        <v/>
      </c>
      <c r="Y416" s="10"/>
      <c r="Z416" s="28"/>
      <c r="AA416" s="27" t="str">
        <f aca="false">IF(OR(Y416="",Z416=0),"",IFERROR((Y416-K416)*IF(F416="Sell",-1,1)*R416*Z416*IF(ISNUMBER(SEARCH("JPY",E416)),1000,IF(ISNUMBER(SEARCH("XAU",E416)),100,IF(OR(ISNUMBER(SEARCH("30",E416)),ISNUMBER(SEARCH("500",E416)),ISNUMBER(SEARCH("100",E416))),100,100000))),0))</f>
        <v/>
      </c>
      <c r="AB416" s="10"/>
      <c r="AC416" s="29" t="str">
        <f aca="false">IF(K416="","",1-IFERROR(T416,0)-IFERROR(W416,0)-IFERROR(Z416,0))</f>
        <v/>
      </c>
      <c r="AD416" s="30" t="str">
        <f aca="false">IF(AB416="","",IFERROR((IFERROR(S416*T416,0)+IFERROR(V416*W416,0)+IFERROR(Y416*Z416,0)+AB416*AC416)/(IFERROR(T416,0)+IFERROR(W416,0)+IFERROR(Z416,0)+AC416),AB416))</f>
        <v/>
      </c>
      <c r="AE416" s="27" t="str">
        <f aca="false">IF(AB416="","",IF(U416="",0,U416)+IF(X416="",0,X416)+IF(AA416="",0,AA416)+IFERROR((AB416-K416)*IF(F416="Sell",-1,1)*R416*AC416*IF(ISNUMBER(SEARCH("JPY",E416)),1000,IF(ISNUMBER(SEARCH("XAU",E416)),100,IF(OR(ISNUMBER(SEARCH("30",E416)),ISNUMBER(SEARCH("500",E416)),ISNUMBER(SEARCH("100",E416))),100,100000))),0))</f>
        <v/>
      </c>
      <c r="AF416" s="31" t="str">
        <f aca="false">IF(OR(K416="",M416="",L416=""),"",IFERROR(ABS(M416-K416)/ABS(K416-L416),0))</f>
        <v/>
      </c>
      <c r="AG416" s="31" t="str">
        <f aca="false">IF(OR(AE416="",AE416=0,Q416=0,Q416=""),"",IFERROR(AE416/Q416,0))</f>
        <v/>
      </c>
      <c r="AH416" s="32" t="str">
        <f aca="false">IF(AB416="","Open",IF(AG416="","Open",IF(AG416&gt;0.1,"Win",IF(AG416&lt;-0.1,"Loss","Breakeven"))))</f>
        <v>Open</v>
      </c>
      <c r="AI416" s="33" t="str">
        <f aca="false">IF(OR(B416="",D416=""),"",D416-B416)</f>
        <v/>
      </c>
      <c r="AJ416" s="24" t="str">
        <f aca="false">IF(AD416="","",IFERROR((AD416-K416)*IF(F416="Sell",-1,1)/IF(ISNUMBER(SEARCH("JPY",E416)),0.01,IF(ISNUMBER(SEARCH("XAU",E416)),0.01,IF(OR(ISNUMBER(SEARCH("30",E416)),ISNUMBER(SEARCH("500",E416)),ISNUMBER(SEARCH("100",E416))),1,0.0001))),0))</f>
        <v/>
      </c>
      <c r="AK416" s="10"/>
      <c r="AL416" s="10"/>
      <c r="AM416" s="10"/>
      <c r="AN416" s="10"/>
      <c r="AO416" s="27" t="str">
        <f aca="false">IF(AE416="","",IFERROR(IF(AO415="",SETTINGS!$B$6,AO415),SETTINGS!$B$6)+IF(AE416="",0,AE416))</f>
        <v/>
      </c>
      <c r="AP416" s="2"/>
    </row>
    <row r="417" customFormat="false" ht="15" hidden="false" customHeight="false" outlineLevel="0" collapsed="false">
      <c r="A417" s="24" t="str">
        <f aca="false">IF(B417="","",ROW()-3)</f>
        <v/>
      </c>
      <c r="B417" s="34"/>
      <c r="C417" s="12"/>
      <c r="D417" s="34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35"/>
      <c r="P417" s="24" t="str">
        <f aca="false">IF(K417="","",IFERROR(ABS(K417-L417)/IF(ISNUMBER(SEARCH("JPY",E417)),0.01,IF(ISNUMBER(SEARCH("XAU",E417)),0.01,IF(OR(ISNUMBER(SEARCH("30",E417)),ISNUMBER(SEARCH("500",E417)),ISNUMBER(SEARCH("100",E417))),1,0.0001))),0))</f>
        <v/>
      </c>
      <c r="Q417" s="27" t="str">
        <f aca="false">IF(K417="","",SETTINGS!$B$6*O417)</f>
        <v/>
      </c>
      <c r="R417" s="24" t="str">
        <f aca="false">IF(K417="","",IFERROR(Q417/(P417*IF(ISNUMBER(SEARCH("JPY",E417)),9.09,IF(ISNUMBER(SEARCH("XAU",E417)),1,IF(OR(ISNUMBER(SEARCH("30",E417)),ISNUMBER(SEARCH("500",E417)),ISNUMBER(SEARCH("100",E417))),1,10)))),0))</f>
        <v/>
      </c>
      <c r="S417" s="12"/>
      <c r="T417" s="36"/>
      <c r="U417" s="27" t="str">
        <f aca="false">IF(OR(S417="",T417=0),"",IFERROR((S417-K417)*IF(F417="Sell",-1,1)*R417*T417*IF(ISNUMBER(SEARCH("JPY",E417)),1000,IF(ISNUMBER(SEARCH("XAU",E417)),100,IF(OR(ISNUMBER(SEARCH("30",E417)),ISNUMBER(SEARCH("500",E417)),ISNUMBER(SEARCH("100",E417))),100,100000))),0))</f>
        <v/>
      </c>
      <c r="V417" s="12"/>
      <c r="W417" s="36"/>
      <c r="X417" s="27" t="str">
        <f aca="false">IF(OR(V417="",W417=0),"",IFERROR((V417-K417)*IF(F417="Sell",-1,1)*R417*W417*IF(ISNUMBER(SEARCH("JPY",E417)),1000,IF(ISNUMBER(SEARCH("XAU",E417)),100,IF(OR(ISNUMBER(SEARCH("30",E417)),ISNUMBER(SEARCH("500",E417)),ISNUMBER(SEARCH("100",E417))),100,100000))),0))</f>
        <v/>
      </c>
      <c r="Y417" s="12"/>
      <c r="Z417" s="36"/>
      <c r="AA417" s="27" t="str">
        <f aca="false">IF(OR(Y417="",Z417=0),"",IFERROR((Y417-K417)*IF(F417="Sell",-1,1)*R417*Z417*IF(ISNUMBER(SEARCH("JPY",E417)),1000,IF(ISNUMBER(SEARCH("XAU",E417)),100,IF(OR(ISNUMBER(SEARCH("30",E417)),ISNUMBER(SEARCH("500",E417)),ISNUMBER(SEARCH("100",E417))),100,100000))),0))</f>
        <v/>
      </c>
      <c r="AB417" s="12"/>
      <c r="AC417" s="29" t="str">
        <f aca="false">IF(K417="","",1-IFERROR(T417,0)-IFERROR(W417,0)-IFERROR(Z417,0))</f>
        <v/>
      </c>
      <c r="AD417" s="30" t="str">
        <f aca="false">IF(AB417="","",IFERROR((IFERROR(S417*T417,0)+IFERROR(V417*W417,0)+IFERROR(Y417*Z417,0)+AB417*AC417)/(IFERROR(T417,0)+IFERROR(W417,0)+IFERROR(Z417,0)+AC417),AB417))</f>
        <v/>
      </c>
      <c r="AE417" s="27" t="str">
        <f aca="false">IF(AB417="","",IF(U417="",0,U417)+IF(X417="",0,X417)+IF(AA417="",0,AA417)+IFERROR((AB417-K417)*IF(F417="Sell",-1,1)*R417*AC417*IF(ISNUMBER(SEARCH("JPY",E417)),1000,IF(ISNUMBER(SEARCH("XAU",E417)),100,IF(OR(ISNUMBER(SEARCH("30",E417)),ISNUMBER(SEARCH("500",E417)),ISNUMBER(SEARCH("100",E417))),100,100000))),0))</f>
        <v/>
      </c>
      <c r="AF417" s="31" t="str">
        <f aca="false">IF(OR(K417="",M417="",L417=""),"",IFERROR(ABS(M417-K417)/ABS(K417-L417),0))</f>
        <v/>
      </c>
      <c r="AG417" s="31" t="str">
        <f aca="false">IF(OR(AE417="",AE417=0,Q417=0,Q417=""),"",IFERROR(AE417/Q417,0))</f>
        <v/>
      </c>
      <c r="AH417" s="32" t="str">
        <f aca="false">IF(AB417="","Open",IF(AG417="","Open",IF(AG417&gt;0.1,"Win",IF(AG417&lt;-0.1,"Loss","Breakeven"))))</f>
        <v>Open</v>
      </c>
      <c r="AI417" s="33" t="str">
        <f aca="false">IF(OR(B417="",D417=""),"",D417-B417)</f>
        <v/>
      </c>
      <c r="AJ417" s="24" t="str">
        <f aca="false">IF(AD417="","",IFERROR((AD417-K417)*IF(F417="Sell",-1,1)/IF(ISNUMBER(SEARCH("JPY",E417)),0.01,IF(ISNUMBER(SEARCH("XAU",E417)),0.01,IF(OR(ISNUMBER(SEARCH("30",E417)),ISNUMBER(SEARCH("500",E417)),ISNUMBER(SEARCH("100",E417))),1,0.0001))),0))</f>
        <v/>
      </c>
      <c r="AK417" s="12"/>
      <c r="AL417" s="12"/>
      <c r="AM417" s="12"/>
      <c r="AN417" s="12"/>
      <c r="AO417" s="27" t="str">
        <f aca="false">IF(AE417="","",IFERROR(IF(AO416="",SETTINGS!$B$6,AO416),SETTINGS!$B$6)+IF(AE417="",0,AE417))</f>
        <v/>
      </c>
      <c r="AP417" s="2"/>
    </row>
    <row r="418" customFormat="false" ht="15" hidden="false" customHeight="false" outlineLevel="0" collapsed="false">
      <c r="A418" s="24" t="str">
        <f aca="false">IF(B418="","",ROW()-3)</f>
        <v/>
      </c>
      <c r="B418" s="25"/>
      <c r="C418" s="10"/>
      <c r="D418" s="25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26"/>
      <c r="P418" s="24" t="str">
        <f aca="false">IF(K418="","",IFERROR(ABS(K418-L418)/IF(ISNUMBER(SEARCH("JPY",E418)),0.01,IF(ISNUMBER(SEARCH("XAU",E418)),0.01,IF(OR(ISNUMBER(SEARCH("30",E418)),ISNUMBER(SEARCH("500",E418)),ISNUMBER(SEARCH("100",E418))),1,0.0001))),0))</f>
        <v/>
      </c>
      <c r="Q418" s="27" t="str">
        <f aca="false">IF(K418="","",SETTINGS!$B$6*O418)</f>
        <v/>
      </c>
      <c r="R418" s="24" t="str">
        <f aca="false">IF(K418="","",IFERROR(Q418/(P418*IF(ISNUMBER(SEARCH("JPY",E418)),9.09,IF(ISNUMBER(SEARCH("XAU",E418)),1,IF(OR(ISNUMBER(SEARCH("30",E418)),ISNUMBER(SEARCH("500",E418)),ISNUMBER(SEARCH("100",E418))),1,10)))),0))</f>
        <v/>
      </c>
      <c r="S418" s="10"/>
      <c r="T418" s="28"/>
      <c r="U418" s="27" t="str">
        <f aca="false">IF(OR(S418="",T418=0),"",IFERROR((S418-K418)*IF(F418="Sell",-1,1)*R418*T418*IF(ISNUMBER(SEARCH("JPY",E418)),1000,IF(ISNUMBER(SEARCH("XAU",E418)),100,IF(OR(ISNUMBER(SEARCH("30",E418)),ISNUMBER(SEARCH("500",E418)),ISNUMBER(SEARCH("100",E418))),100,100000))),0))</f>
        <v/>
      </c>
      <c r="V418" s="10"/>
      <c r="W418" s="28"/>
      <c r="X418" s="27" t="str">
        <f aca="false">IF(OR(V418="",W418=0),"",IFERROR((V418-K418)*IF(F418="Sell",-1,1)*R418*W418*IF(ISNUMBER(SEARCH("JPY",E418)),1000,IF(ISNUMBER(SEARCH("XAU",E418)),100,IF(OR(ISNUMBER(SEARCH("30",E418)),ISNUMBER(SEARCH("500",E418)),ISNUMBER(SEARCH("100",E418))),100,100000))),0))</f>
        <v/>
      </c>
      <c r="Y418" s="10"/>
      <c r="Z418" s="28"/>
      <c r="AA418" s="27" t="str">
        <f aca="false">IF(OR(Y418="",Z418=0),"",IFERROR((Y418-K418)*IF(F418="Sell",-1,1)*R418*Z418*IF(ISNUMBER(SEARCH("JPY",E418)),1000,IF(ISNUMBER(SEARCH("XAU",E418)),100,IF(OR(ISNUMBER(SEARCH("30",E418)),ISNUMBER(SEARCH("500",E418)),ISNUMBER(SEARCH("100",E418))),100,100000))),0))</f>
        <v/>
      </c>
      <c r="AB418" s="10"/>
      <c r="AC418" s="29" t="str">
        <f aca="false">IF(K418="","",1-IFERROR(T418,0)-IFERROR(W418,0)-IFERROR(Z418,0))</f>
        <v/>
      </c>
      <c r="AD418" s="30" t="str">
        <f aca="false">IF(AB418="","",IFERROR((IFERROR(S418*T418,0)+IFERROR(V418*W418,0)+IFERROR(Y418*Z418,0)+AB418*AC418)/(IFERROR(T418,0)+IFERROR(W418,0)+IFERROR(Z418,0)+AC418),AB418))</f>
        <v/>
      </c>
      <c r="AE418" s="27" t="str">
        <f aca="false">IF(AB418="","",IF(U418="",0,U418)+IF(X418="",0,X418)+IF(AA418="",0,AA418)+IFERROR((AB418-K418)*IF(F418="Sell",-1,1)*R418*AC418*IF(ISNUMBER(SEARCH("JPY",E418)),1000,IF(ISNUMBER(SEARCH("XAU",E418)),100,IF(OR(ISNUMBER(SEARCH("30",E418)),ISNUMBER(SEARCH("500",E418)),ISNUMBER(SEARCH("100",E418))),100,100000))),0))</f>
        <v/>
      </c>
      <c r="AF418" s="31" t="str">
        <f aca="false">IF(OR(K418="",M418="",L418=""),"",IFERROR(ABS(M418-K418)/ABS(K418-L418),0))</f>
        <v/>
      </c>
      <c r="AG418" s="31" t="str">
        <f aca="false">IF(OR(AE418="",AE418=0,Q418=0,Q418=""),"",IFERROR(AE418/Q418,0))</f>
        <v/>
      </c>
      <c r="AH418" s="32" t="str">
        <f aca="false">IF(AB418="","Open",IF(AG418="","Open",IF(AG418&gt;0.1,"Win",IF(AG418&lt;-0.1,"Loss","Breakeven"))))</f>
        <v>Open</v>
      </c>
      <c r="AI418" s="33" t="str">
        <f aca="false">IF(OR(B418="",D418=""),"",D418-B418)</f>
        <v/>
      </c>
      <c r="AJ418" s="24" t="str">
        <f aca="false">IF(AD418="","",IFERROR((AD418-K418)*IF(F418="Sell",-1,1)/IF(ISNUMBER(SEARCH("JPY",E418)),0.01,IF(ISNUMBER(SEARCH("XAU",E418)),0.01,IF(OR(ISNUMBER(SEARCH("30",E418)),ISNUMBER(SEARCH("500",E418)),ISNUMBER(SEARCH("100",E418))),1,0.0001))),0))</f>
        <v/>
      </c>
      <c r="AK418" s="10"/>
      <c r="AL418" s="10"/>
      <c r="AM418" s="10"/>
      <c r="AN418" s="10"/>
      <c r="AO418" s="27" t="str">
        <f aca="false">IF(AE418="","",IFERROR(IF(AO417="",SETTINGS!$B$6,AO417),SETTINGS!$B$6)+IF(AE418="",0,AE418))</f>
        <v/>
      </c>
      <c r="AP418" s="2"/>
    </row>
    <row r="419" customFormat="false" ht="15" hidden="false" customHeight="false" outlineLevel="0" collapsed="false">
      <c r="A419" s="24" t="str">
        <f aca="false">IF(B419="","",ROW()-3)</f>
        <v/>
      </c>
      <c r="B419" s="34"/>
      <c r="C419" s="12"/>
      <c r="D419" s="34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35"/>
      <c r="P419" s="24" t="str">
        <f aca="false">IF(K419="","",IFERROR(ABS(K419-L419)/IF(ISNUMBER(SEARCH("JPY",E419)),0.01,IF(ISNUMBER(SEARCH("XAU",E419)),0.01,IF(OR(ISNUMBER(SEARCH("30",E419)),ISNUMBER(SEARCH("500",E419)),ISNUMBER(SEARCH("100",E419))),1,0.0001))),0))</f>
        <v/>
      </c>
      <c r="Q419" s="27" t="str">
        <f aca="false">IF(K419="","",SETTINGS!$B$6*O419)</f>
        <v/>
      </c>
      <c r="R419" s="24" t="str">
        <f aca="false">IF(K419="","",IFERROR(Q419/(P419*IF(ISNUMBER(SEARCH("JPY",E419)),9.09,IF(ISNUMBER(SEARCH("XAU",E419)),1,IF(OR(ISNUMBER(SEARCH("30",E419)),ISNUMBER(SEARCH("500",E419)),ISNUMBER(SEARCH("100",E419))),1,10)))),0))</f>
        <v/>
      </c>
      <c r="S419" s="12"/>
      <c r="T419" s="36"/>
      <c r="U419" s="27" t="str">
        <f aca="false">IF(OR(S419="",T419=0),"",IFERROR((S419-K419)*IF(F419="Sell",-1,1)*R419*T419*IF(ISNUMBER(SEARCH("JPY",E419)),1000,IF(ISNUMBER(SEARCH("XAU",E419)),100,IF(OR(ISNUMBER(SEARCH("30",E419)),ISNUMBER(SEARCH("500",E419)),ISNUMBER(SEARCH("100",E419))),100,100000))),0))</f>
        <v/>
      </c>
      <c r="V419" s="12"/>
      <c r="W419" s="36"/>
      <c r="X419" s="27" t="str">
        <f aca="false">IF(OR(V419="",W419=0),"",IFERROR((V419-K419)*IF(F419="Sell",-1,1)*R419*W419*IF(ISNUMBER(SEARCH("JPY",E419)),1000,IF(ISNUMBER(SEARCH("XAU",E419)),100,IF(OR(ISNUMBER(SEARCH("30",E419)),ISNUMBER(SEARCH("500",E419)),ISNUMBER(SEARCH("100",E419))),100,100000))),0))</f>
        <v/>
      </c>
      <c r="Y419" s="12"/>
      <c r="Z419" s="36"/>
      <c r="AA419" s="27" t="str">
        <f aca="false">IF(OR(Y419="",Z419=0),"",IFERROR((Y419-K419)*IF(F419="Sell",-1,1)*R419*Z419*IF(ISNUMBER(SEARCH("JPY",E419)),1000,IF(ISNUMBER(SEARCH("XAU",E419)),100,IF(OR(ISNUMBER(SEARCH("30",E419)),ISNUMBER(SEARCH("500",E419)),ISNUMBER(SEARCH("100",E419))),100,100000))),0))</f>
        <v/>
      </c>
      <c r="AB419" s="12"/>
      <c r="AC419" s="29" t="str">
        <f aca="false">IF(K419="","",1-IFERROR(T419,0)-IFERROR(W419,0)-IFERROR(Z419,0))</f>
        <v/>
      </c>
      <c r="AD419" s="30" t="str">
        <f aca="false">IF(AB419="","",IFERROR((IFERROR(S419*T419,0)+IFERROR(V419*W419,0)+IFERROR(Y419*Z419,0)+AB419*AC419)/(IFERROR(T419,0)+IFERROR(W419,0)+IFERROR(Z419,0)+AC419),AB419))</f>
        <v/>
      </c>
      <c r="AE419" s="27" t="str">
        <f aca="false">IF(AB419="","",IF(U419="",0,U419)+IF(X419="",0,X419)+IF(AA419="",0,AA419)+IFERROR((AB419-K419)*IF(F419="Sell",-1,1)*R419*AC419*IF(ISNUMBER(SEARCH("JPY",E419)),1000,IF(ISNUMBER(SEARCH("XAU",E419)),100,IF(OR(ISNUMBER(SEARCH("30",E419)),ISNUMBER(SEARCH("500",E419)),ISNUMBER(SEARCH("100",E419))),100,100000))),0))</f>
        <v/>
      </c>
      <c r="AF419" s="31" t="str">
        <f aca="false">IF(OR(K419="",M419="",L419=""),"",IFERROR(ABS(M419-K419)/ABS(K419-L419),0))</f>
        <v/>
      </c>
      <c r="AG419" s="31" t="str">
        <f aca="false">IF(OR(AE419="",AE419=0,Q419=0,Q419=""),"",IFERROR(AE419/Q419,0))</f>
        <v/>
      </c>
      <c r="AH419" s="32" t="str">
        <f aca="false">IF(AB419="","Open",IF(AG419="","Open",IF(AG419&gt;0.1,"Win",IF(AG419&lt;-0.1,"Loss","Breakeven"))))</f>
        <v>Open</v>
      </c>
      <c r="AI419" s="33" t="str">
        <f aca="false">IF(OR(B419="",D419=""),"",D419-B419)</f>
        <v/>
      </c>
      <c r="AJ419" s="24" t="str">
        <f aca="false">IF(AD419="","",IFERROR((AD419-K419)*IF(F419="Sell",-1,1)/IF(ISNUMBER(SEARCH("JPY",E419)),0.01,IF(ISNUMBER(SEARCH("XAU",E419)),0.01,IF(OR(ISNUMBER(SEARCH("30",E419)),ISNUMBER(SEARCH("500",E419)),ISNUMBER(SEARCH("100",E419))),1,0.0001))),0))</f>
        <v/>
      </c>
      <c r="AK419" s="12"/>
      <c r="AL419" s="12"/>
      <c r="AM419" s="12"/>
      <c r="AN419" s="12"/>
      <c r="AO419" s="27" t="str">
        <f aca="false">IF(AE419="","",IFERROR(IF(AO418="",SETTINGS!$B$6,AO418),SETTINGS!$B$6)+IF(AE419="",0,AE419))</f>
        <v/>
      </c>
      <c r="AP419" s="2"/>
    </row>
    <row r="420" customFormat="false" ht="15" hidden="false" customHeight="false" outlineLevel="0" collapsed="false">
      <c r="A420" s="24" t="str">
        <f aca="false">IF(B420="","",ROW()-3)</f>
        <v/>
      </c>
      <c r="B420" s="25"/>
      <c r="C420" s="10"/>
      <c r="D420" s="25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26"/>
      <c r="P420" s="24" t="str">
        <f aca="false">IF(K420="","",IFERROR(ABS(K420-L420)/IF(ISNUMBER(SEARCH("JPY",E420)),0.01,IF(ISNUMBER(SEARCH("XAU",E420)),0.01,IF(OR(ISNUMBER(SEARCH("30",E420)),ISNUMBER(SEARCH("500",E420)),ISNUMBER(SEARCH("100",E420))),1,0.0001))),0))</f>
        <v/>
      </c>
      <c r="Q420" s="27" t="str">
        <f aca="false">IF(K420="","",SETTINGS!$B$6*O420)</f>
        <v/>
      </c>
      <c r="R420" s="24" t="str">
        <f aca="false">IF(K420="","",IFERROR(Q420/(P420*IF(ISNUMBER(SEARCH("JPY",E420)),9.09,IF(ISNUMBER(SEARCH("XAU",E420)),1,IF(OR(ISNUMBER(SEARCH("30",E420)),ISNUMBER(SEARCH("500",E420)),ISNUMBER(SEARCH("100",E420))),1,10)))),0))</f>
        <v/>
      </c>
      <c r="S420" s="10"/>
      <c r="T420" s="28"/>
      <c r="U420" s="27" t="str">
        <f aca="false">IF(OR(S420="",T420=0),"",IFERROR((S420-K420)*IF(F420="Sell",-1,1)*R420*T420*IF(ISNUMBER(SEARCH("JPY",E420)),1000,IF(ISNUMBER(SEARCH("XAU",E420)),100,IF(OR(ISNUMBER(SEARCH("30",E420)),ISNUMBER(SEARCH("500",E420)),ISNUMBER(SEARCH("100",E420))),100,100000))),0))</f>
        <v/>
      </c>
      <c r="V420" s="10"/>
      <c r="W420" s="28"/>
      <c r="X420" s="27" t="str">
        <f aca="false">IF(OR(V420="",W420=0),"",IFERROR((V420-K420)*IF(F420="Sell",-1,1)*R420*W420*IF(ISNUMBER(SEARCH("JPY",E420)),1000,IF(ISNUMBER(SEARCH("XAU",E420)),100,IF(OR(ISNUMBER(SEARCH("30",E420)),ISNUMBER(SEARCH("500",E420)),ISNUMBER(SEARCH("100",E420))),100,100000))),0))</f>
        <v/>
      </c>
      <c r="Y420" s="10"/>
      <c r="Z420" s="28"/>
      <c r="AA420" s="27" t="str">
        <f aca="false">IF(OR(Y420="",Z420=0),"",IFERROR((Y420-K420)*IF(F420="Sell",-1,1)*R420*Z420*IF(ISNUMBER(SEARCH("JPY",E420)),1000,IF(ISNUMBER(SEARCH("XAU",E420)),100,IF(OR(ISNUMBER(SEARCH("30",E420)),ISNUMBER(SEARCH("500",E420)),ISNUMBER(SEARCH("100",E420))),100,100000))),0))</f>
        <v/>
      </c>
      <c r="AB420" s="10"/>
      <c r="AC420" s="29" t="str">
        <f aca="false">IF(K420="","",1-IFERROR(T420,0)-IFERROR(W420,0)-IFERROR(Z420,0))</f>
        <v/>
      </c>
      <c r="AD420" s="30" t="str">
        <f aca="false">IF(AB420="","",IFERROR((IFERROR(S420*T420,0)+IFERROR(V420*W420,0)+IFERROR(Y420*Z420,0)+AB420*AC420)/(IFERROR(T420,0)+IFERROR(W420,0)+IFERROR(Z420,0)+AC420),AB420))</f>
        <v/>
      </c>
      <c r="AE420" s="27" t="str">
        <f aca="false">IF(AB420="","",IF(U420="",0,U420)+IF(X420="",0,X420)+IF(AA420="",0,AA420)+IFERROR((AB420-K420)*IF(F420="Sell",-1,1)*R420*AC420*IF(ISNUMBER(SEARCH("JPY",E420)),1000,IF(ISNUMBER(SEARCH("XAU",E420)),100,IF(OR(ISNUMBER(SEARCH("30",E420)),ISNUMBER(SEARCH("500",E420)),ISNUMBER(SEARCH("100",E420))),100,100000))),0))</f>
        <v/>
      </c>
      <c r="AF420" s="31" t="str">
        <f aca="false">IF(OR(K420="",M420="",L420=""),"",IFERROR(ABS(M420-K420)/ABS(K420-L420),0))</f>
        <v/>
      </c>
      <c r="AG420" s="31" t="str">
        <f aca="false">IF(OR(AE420="",AE420=0,Q420=0,Q420=""),"",IFERROR(AE420/Q420,0))</f>
        <v/>
      </c>
      <c r="AH420" s="32" t="str">
        <f aca="false">IF(AB420="","Open",IF(AG420="","Open",IF(AG420&gt;0.1,"Win",IF(AG420&lt;-0.1,"Loss","Breakeven"))))</f>
        <v>Open</v>
      </c>
      <c r="AI420" s="33" t="str">
        <f aca="false">IF(OR(B420="",D420=""),"",D420-B420)</f>
        <v/>
      </c>
      <c r="AJ420" s="24" t="str">
        <f aca="false">IF(AD420="","",IFERROR((AD420-K420)*IF(F420="Sell",-1,1)/IF(ISNUMBER(SEARCH("JPY",E420)),0.01,IF(ISNUMBER(SEARCH("XAU",E420)),0.01,IF(OR(ISNUMBER(SEARCH("30",E420)),ISNUMBER(SEARCH("500",E420)),ISNUMBER(SEARCH("100",E420))),1,0.0001))),0))</f>
        <v/>
      </c>
      <c r="AK420" s="10"/>
      <c r="AL420" s="10"/>
      <c r="AM420" s="10"/>
      <c r="AN420" s="10"/>
      <c r="AO420" s="27" t="str">
        <f aca="false">IF(AE420="","",IFERROR(IF(AO419="",SETTINGS!$B$6,AO419),SETTINGS!$B$6)+IF(AE420="",0,AE420))</f>
        <v/>
      </c>
      <c r="AP420" s="2"/>
    </row>
    <row r="421" customFormat="false" ht="15" hidden="false" customHeight="false" outlineLevel="0" collapsed="false">
      <c r="A421" s="24" t="str">
        <f aca="false">IF(B421="","",ROW()-3)</f>
        <v/>
      </c>
      <c r="B421" s="34"/>
      <c r="C421" s="12"/>
      <c r="D421" s="34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35"/>
      <c r="P421" s="24" t="str">
        <f aca="false">IF(K421="","",IFERROR(ABS(K421-L421)/IF(ISNUMBER(SEARCH("JPY",E421)),0.01,IF(ISNUMBER(SEARCH("XAU",E421)),0.01,IF(OR(ISNUMBER(SEARCH("30",E421)),ISNUMBER(SEARCH("500",E421)),ISNUMBER(SEARCH("100",E421))),1,0.0001))),0))</f>
        <v/>
      </c>
      <c r="Q421" s="27" t="str">
        <f aca="false">IF(K421="","",SETTINGS!$B$6*O421)</f>
        <v/>
      </c>
      <c r="R421" s="24" t="str">
        <f aca="false">IF(K421="","",IFERROR(Q421/(P421*IF(ISNUMBER(SEARCH("JPY",E421)),9.09,IF(ISNUMBER(SEARCH("XAU",E421)),1,IF(OR(ISNUMBER(SEARCH("30",E421)),ISNUMBER(SEARCH("500",E421)),ISNUMBER(SEARCH("100",E421))),1,10)))),0))</f>
        <v/>
      </c>
      <c r="S421" s="12"/>
      <c r="T421" s="36"/>
      <c r="U421" s="27" t="str">
        <f aca="false">IF(OR(S421="",T421=0),"",IFERROR((S421-K421)*IF(F421="Sell",-1,1)*R421*T421*IF(ISNUMBER(SEARCH("JPY",E421)),1000,IF(ISNUMBER(SEARCH("XAU",E421)),100,IF(OR(ISNUMBER(SEARCH("30",E421)),ISNUMBER(SEARCH("500",E421)),ISNUMBER(SEARCH("100",E421))),100,100000))),0))</f>
        <v/>
      </c>
      <c r="V421" s="12"/>
      <c r="W421" s="36"/>
      <c r="X421" s="27" t="str">
        <f aca="false">IF(OR(V421="",W421=0),"",IFERROR((V421-K421)*IF(F421="Sell",-1,1)*R421*W421*IF(ISNUMBER(SEARCH("JPY",E421)),1000,IF(ISNUMBER(SEARCH("XAU",E421)),100,IF(OR(ISNUMBER(SEARCH("30",E421)),ISNUMBER(SEARCH("500",E421)),ISNUMBER(SEARCH("100",E421))),100,100000))),0))</f>
        <v/>
      </c>
      <c r="Y421" s="12"/>
      <c r="Z421" s="36"/>
      <c r="AA421" s="27" t="str">
        <f aca="false">IF(OR(Y421="",Z421=0),"",IFERROR((Y421-K421)*IF(F421="Sell",-1,1)*R421*Z421*IF(ISNUMBER(SEARCH("JPY",E421)),1000,IF(ISNUMBER(SEARCH("XAU",E421)),100,IF(OR(ISNUMBER(SEARCH("30",E421)),ISNUMBER(SEARCH("500",E421)),ISNUMBER(SEARCH("100",E421))),100,100000))),0))</f>
        <v/>
      </c>
      <c r="AB421" s="12"/>
      <c r="AC421" s="29" t="str">
        <f aca="false">IF(K421="","",1-IFERROR(T421,0)-IFERROR(W421,0)-IFERROR(Z421,0))</f>
        <v/>
      </c>
      <c r="AD421" s="30" t="str">
        <f aca="false">IF(AB421="","",IFERROR((IFERROR(S421*T421,0)+IFERROR(V421*W421,0)+IFERROR(Y421*Z421,0)+AB421*AC421)/(IFERROR(T421,0)+IFERROR(W421,0)+IFERROR(Z421,0)+AC421),AB421))</f>
        <v/>
      </c>
      <c r="AE421" s="27" t="str">
        <f aca="false">IF(AB421="","",IF(U421="",0,U421)+IF(X421="",0,X421)+IF(AA421="",0,AA421)+IFERROR((AB421-K421)*IF(F421="Sell",-1,1)*R421*AC421*IF(ISNUMBER(SEARCH("JPY",E421)),1000,IF(ISNUMBER(SEARCH("XAU",E421)),100,IF(OR(ISNUMBER(SEARCH("30",E421)),ISNUMBER(SEARCH("500",E421)),ISNUMBER(SEARCH("100",E421))),100,100000))),0))</f>
        <v/>
      </c>
      <c r="AF421" s="31" t="str">
        <f aca="false">IF(OR(K421="",M421="",L421=""),"",IFERROR(ABS(M421-K421)/ABS(K421-L421),0))</f>
        <v/>
      </c>
      <c r="AG421" s="31" t="str">
        <f aca="false">IF(OR(AE421="",AE421=0,Q421=0,Q421=""),"",IFERROR(AE421/Q421,0))</f>
        <v/>
      </c>
      <c r="AH421" s="32" t="str">
        <f aca="false">IF(AB421="","Open",IF(AG421="","Open",IF(AG421&gt;0.1,"Win",IF(AG421&lt;-0.1,"Loss","Breakeven"))))</f>
        <v>Open</v>
      </c>
      <c r="AI421" s="33" t="str">
        <f aca="false">IF(OR(B421="",D421=""),"",D421-B421)</f>
        <v/>
      </c>
      <c r="AJ421" s="24" t="str">
        <f aca="false">IF(AD421="","",IFERROR((AD421-K421)*IF(F421="Sell",-1,1)/IF(ISNUMBER(SEARCH("JPY",E421)),0.01,IF(ISNUMBER(SEARCH("XAU",E421)),0.01,IF(OR(ISNUMBER(SEARCH("30",E421)),ISNUMBER(SEARCH("500",E421)),ISNUMBER(SEARCH("100",E421))),1,0.0001))),0))</f>
        <v/>
      </c>
      <c r="AK421" s="12"/>
      <c r="AL421" s="12"/>
      <c r="AM421" s="12"/>
      <c r="AN421" s="12"/>
      <c r="AO421" s="27" t="str">
        <f aca="false">IF(AE421="","",IFERROR(IF(AO420="",SETTINGS!$B$6,AO420),SETTINGS!$B$6)+IF(AE421="",0,AE421))</f>
        <v/>
      </c>
      <c r="AP421" s="2"/>
    </row>
    <row r="422" customFormat="false" ht="15" hidden="false" customHeight="false" outlineLevel="0" collapsed="false">
      <c r="A422" s="24" t="str">
        <f aca="false">IF(B422="","",ROW()-3)</f>
        <v/>
      </c>
      <c r="B422" s="25"/>
      <c r="C422" s="10"/>
      <c r="D422" s="25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26"/>
      <c r="P422" s="24" t="str">
        <f aca="false">IF(K422="","",IFERROR(ABS(K422-L422)/IF(ISNUMBER(SEARCH("JPY",E422)),0.01,IF(ISNUMBER(SEARCH("XAU",E422)),0.01,IF(OR(ISNUMBER(SEARCH("30",E422)),ISNUMBER(SEARCH("500",E422)),ISNUMBER(SEARCH("100",E422))),1,0.0001))),0))</f>
        <v/>
      </c>
      <c r="Q422" s="27" t="str">
        <f aca="false">IF(K422="","",SETTINGS!$B$6*O422)</f>
        <v/>
      </c>
      <c r="R422" s="24" t="str">
        <f aca="false">IF(K422="","",IFERROR(Q422/(P422*IF(ISNUMBER(SEARCH("JPY",E422)),9.09,IF(ISNUMBER(SEARCH("XAU",E422)),1,IF(OR(ISNUMBER(SEARCH("30",E422)),ISNUMBER(SEARCH("500",E422)),ISNUMBER(SEARCH("100",E422))),1,10)))),0))</f>
        <v/>
      </c>
      <c r="S422" s="10"/>
      <c r="T422" s="28"/>
      <c r="U422" s="27" t="str">
        <f aca="false">IF(OR(S422="",T422=0),"",IFERROR((S422-K422)*IF(F422="Sell",-1,1)*R422*T422*IF(ISNUMBER(SEARCH("JPY",E422)),1000,IF(ISNUMBER(SEARCH("XAU",E422)),100,IF(OR(ISNUMBER(SEARCH("30",E422)),ISNUMBER(SEARCH("500",E422)),ISNUMBER(SEARCH("100",E422))),100,100000))),0))</f>
        <v/>
      </c>
      <c r="V422" s="10"/>
      <c r="W422" s="28"/>
      <c r="X422" s="27" t="str">
        <f aca="false">IF(OR(V422="",W422=0),"",IFERROR((V422-K422)*IF(F422="Sell",-1,1)*R422*W422*IF(ISNUMBER(SEARCH("JPY",E422)),1000,IF(ISNUMBER(SEARCH("XAU",E422)),100,IF(OR(ISNUMBER(SEARCH("30",E422)),ISNUMBER(SEARCH("500",E422)),ISNUMBER(SEARCH("100",E422))),100,100000))),0))</f>
        <v/>
      </c>
      <c r="Y422" s="10"/>
      <c r="Z422" s="28"/>
      <c r="AA422" s="27" t="str">
        <f aca="false">IF(OR(Y422="",Z422=0),"",IFERROR((Y422-K422)*IF(F422="Sell",-1,1)*R422*Z422*IF(ISNUMBER(SEARCH("JPY",E422)),1000,IF(ISNUMBER(SEARCH("XAU",E422)),100,IF(OR(ISNUMBER(SEARCH("30",E422)),ISNUMBER(SEARCH("500",E422)),ISNUMBER(SEARCH("100",E422))),100,100000))),0))</f>
        <v/>
      </c>
      <c r="AB422" s="10"/>
      <c r="AC422" s="29" t="str">
        <f aca="false">IF(K422="","",1-IFERROR(T422,0)-IFERROR(W422,0)-IFERROR(Z422,0))</f>
        <v/>
      </c>
      <c r="AD422" s="30" t="str">
        <f aca="false">IF(AB422="","",IFERROR((IFERROR(S422*T422,0)+IFERROR(V422*W422,0)+IFERROR(Y422*Z422,0)+AB422*AC422)/(IFERROR(T422,0)+IFERROR(W422,0)+IFERROR(Z422,0)+AC422),AB422))</f>
        <v/>
      </c>
      <c r="AE422" s="27" t="str">
        <f aca="false">IF(AB422="","",IF(U422="",0,U422)+IF(X422="",0,X422)+IF(AA422="",0,AA422)+IFERROR((AB422-K422)*IF(F422="Sell",-1,1)*R422*AC422*IF(ISNUMBER(SEARCH("JPY",E422)),1000,IF(ISNUMBER(SEARCH("XAU",E422)),100,IF(OR(ISNUMBER(SEARCH("30",E422)),ISNUMBER(SEARCH("500",E422)),ISNUMBER(SEARCH("100",E422))),100,100000))),0))</f>
        <v/>
      </c>
      <c r="AF422" s="31" t="str">
        <f aca="false">IF(OR(K422="",M422="",L422=""),"",IFERROR(ABS(M422-K422)/ABS(K422-L422),0))</f>
        <v/>
      </c>
      <c r="AG422" s="31" t="str">
        <f aca="false">IF(OR(AE422="",AE422=0,Q422=0,Q422=""),"",IFERROR(AE422/Q422,0))</f>
        <v/>
      </c>
      <c r="AH422" s="32" t="str">
        <f aca="false">IF(AB422="","Open",IF(AG422="","Open",IF(AG422&gt;0.1,"Win",IF(AG422&lt;-0.1,"Loss","Breakeven"))))</f>
        <v>Open</v>
      </c>
      <c r="AI422" s="33" t="str">
        <f aca="false">IF(OR(B422="",D422=""),"",D422-B422)</f>
        <v/>
      </c>
      <c r="AJ422" s="24" t="str">
        <f aca="false">IF(AD422="","",IFERROR((AD422-K422)*IF(F422="Sell",-1,1)/IF(ISNUMBER(SEARCH("JPY",E422)),0.01,IF(ISNUMBER(SEARCH("XAU",E422)),0.01,IF(OR(ISNUMBER(SEARCH("30",E422)),ISNUMBER(SEARCH("500",E422)),ISNUMBER(SEARCH("100",E422))),1,0.0001))),0))</f>
        <v/>
      </c>
      <c r="AK422" s="10"/>
      <c r="AL422" s="10"/>
      <c r="AM422" s="10"/>
      <c r="AN422" s="10"/>
      <c r="AO422" s="27" t="str">
        <f aca="false">IF(AE422="","",IFERROR(IF(AO421="",SETTINGS!$B$6,AO421),SETTINGS!$B$6)+IF(AE422="",0,AE422))</f>
        <v/>
      </c>
      <c r="AP422" s="2"/>
    </row>
    <row r="423" customFormat="false" ht="15" hidden="false" customHeight="false" outlineLevel="0" collapsed="false">
      <c r="A423" s="24" t="str">
        <f aca="false">IF(B423="","",ROW()-3)</f>
        <v/>
      </c>
      <c r="B423" s="34"/>
      <c r="C423" s="12"/>
      <c r="D423" s="34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35"/>
      <c r="P423" s="24" t="str">
        <f aca="false">IF(K423="","",IFERROR(ABS(K423-L423)/IF(ISNUMBER(SEARCH("JPY",E423)),0.01,IF(ISNUMBER(SEARCH("XAU",E423)),0.01,IF(OR(ISNUMBER(SEARCH("30",E423)),ISNUMBER(SEARCH("500",E423)),ISNUMBER(SEARCH("100",E423))),1,0.0001))),0))</f>
        <v/>
      </c>
      <c r="Q423" s="27" t="str">
        <f aca="false">IF(K423="","",SETTINGS!$B$6*O423)</f>
        <v/>
      </c>
      <c r="R423" s="24" t="str">
        <f aca="false">IF(K423="","",IFERROR(Q423/(P423*IF(ISNUMBER(SEARCH("JPY",E423)),9.09,IF(ISNUMBER(SEARCH("XAU",E423)),1,IF(OR(ISNUMBER(SEARCH("30",E423)),ISNUMBER(SEARCH("500",E423)),ISNUMBER(SEARCH("100",E423))),1,10)))),0))</f>
        <v/>
      </c>
      <c r="S423" s="12"/>
      <c r="T423" s="36"/>
      <c r="U423" s="27" t="str">
        <f aca="false">IF(OR(S423="",T423=0),"",IFERROR((S423-K423)*IF(F423="Sell",-1,1)*R423*T423*IF(ISNUMBER(SEARCH("JPY",E423)),1000,IF(ISNUMBER(SEARCH("XAU",E423)),100,IF(OR(ISNUMBER(SEARCH("30",E423)),ISNUMBER(SEARCH("500",E423)),ISNUMBER(SEARCH("100",E423))),100,100000))),0))</f>
        <v/>
      </c>
      <c r="V423" s="12"/>
      <c r="W423" s="36"/>
      <c r="X423" s="27" t="str">
        <f aca="false">IF(OR(V423="",W423=0),"",IFERROR((V423-K423)*IF(F423="Sell",-1,1)*R423*W423*IF(ISNUMBER(SEARCH("JPY",E423)),1000,IF(ISNUMBER(SEARCH("XAU",E423)),100,IF(OR(ISNUMBER(SEARCH("30",E423)),ISNUMBER(SEARCH("500",E423)),ISNUMBER(SEARCH("100",E423))),100,100000))),0))</f>
        <v/>
      </c>
      <c r="Y423" s="12"/>
      <c r="Z423" s="36"/>
      <c r="AA423" s="27" t="str">
        <f aca="false">IF(OR(Y423="",Z423=0),"",IFERROR((Y423-K423)*IF(F423="Sell",-1,1)*R423*Z423*IF(ISNUMBER(SEARCH("JPY",E423)),1000,IF(ISNUMBER(SEARCH("XAU",E423)),100,IF(OR(ISNUMBER(SEARCH("30",E423)),ISNUMBER(SEARCH("500",E423)),ISNUMBER(SEARCH("100",E423))),100,100000))),0))</f>
        <v/>
      </c>
      <c r="AB423" s="12"/>
      <c r="AC423" s="29" t="str">
        <f aca="false">IF(K423="","",1-IFERROR(T423,0)-IFERROR(W423,0)-IFERROR(Z423,0))</f>
        <v/>
      </c>
      <c r="AD423" s="30" t="str">
        <f aca="false">IF(AB423="","",IFERROR((IFERROR(S423*T423,0)+IFERROR(V423*W423,0)+IFERROR(Y423*Z423,0)+AB423*AC423)/(IFERROR(T423,0)+IFERROR(W423,0)+IFERROR(Z423,0)+AC423),AB423))</f>
        <v/>
      </c>
      <c r="AE423" s="27" t="str">
        <f aca="false">IF(AB423="","",IF(U423="",0,U423)+IF(X423="",0,X423)+IF(AA423="",0,AA423)+IFERROR((AB423-K423)*IF(F423="Sell",-1,1)*R423*AC423*IF(ISNUMBER(SEARCH("JPY",E423)),1000,IF(ISNUMBER(SEARCH("XAU",E423)),100,IF(OR(ISNUMBER(SEARCH("30",E423)),ISNUMBER(SEARCH("500",E423)),ISNUMBER(SEARCH("100",E423))),100,100000))),0))</f>
        <v/>
      </c>
      <c r="AF423" s="31" t="str">
        <f aca="false">IF(OR(K423="",M423="",L423=""),"",IFERROR(ABS(M423-K423)/ABS(K423-L423),0))</f>
        <v/>
      </c>
      <c r="AG423" s="31" t="str">
        <f aca="false">IF(OR(AE423="",AE423=0,Q423=0,Q423=""),"",IFERROR(AE423/Q423,0))</f>
        <v/>
      </c>
      <c r="AH423" s="32" t="str">
        <f aca="false">IF(AB423="","Open",IF(AG423="","Open",IF(AG423&gt;0.1,"Win",IF(AG423&lt;-0.1,"Loss","Breakeven"))))</f>
        <v>Open</v>
      </c>
      <c r="AI423" s="33" t="str">
        <f aca="false">IF(OR(B423="",D423=""),"",D423-B423)</f>
        <v/>
      </c>
      <c r="AJ423" s="24" t="str">
        <f aca="false">IF(AD423="","",IFERROR((AD423-K423)*IF(F423="Sell",-1,1)/IF(ISNUMBER(SEARCH("JPY",E423)),0.01,IF(ISNUMBER(SEARCH("XAU",E423)),0.01,IF(OR(ISNUMBER(SEARCH("30",E423)),ISNUMBER(SEARCH("500",E423)),ISNUMBER(SEARCH("100",E423))),1,0.0001))),0))</f>
        <v/>
      </c>
      <c r="AK423" s="12"/>
      <c r="AL423" s="12"/>
      <c r="AM423" s="12"/>
      <c r="AN423" s="12"/>
      <c r="AO423" s="27" t="str">
        <f aca="false">IF(AE423="","",IFERROR(IF(AO422="",SETTINGS!$B$6,AO422),SETTINGS!$B$6)+IF(AE423="",0,AE423))</f>
        <v/>
      </c>
      <c r="AP423" s="2"/>
    </row>
    <row r="424" customFormat="false" ht="15" hidden="false" customHeight="false" outlineLevel="0" collapsed="false">
      <c r="A424" s="24" t="str">
        <f aca="false">IF(B424="","",ROW()-3)</f>
        <v/>
      </c>
      <c r="B424" s="25"/>
      <c r="C424" s="10"/>
      <c r="D424" s="25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26"/>
      <c r="P424" s="24" t="str">
        <f aca="false">IF(K424="","",IFERROR(ABS(K424-L424)/IF(ISNUMBER(SEARCH("JPY",E424)),0.01,IF(ISNUMBER(SEARCH("XAU",E424)),0.01,IF(OR(ISNUMBER(SEARCH("30",E424)),ISNUMBER(SEARCH("500",E424)),ISNUMBER(SEARCH("100",E424))),1,0.0001))),0))</f>
        <v/>
      </c>
      <c r="Q424" s="27" t="str">
        <f aca="false">IF(K424="","",SETTINGS!$B$6*O424)</f>
        <v/>
      </c>
      <c r="R424" s="24" t="str">
        <f aca="false">IF(K424="","",IFERROR(Q424/(P424*IF(ISNUMBER(SEARCH("JPY",E424)),9.09,IF(ISNUMBER(SEARCH("XAU",E424)),1,IF(OR(ISNUMBER(SEARCH("30",E424)),ISNUMBER(SEARCH("500",E424)),ISNUMBER(SEARCH("100",E424))),1,10)))),0))</f>
        <v/>
      </c>
      <c r="S424" s="10"/>
      <c r="T424" s="28"/>
      <c r="U424" s="27" t="str">
        <f aca="false">IF(OR(S424="",T424=0),"",IFERROR((S424-K424)*IF(F424="Sell",-1,1)*R424*T424*IF(ISNUMBER(SEARCH("JPY",E424)),1000,IF(ISNUMBER(SEARCH("XAU",E424)),100,IF(OR(ISNUMBER(SEARCH("30",E424)),ISNUMBER(SEARCH("500",E424)),ISNUMBER(SEARCH("100",E424))),100,100000))),0))</f>
        <v/>
      </c>
      <c r="V424" s="10"/>
      <c r="W424" s="28"/>
      <c r="X424" s="27" t="str">
        <f aca="false">IF(OR(V424="",W424=0),"",IFERROR((V424-K424)*IF(F424="Sell",-1,1)*R424*W424*IF(ISNUMBER(SEARCH("JPY",E424)),1000,IF(ISNUMBER(SEARCH("XAU",E424)),100,IF(OR(ISNUMBER(SEARCH("30",E424)),ISNUMBER(SEARCH("500",E424)),ISNUMBER(SEARCH("100",E424))),100,100000))),0))</f>
        <v/>
      </c>
      <c r="Y424" s="10"/>
      <c r="Z424" s="28"/>
      <c r="AA424" s="27" t="str">
        <f aca="false">IF(OR(Y424="",Z424=0),"",IFERROR((Y424-K424)*IF(F424="Sell",-1,1)*R424*Z424*IF(ISNUMBER(SEARCH("JPY",E424)),1000,IF(ISNUMBER(SEARCH("XAU",E424)),100,IF(OR(ISNUMBER(SEARCH("30",E424)),ISNUMBER(SEARCH("500",E424)),ISNUMBER(SEARCH("100",E424))),100,100000))),0))</f>
        <v/>
      </c>
      <c r="AB424" s="10"/>
      <c r="AC424" s="29" t="str">
        <f aca="false">IF(K424="","",1-IFERROR(T424,0)-IFERROR(W424,0)-IFERROR(Z424,0))</f>
        <v/>
      </c>
      <c r="AD424" s="30" t="str">
        <f aca="false">IF(AB424="","",IFERROR((IFERROR(S424*T424,0)+IFERROR(V424*W424,0)+IFERROR(Y424*Z424,0)+AB424*AC424)/(IFERROR(T424,0)+IFERROR(W424,0)+IFERROR(Z424,0)+AC424),AB424))</f>
        <v/>
      </c>
      <c r="AE424" s="27" t="str">
        <f aca="false">IF(AB424="","",IF(U424="",0,U424)+IF(X424="",0,X424)+IF(AA424="",0,AA424)+IFERROR((AB424-K424)*IF(F424="Sell",-1,1)*R424*AC424*IF(ISNUMBER(SEARCH("JPY",E424)),1000,IF(ISNUMBER(SEARCH("XAU",E424)),100,IF(OR(ISNUMBER(SEARCH("30",E424)),ISNUMBER(SEARCH("500",E424)),ISNUMBER(SEARCH("100",E424))),100,100000))),0))</f>
        <v/>
      </c>
      <c r="AF424" s="31" t="str">
        <f aca="false">IF(OR(K424="",M424="",L424=""),"",IFERROR(ABS(M424-K424)/ABS(K424-L424),0))</f>
        <v/>
      </c>
      <c r="AG424" s="31" t="str">
        <f aca="false">IF(OR(AE424="",AE424=0,Q424=0,Q424=""),"",IFERROR(AE424/Q424,0))</f>
        <v/>
      </c>
      <c r="AH424" s="32" t="str">
        <f aca="false">IF(AB424="","Open",IF(AG424="","Open",IF(AG424&gt;0.1,"Win",IF(AG424&lt;-0.1,"Loss","Breakeven"))))</f>
        <v>Open</v>
      </c>
      <c r="AI424" s="33" t="str">
        <f aca="false">IF(OR(B424="",D424=""),"",D424-B424)</f>
        <v/>
      </c>
      <c r="AJ424" s="24" t="str">
        <f aca="false">IF(AD424="","",IFERROR((AD424-K424)*IF(F424="Sell",-1,1)/IF(ISNUMBER(SEARCH("JPY",E424)),0.01,IF(ISNUMBER(SEARCH("XAU",E424)),0.01,IF(OR(ISNUMBER(SEARCH("30",E424)),ISNUMBER(SEARCH("500",E424)),ISNUMBER(SEARCH("100",E424))),1,0.0001))),0))</f>
        <v/>
      </c>
      <c r="AK424" s="10"/>
      <c r="AL424" s="10"/>
      <c r="AM424" s="10"/>
      <c r="AN424" s="10"/>
      <c r="AO424" s="27" t="str">
        <f aca="false">IF(AE424="","",IFERROR(IF(AO423="",SETTINGS!$B$6,AO423),SETTINGS!$B$6)+IF(AE424="",0,AE424))</f>
        <v/>
      </c>
      <c r="AP424" s="2"/>
    </row>
    <row r="425" customFormat="false" ht="15" hidden="false" customHeight="false" outlineLevel="0" collapsed="false">
      <c r="A425" s="24" t="str">
        <f aca="false">IF(B425="","",ROW()-3)</f>
        <v/>
      </c>
      <c r="B425" s="34"/>
      <c r="C425" s="12"/>
      <c r="D425" s="34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35"/>
      <c r="P425" s="24" t="str">
        <f aca="false">IF(K425="","",IFERROR(ABS(K425-L425)/IF(ISNUMBER(SEARCH("JPY",E425)),0.01,IF(ISNUMBER(SEARCH("XAU",E425)),0.01,IF(OR(ISNUMBER(SEARCH("30",E425)),ISNUMBER(SEARCH("500",E425)),ISNUMBER(SEARCH("100",E425))),1,0.0001))),0))</f>
        <v/>
      </c>
      <c r="Q425" s="27" t="str">
        <f aca="false">IF(K425="","",SETTINGS!$B$6*O425)</f>
        <v/>
      </c>
      <c r="R425" s="24" t="str">
        <f aca="false">IF(K425="","",IFERROR(Q425/(P425*IF(ISNUMBER(SEARCH("JPY",E425)),9.09,IF(ISNUMBER(SEARCH("XAU",E425)),1,IF(OR(ISNUMBER(SEARCH("30",E425)),ISNUMBER(SEARCH("500",E425)),ISNUMBER(SEARCH("100",E425))),1,10)))),0))</f>
        <v/>
      </c>
      <c r="S425" s="12"/>
      <c r="T425" s="36"/>
      <c r="U425" s="27" t="str">
        <f aca="false">IF(OR(S425="",T425=0),"",IFERROR((S425-K425)*IF(F425="Sell",-1,1)*R425*T425*IF(ISNUMBER(SEARCH("JPY",E425)),1000,IF(ISNUMBER(SEARCH("XAU",E425)),100,IF(OR(ISNUMBER(SEARCH("30",E425)),ISNUMBER(SEARCH("500",E425)),ISNUMBER(SEARCH("100",E425))),100,100000))),0))</f>
        <v/>
      </c>
      <c r="V425" s="12"/>
      <c r="W425" s="36"/>
      <c r="X425" s="27" t="str">
        <f aca="false">IF(OR(V425="",W425=0),"",IFERROR((V425-K425)*IF(F425="Sell",-1,1)*R425*W425*IF(ISNUMBER(SEARCH("JPY",E425)),1000,IF(ISNUMBER(SEARCH("XAU",E425)),100,IF(OR(ISNUMBER(SEARCH("30",E425)),ISNUMBER(SEARCH("500",E425)),ISNUMBER(SEARCH("100",E425))),100,100000))),0))</f>
        <v/>
      </c>
      <c r="Y425" s="12"/>
      <c r="Z425" s="36"/>
      <c r="AA425" s="27" t="str">
        <f aca="false">IF(OR(Y425="",Z425=0),"",IFERROR((Y425-K425)*IF(F425="Sell",-1,1)*R425*Z425*IF(ISNUMBER(SEARCH("JPY",E425)),1000,IF(ISNUMBER(SEARCH("XAU",E425)),100,IF(OR(ISNUMBER(SEARCH("30",E425)),ISNUMBER(SEARCH("500",E425)),ISNUMBER(SEARCH("100",E425))),100,100000))),0))</f>
        <v/>
      </c>
      <c r="AB425" s="12"/>
      <c r="AC425" s="29" t="str">
        <f aca="false">IF(K425="","",1-IFERROR(T425,0)-IFERROR(W425,0)-IFERROR(Z425,0))</f>
        <v/>
      </c>
      <c r="AD425" s="30" t="str">
        <f aca="false">IF(AB425="","",IFERROR((IFERROR(S425*T425,0)+IFERROR(V425*W425,0)+IFERROR(Y425*Z425,0)+AB425*AC425)/(IFERROR(T425,0)+IFERROR(W425,0)+IFERROR(Z425,0)+AC425),AB425))</f>
        <v/>
      </c>
      <c r="AE425" s="27" t="str">
        <f aca="false">IF(AB425="","",IF(U425="",0,U425)+IF(X425="",0,X425)+IF(AA425="",0,AA425)+IFERROR((AB425-K425)*IF(F425="Sell",-1,1)*R425*AC425*IF(ISNUMBER(SEARCH("JPY",E425)),1000,IF(ISNUMBER(SEARCH("XAU",E425)),100,IF(OR(ISNUMBER(SEARCH("30",E425)),ISNUMBER(SEARCH("500",E425)),ISNUMBER(SEARCH("100",E425))),100,100000))),0))</f>
        <v/>
      </c>
      <c r="AF425" s="31" t="str">
        <f aca="false">IF(OR(K425="",M425="",L425=""),"",IFERROR(ABS(M425-K425)/ABS(K425-L425),0))</f>
        <v/>
      </c>
      <c r="AG425" s="31" t="str">
        <f aca="false">IF(OR(AE425="",AE425=0,Q425=0,Q425=""),"",IFERROR(AE425/Q425,0))</f>
        <v/>
      </c>
      <c r="AH425" s="32" t="str">
        <f aca="false">IF(AB425="","Open",IF(AG425="","Open",IF(AG425&gt;0.1,"Win",IF(AG425&lt;-0.1,"Loss","Breakeven"))))</f>
        <v>Open</v>
      </c>
      <c r="AI425" s="33" t="str">
        <f aca="false">IF(OR(B425="",D425=""),"",D425-B425)</f>
        <v/>
      </c>
      <c r="AJ425" s="24" t="str">
        <f aca="false">IF(AD425="","",IFERROR((AD425-K425)*IF(F425="Sell",-1,1)/IF(ISNUMBER(SEARCH("JPY",E425)),0.01,IF(ISNUMBER(SEARCH("XAU",E425)),0.01,IF(OR(ISNUMBER(SEARCH("30",E425)),ISNUMBER(SEARCH("500",E425)),ISNUMBER(SEARCH("100",E425))),1,0.0001))),0))</f>
        <v/>
      </c>
      <c r="AK425" s="12"/>
      <c r="AL425" s="12"/>
      <c r="AM425" s="12"/>
      <c r="AN425" s="12"/>
      <c r="AO425" s="27" t="str">
        <f aca="false">IF(AE425="","",IFERROR(IF(AO424="",SETTINGS!$B$6,AO424),SETTINGS!$B$6)+IF(AE425="",0,AE425))</f>
        <v/>
      </c>
      <c r="AP425" s="2"/>
    </row>
    <row r="426" customFormat="false" ht="15" hidden="false" customHeight="false" outlineLevel="0" collapsed="false">
      <c r="A426" s="24" t="str">
        <f aca="false">IF(B426="","",ROW()-3)</f>
        <v/>
      </c>
      <c r="B426" s="25"/>
      <c r="C426" s="10"/>
      <c r="D426" s="25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26"/>
      <c r="P426" s="24" t="str">
        <f aca="false">IF(K426="","",IFERROR(ABS(K426-L426)/IF(ISNUMBER(SEARCH("JPY",E426)),0.01,IF(ISNUMBER(SEARCH("XAU",E426)),0.01,IF(OR(ISNUMBER(SEARCH("30",E426)),ISNUMBER(SEARCH("500",E426)),ISNUMBER(SEARCH("100",E426))),1,0.0001))),0))</f>
        <v/>
      </c>
      <c r="Q426" s="27" t="str">
        <f aca="false">IF(K426="","",SETTINGS!$B$6*O426)</f>
        <v/>
      </c>
      <c r="R426" s="24" t="str">
        <f aca="false">IF(K426="","",IFERROR(Q426/(P426*IF(ISNUMBER(SEARCH("JPY",E426)),9.09,IF(ISNUMBER(SEARCH("XAU",E426)),1,IF(OR(ISNUMBER(SEARCH("30",E426)),ISNUMBER(SEARCH("500",E426)),ISNUMBER(SEARCH("100",E426))),1,10)))),0))</f>
        <v/>
      </c>
      <c r="S426" s="10"/>
      <c r="T426" s="28"/>
      <c r="U426" s="27" t="str">
        <f aca="false">IF(OR(S426="",T426=0),"",IFERROR((S426-K426)*IF(F426="Sell",-1,1)*R426*T426*IF(ISNUMBER(SEARCH("JPY",E426)),1000,IF(ISNUMBER(SEARCH("XAU",E426)),100,IF(OR(ISNUMBER(SEARCH("30",E426)),ISNUMBER(SEARCH("500",E426)),ISNUMBER(SEARCH("100",E426))),100,100000))),0))</f>
        <v/>
      </c>
      <c r="V426" s="10"/>
      <c r="W426" s="28"/>
      <c r="X426" s="27" t="str">
        <f aca="false">IF(OR(V426="",W426=0),"",IFERROR((V426-K426)*IF(F426="Sell",-1,1)*R426*W426*IF(ISNUMBER(SEARCH("JPY",E426)),1000,IF(ISNUMBER(SEARCH("XAU",E426)),100,IF(OR(ISNUMBER(SEARCH("30",E426)),ISNUMBER(SEARCH("500",E426)),ISNUMBER(SEARCH("100",E426))),100,100000))),0))</f>
        <v/>
      </c>
      <c r="Y426" s="10"/>
      <c r="Z426" s="28"/>
      <c r="AA426" s="27" t="str">
        <f aca="false">IF(OR(Y426="",Z426=0),"",IFERROR((Y426-K426)*IF(F426="Sell",-1,1)*R426*Z426*IF(ISNUMBER(SEARCH("JPY",E426)),1000,IF(ISNUMBER(SEARCH("XAU",E426)),100,IF(OR(ISNUMBER(SEARCH("30",E426)),ISNUMBER(SEARCH("500",E426)),ISNUMBER(SEARCH("100",E426))),100,100000))),0))</f>
        <v/>
      </c>
      <c r="AB426" s="10"/>
      <c r="AC426" s="29" t="str">
        <f aca="false">IF(K426="","",1-IFERROR(T426,0)-IFERROR(W426,0)-IFERROR(Z426,0))</f>
        <v/>
      </c>
      <c r="AD426" s="30" t="str">
        <f aca="false">IF(AB426="","",IFERROR((IFERROR(S426*T426,0)+IFERROR(V426*W426,0)+IFERROR(Y426*Z426,0)+AB426*AC426)/(IFERROR(T426,0)+IFERROR(W426,0)+IFERROR(Z426,0)+AC426),AB426))</f>
        <v/>
      </c>
      <c r="AE426" s="27" t="str">
        <f aca="false">IF(AB426="","",IF(U426="",0,U426)+IF(X426="",0,X426)+IF(AA426="",0,AA426)+IFERROR((AB426-K426)*IF(F426="Sell",-1,1)*R426*AC426*IF(ISNUMBER(SEARCH("JPY",E426)),1000,IF(ISNUMBER(SEARCH("XAU",E426)),100,IF(OR(ISNUMBER(SEARCH("30",E426)),ISNUMBER(SEARCH("500",E426)),ISNUMBER(SEARCH("100",E426))),100,100000))),0))</f>
        <v/>
      </c>
      <c r="AF426" s="31" t="str">
        <f aca="false">IF(OR(K426="",M426="",L426=""),"",IFERROR(ABS(M426-K426)/ABS(K426-L426),0))</f>
        <v/>
      </c>
      <c r="AG426" s="31" t="str">
        <f aca="false">IF(OR(AE426="",AE426=0,Q426=0,Q426=""),"",IFERROR(AE426/Q426,0))</f>
        <v/>
      </c>
      <c r="AH426" s="32" t="str">
        <f aca="false">IF(AB426="","Open",IF(AG426="","Open",IF(AG426&gt;0.1,"Win",IF(AG426&lt;-0.1,"Loss","Breakeven"))))</f>
        <v>Open</v>
      </c>
      <c r="AI426" s="33" t="str">
        <f aca="false">IF(OR(B426="",D426=""),"",D426-B426)</f>
        <v/>
      </c>
      <c r="AJ426" s="24" t="str">
        <f aca="false">IF(AD426="","",IFERROR((AD426-K426)*IF(F426="Sell",-1,1)/IF(ISNUMBER(SEARCH("JPY",E426)),0.01,IF(ISNUMBER(SEARCH("XAU",E426)),0.01,IF(OR(ISNUMBER(SEARCH("30",E426)),ISNUMBER(SEARCH("500",E426)),ISNUMBER(SEARCH("100",E426))),1,0.0001))),0))</f>
        <v/>
      </c>
      <c r="AK426" s="10"/>
      <c r="AL426" s="10"/>
      <c r="AM426" s="10"/>
      <c r="AN426" s="10"/>
      <c r="AO426" s="27" t="str">
        <f aca="false">IF(AE426="","",IFERROR(IF(AO425="",SETTINGS!$B$6,AO425),SETTINGS!$B$6)+IF(AE426="",0,AE426))</f>
        <v/>
      </c>
      <c r="AP426" s="2"/>
    </row>
    <row r="427" customFormat="false" ht="15" hidden="false" customHeight="false" outlineLevel="0" collapsed="false">
      <c r="A427" s="24" t="str">
        <f aca="false">IF(B427="","",ROW()-3)</f>
        <v/>
      </c>
      <c r="B427" s="34"/>
      <c r="C427" s="12"/>
      <c r="D427" s="34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35"/>
      <c r="P427" s="24" t="str">
        <f aca="false">IF(K427="","",IFERROR(ABS(K427-L427)/IF(ISNUMBER(SEARCH("JPY",E427)),0.01,IF(ISNUMBER(SEARCH("XAU",E427)),0.01,IF(OR(ISNUMBER(SEARCH("30",E427)),ISNUMBER(SEARCH("500",E427)),ISNUMBER(SEARCH("100",E427))),1,0.0001))),0))</f>
        <v/>
      </c>
      <c r="Q427" s="27" t="str">
        <f aca="false">IF(K427="","",SETTINGS!$B$6*O427)</f>
        <v/>
      </c>
      <c r="R427" s="24" t="str">
        <f aca="false">IF(K427="","",IFERROR(Q427/(P427*IF(ISNUMBER(SEARCH("JPY",E427)),9.09,IF(ISNUMBER(SEARCH("XAU",E427)),1,IF(OR(ISNUMBER(SEARCH("30",E427)),ISNUMBER(SEARCH("500",E427)),ISNUMBER(SEARCH("100",E427))),1,10)))),0))</f>
        <v/>
      </c>
      <c r="S427" s="12"/>
      <c r="T427" s="36"/>
      <c r="U427" s="27" t="str">
        <f aca="false">IF(OR(S427="",T427=0),"",IFERROR((S427-K427)*IF(F427="Sell",-1,1)*R427*T427*IF(ISNUMBER(SEARCH("JPY",E427)),1000,IF(ISNUMBER(SEARCH("XAU",E427)),100,IF(OR(ISNUMBER(SEARCH("30",E427)),ISNUMBER(SEARCH("500",E427)),ISNUMBER(SEARCH("100",E427))),100,100000))),0))</f>
        <v/>
      </c>
      <c r="V427" s="12"/>
      <c r="W427" s="36"/>
      <c r="X427" s="27" t="str">
        <f aca="false">IF(OR(V427="",W427=0),"",IFERROR((V427-K427)*IF(F427="Sell",-1,1)*R427*W427*IF(ISNUMBER(SEARCH("JPY",E427)),1000,IF(ISNUMBER(SEARCH("XAU",E427)),100,IF(OR(ISNUMBER(SEARCH("30",E427)),ISNUMBER(SEARCH("500",E427)),ISNUMBER(SEARCH("100",E427))),100,100000))),0))</f>
        <v/>
      </c>
      <c r="Y427" s="12"/>
      <c r="Z427" s="36"/>
      <c r="AA427" s="27" t="str">
        <f aca="false">IF(OR(Y427="",Z427=0),"",IFERROR((Y427-K427)*IF(F427="Sell",-1,1)*R427*Z427*IF(ISNUMBER(SEARCH("JPY",E427)),1000,IF(ISNUMBER(SEARCH("XAU",E427)),100,IF(OR(ISNUMBER(SEARCH("30",E427)),ISNUMBER(SEARCH("500",E427)),ISNUMBER(SEARCH("100",E427))),100,100000))),0))</f>
        <v/>
      </c>
      <c r="AB427" s="12"/>
      <c r="AC427" s="29" t="str">
        <f aca="false">IF(K427="","",1-IFERROR(T427,0)-IFERROR(W427,0)-IFERROR(Z427,0))</f>
        <v/>
      </c>
      <c r="AD427" s="30" t="str">
        <f aca="false">IF(AB427="","",IFERROR((IFERROR(S427*T427,0)+IFERROR(V427*W427,0)+IFERROR(Y427*Z427,0)+AB427*AC427)/(IFERROR(T427,0)+IFERROR(W427,0)+IFERROR(Z427,0)+AC427),AB427))</f>
        <v/>
      </c>
      <c r="AE427" s="27" t="str">
        <f aca="false">IF(AB427="","",IF(U427="",0,U427)+IF(X427="",0,X427)+IF(AA427="",0,AA427)+IFERROR((AB427-K427)*IF(F427="Sell",-1,1)*R427*AC427*IF(ISNUMBER(SEARCH("JPY",E427)),1000,IF(ISNUMBER(SEARCH("XAU",E427)),100,IF(OR(ISNUMBER(SEARCH("30",E427)),ISNUMBER(SEARCH("500",E427)),ISNUMBER(SEARCH("100",E427))),100,100000))),0))</f>
        <v/>
      </c>
      <c r="AF427" s="31" t="str">
        <f aca="false">IF(OR(K427="",M427="",L427=""),"",IFERROR(ABS(M427-K427)/ABS(K427-L427),0))</f>
        <v/>
      </c>
      <c r="AG427" s="31" t="str">
        <f aca="false">IF(OR(AE427="",AE427=0,Q427=0,Q427=""),"",IFERROR(AE427/Q427,0))</f>
        <v/>
      </c>
      <c r="AH427" s="32" t="str">
        <f aca="false">IF(AB427="","Open",IF(AG427="","Open",IF(AG427&gt;0.1,"Win",IF(AG427&lt;-0.1,"Loss","Breakeven"))))</f>
        <v>Open</v>
      </c>
      <c r="AI427" s="33" t="str">
        <f aca="false">IF(OR(B427="",D427=""),"",D427-B427)</f>
        <v/>
      </c>
      <c r="AJ427" s="24" t="str">
        <f aca="false">IF(AD427="","",IFERROR((AD427-K427)*IF(F427="Sell",-1,1)/IF(ISNUMBER(SEARCH("JPY",E427)),0.01,IF(ISNUMBER(SEARCH("XAU",E427)),0.01,IF(OR(ISNUMBER(SEARCH("30",E427)),ISNUMBER(SEARCH("500",E427)),ISNUMBER(SEARCH("100",E427))),1,0.0001))),0))</f>
        <v/>
      </c>
      <c r="AK427" s="12"/>
      <c r="AL427" s="12"/>
      <c r="AM427" s="12"/>
      <c r="AN427" s="12"/>
      <c r="AO427" s="27" t="str">
        <f aca="false">IF(AE427="","",IFERROR(IF(AO426="",SETTINGS!$B$6,AO426),SETTINGS!$B$6)+IF(AE427="",0,AE427))</f>
        <v/>
      </c>
      <c r="AP427" s="2"/>
    </row>
    <row r="428" customFormat="false" ht="15" hidden="false" customHeight="false" outlineLevel="0" collapsed="false">
      <c r="A428" s="24" t="str">
        <f aca="false">IF(B428="","",ROW()-3)</f>
        <v/>
      </c>
      <c r="B428" s="25"/>
      <c r="C428" s="10"/>
      <c r="D428" s="25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26"/>
      <c r="P428" s="24" t="str">
        <f aca="false">IF(K428="","",IFERROR(ABS(K428-L428)/IF(ISNUMBER(SEARCH("JPY",E428)),0.01,IF(ISNUMBER(SEARCH("XAU",E428)),0.01,IF(OR(ISNUMBER(SEARCH("30",E428)),ISNUMBER(SEARCH("500",E428)),ISNUMBER(SEARCH("100",E428))),1,0.0001))),0))</f>
        <v/>
      </c>
      <c r="Q428" s="27" t="str">
        <f aca="false">IF(K428="","",SETTINGS!$B$6*O428)</f>
        <v/>
      </c>
      <c r="R428" s="24" t="str">
        <f aca="false">IF(K428="","",IFERROR(Q428/(P428*IF(ISNUMBER(SEARCH("JPY",E428)),9.09,IF(ISNUMBER(SEARCH("XAU",E428)),1,IF(OR(ISNUMBER(SEARCH("30",E428)),ISNUMBER(SEARCH("500",E428)),ISNUMBER(SEARCH("100",E428))),1,10)))),0))</f>
        <v/>
      </c>
      <c r="S428" s="10"/>
      <c r="T428" s="28"/>
      <c r="U428" s="27" t="str">
        <f aca="false">IF(OR(S428="",T428=0),"",IFERROR((S428-K428)*IF(F428="Sell",-1,1)*R428*T428*IF(ISNUMBER(SEARCH("JPY",E428)),1000,IF(ISNUMBER(SEARCH("XAU",E428)),100,IF(OR(ISNUMBER(SEARCH("30",E428)),ISNUMBER(SEARCH("500",E428)),ISNUMBER(SEARCH("100",E428))),100,100000))),0))</f>
        <v/>
      </c>
      <c r="V428" s="10"/>
      <c r="W428" s="28"/>
      <c r="X428" s="27" t="str">
        <f aca="false">IF(OR(V428="",W428=0),"",IFERROR((V428-K428)*IF(F428="Sell",-1,1)*R428*W428*IF(ISNUMBER(SEARCH("JPY",E428)),1000,IF(ISNUMBER(SEARCH("XAU",E428)),100,IF(OR(ISNUMBER(SEARCH("30",E428)),ISNUMBER(SEARCH("500",E428)),ISNUMBER(SEARCH("100",E428))),100,100000))),0))</f>
        <v/>
      </c>
      <c r="Y428" s="10"/>
      <c r="Z428" s="28"/>
      <c r="AA428" s="27" t="str">
        <f aca="false">IF(OR(Y428="",Z428=0),"",IFERROR((Y428-K428)*IF(F428="Sell",-1,1)*R428*Z428*IF(ISNUMBER(SEARCH("JPY",E428)),1000,IF(ISNUMBER(SEARCH("XAU",E428)),100,IF(OR(ISNUMBER(SEARCH("30",E428)),ISNUMBER(SEARCH("500",E428)),ISNUMBER(SEARCH("100",E428))),100,100000))),0))</f>
        <v/>
      </c>
      <c r="AB428" s="10"/>
      <c r="AC428" s="29" t="str">
        <f aca="false">IF(K428="","",1-IFERROR(T428,0)-IFERROR(W428,0)-IFERROR(Z428,0))</f>
        <v/>
      </c>
      <c r="AD428" s="30" t="str">
        <f aca="false">IF(AB428="","",IFERROR((IFERROR(S428*T428,0)+IFERROR(V428*W428,0)+IFERROR(Y428*Z428,0)+AB428*AC428)/(IFERROR(T428,0)+IFERROR(W428,0)+IFERROR(Z428,0)+AC428),AB428))</f>
        <v/>
      </c>
      <c r="AE428" s="27" t="str">
        <f aca="false">IF(AB428="","",IF(U428="",0,U428)+IF(X428="",0,X428)+IF(AA428="",0,AA428)+IFERROR((AB428-K428)*IF(F428="Sell",-1,1)*R428*AC428*IF(ISNUMBER(SEARCH("JPY",E428)),1000,IF(ISNUMBER(SEARCH("XAU",E428)),100,IF(OR(ISNUMBER(SEARCH("30",E428)),ISNUMBER(SEARCH("500",E428)),ISNUMBER(SEARCH("100",E428))),100,100000))),0))</f>
        <v/>
      </c>
      <c r="AF428" s="31" t="str">
        <f aca="false">IF(OR(K428="",M428="",L428=""),"",IFERROR(ABS(M428-K428)/ABS(K428-L428),0))</f>
        <v/>
      </c>
      <c r="AG428" s="31" t="str">
        <f aca="false">IF(OR(AE428="",AE428=0,Q428=0,Q428=""),"",IFERROR(AE428/Q428,0))</f>
        <v/>
      </c>
      <c r="AH428" s="32" t="str">
        <f aca="false">IF(AB428="","Open",IF(AG428="","Open",IF(AG428&gt;0.1,"Win",IF(AG428&lt;-0.1,"Loss","Breakeven"))))</f>
        <v>Open</v>
      </c>
      <c r="AI428" s="33" t="str">
        <f aca="false">IF(OR(B428="",D428=""),"",D428-B428)</f>
        <v/>
      </c>
      <c r="AJ428" s="24" t="str">
        <f aca="false">IF(AD428="","",IFERROR((AD428-K428)*IF(F428="Sell",-1,1)/IF(ISNUMBER(SEARCH("JPY",E428)),0.01,IF(ISNUMBER(SEARCH("XAU",E428)),0.01,IF(OR(ISNUMBER(SEARCH("30",E428)),ISNUMBER(SEARCH("500",E428)),ISNUMBER(SEARCH("100",E428))),1,0.0001))),0))</f>
        <v/>
      </c>
      <c r="AK428" s="10"/>
      <c r="AL428" s="10"/>
      <c r="AM428" s="10"/>
      <c r="AN428" s="10"/>
      <c r="AO428" s="27" t="str">
        <f aca="false">IF(AE428="","",IFERROR(IF(AO427="",SETTINGS!$B$6,AO427),SETTINGS!$B$6)+IF(AE428="",0,AE428))</f>
        <v/>
      </c>
      <c r="AP428" s="2"/>
    </row>
    <row r="429" customFormat="false" ht="15" hidden="false" customHeight="false" outlineLevel="0" collapsed="false">
      <c r="A429" s="24" t="str">
        <f aca="false">IF(B429="","",ROW()-3)</f>
        <v/>
      </c>
      <c r="B429" s="34"/>
      <c r="C429" s="12"/>
      <c r="D429" s="34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35"/>
      <c r="P429" s="24" t="str">
        <f aca="false">IF(K429="","",IFERROR(ABS(K429-L429)/IF(ISNUMBER(SEARCH("JPY",E429)),0.01,IF(ISNUMBER(SEARCH("XAU",E429)),0.01,IF(OR(ISNUMBER(SEARCH("30",E429)),ISNUMBER(SEARCH("500",E429)),ISNUMBER(SEARCH("100",E429))),1,0.0001))),0))</f>
        <v/>
      </c>
      <c r="Q429" s="27" t="str">
        <f aca="false">IF(K429="","",SETTINGS!$B$6*O429)</f>
        <v/>
      </c>
      <c r="R429" s="24" t="str">
        <f aca="false">IF(K429="","",IFERROR(Q429/(P429*IF(ISNUMBER(SEARCH("JPY",E429)),9.09,IF(ISNUMBER(SEARCH("XAU",E429)),1,IF(OR(ISNUMBER(SEARCH("30",E429)),ISNUMBER(SEARCH("500",E429)),ISNUMBER(SEARCH("100",E429))),1,10)))),0))</f>
        <v/>
      </c>
      <c r="S429" s="12"/>
      <c r="T429" s="36"/>
      <c r="U429" s="27" t="str">
        <f aca="false">IF(OR(S429="",T429=0),"",IFERROR((S429-K429)*IF(F429="Sell",-1,1)*R429*T429*IF(ISNUMBER(SEARCH("JPY",E429)),1000,IF(ISNUMBER(SEARCH("XAU",E429)),100,IF(OR(ISNUMBER(SEARCH("30",E429)),ISNUMBER(SEARCH("500",E429)),ISNUMBER(SEARCH("100",E429))),100,100000))),0))</f>
        <v/>
      </c>
      <c r="V429" s="12"/>
      <c r="W429" s="36"/>
      <c r="X429" s="27" t="str">
        <f aca="false">IF(OR(V429="",W429=0),"",IFERROR((V429-K429)*IF(F429="Sell",-1,1)*R429*W429*IF(ISNUMBER(SEARCH("JPY",E429)),1000,IF(ISNUMBER(SEARCH("XAU",E429)),100,IF(OR(ISNUMBER(SEARCH("30",E429)),ISNUMBER(SEARCH("500",E429)),ISNUMBER(SEARCH("100",E429))),100,100000))),0))</f>
        <v/>
      </c>
      <c r="Y429" s="12"/>
      <c r="Z429" s="36"/>
      <c r="AA429" s="27" t="str">
        <f aca="false">IF(OR(Y429="",Z429=0),"",IFERROR((Y429-K429)*IF(F429="Sell",-1,1)*R429*Z429*IF(ISNUMBER(SEARCH("JPY",E429)),1000,IF(ISNUMBER(SEARCH("XAU",E429)),100,IF(OR(ISNUMBER(SEARCH("30",E429)),ISNUMBER(SEARCH("500",E429)),ISNUMBER(SEARCH("100",E429))),100,100000))),0))</f>
        <v/>
      </c>
      <c r="AB429" s="12"/>
      <c r="AC429" s="29" t="str">
        <f aca="false">IF(K429="","",1-IFERROR(T429,0)-IFERROR(W429,0)-IFERROR(Z429,0))</f>
        <v/>
      </c>
      <c r="AD429" s="30" t="str">
        <f aca="false">IF(AB429="","",IFERROR((IFERROR(S429*T429,0)+IFERROR(V429*W429,0)+IFERROR(Y429*Z429,0)+AB429*AC429)/(IFERROR(T429,0)+IFERROR(W429,0)+IFERROR(Z429,0)+AC429),AB429))</f>
        <v/>
      </c>
      <c r="AE429" s="27" t="str">
        <f aca="false">IF(AB429="","",IF(U429="",0,U429)+IF(X429="",0,X429)+IF(AA429="",0,AA429)+IFERROR((AB429-K429)*IF(F429="Sell",-1,1)*R429*AC429*IF(ISNUMBER(SEARCH("JPY",E429)),1000,IF(ISNUMBER(SEARCH("XAU",E429)),100,IF(OR(ISNUMBER(SEARCH("30",E429)),ISNUMBER(SEARCH("500",E429)),ISNUMBER(SEARCH("100",E429))),100,100000))),0))</f>
        <v/>
      </c>
      <c r="AF429" s="31" t="str">
        <f aca="false">IF(OR(K429="",M429="",L429=""),"",IFERROR(ABS(M429-K429)/ABS(K429-L429),0))</f>
        <v/>
      </c>
      <c r="AG429" s="31" t="str">
        <f aca="false">IF(OR(AE429="",AE429=0,Q429=0,Q429=""),"",IFERROR(AE429/Q429,0))</f>
        <v/>
      </c>
      <c r="AH429" s="32" t="str">
        <f aca="false">IF(AB429="","Open",IF(AG429="","Open",IF(AG429&gt;0.1,"Win",IF(AG429&lt;-0.1,"Loss","Breakeven"))))</f>
        <v>Open</v>
      </c>
      <c r="AI429" s="33" t="str">
        <f aca="false">IF(OR(B429="",D429=""),"",D429-B429)</f>
        <v/>
      </c>
      <c r="AJ429" s="24" t="str">
        <f aca="false">IF(AD429="","",IFERROR((AD429-K429)*IF(F429="Sell",-1,1)/IF(ISNUMBER(SEARCH("JPY",E429)),0.01,IF(ISNUMBER(SEARCH("XAU",E429)),0.01,IF(OR(ISNUMBER(SEARCH("30",E429)),ISNUMBER(SEARCH("500",E429)),ISNUMBER(SEARCH("100",E429))),1,0.0001))),0))</f>
        <v/>
      </c>
      <c r="AK429" s="12"/>
      <c r="AL429" s="12"/>
      <c r="AM429" s="12"/>
      <c r="AN429" s="12"/>
      <c r="AO429" s="27" t="str">
        <f aca="false">IF(AE429="","",IFERROR(IF(AO428="",SETTINGS!$B$6,AO428),SETTINGS!$B$6)+IF(AE429="",0,AE429))</f>
        <v/>
      </c>
      <c r="AP429" s="2"/>
    </row>
    <row r="430" customFormat="false" ht="15" hidden="false" customHeight="false" outlineLevel="0" collapsed="false">
      <c r="A430" s="24" t="str">
        <f aca="false">IF(B430="","",ROW()-3)</f>
        <v/>
      </c>
      <c r="B430" s="25"/>
      <c r="C430" s="10"/>
      <c r="D430" s="25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26"/>
      <c r="P430" s="24" t="str">
        <f aca="false">IF(K430="","",IFERROR(ABS(K430-L430)/IF(ISNUMBER(SEARCH("JPY",E430)),0.01,IF(ISNUMBER(SEARCH("XAU",E430)),0.01,IF(OR(ISNUMBER(SEARCH("30",E430)),ISNUMBER(SEARCH("500",E430)),ISNUMBER(SEARCH("100",E430))),1,0.0001))),0))</f>
        <v/>
      </c>
      <c r="Q430" s="27" t="str">
        <f aca="false">IF(K430="","",SETTINGS!$B$6*O430)</f>
        <v/>
      </c>
      <c r="R430" s="24" t="str">
        <f aca="false">IF(K430="","",IFERROR(Q430/(P430*IF(ISNUMBER(SEARCH("JPY",E430)),9.09,IF(ISNUMBER(SEARCH("XAU",E430)),1,IF(OR(ISNUMBER(SEARCH("30",E430)),ISNUMBER(SEARCH("500",E430)),ISNUMBER(SEARCH("100",E430))),1,10)))),0))</f>
        <v/>
      </c>
      <c r="S430" s="10"/>
      <c r="T430" s="28"/>
      <c r="U430" s="27" t="str">
        <f aca="false">IF(OR(S430="",T430=0),"",IFERROR((S430-K430)*IF(F430="Sell",-1,1)*R430*T430*IF(ISNUMBER(SEARCH("JPY",E430)),1000,IF(ISNUMBER(SEARCH("XAU",E430)),100,IF(OR(ISNUMBER(SEARCH("30",E430)),ISNUMBER(SEARCH("500",E430)),ISNUMBER(SEARCH("100",E430))),100,100000))),0))</f>
        <v/>
      </c>
      <c r="V430" s="10"/>
      <c r="W430" s="28"/>
      <c r="X430" s="27" t="str">
        <f aca="false">IF(OR(V430="",W430=0),"",IFERROR((V430-K430)*IF(F430="Sell",-1,1)*R430*W430*IF(ISNUMBER(SEARCH("JPY",E430)),1000,IF(ISNUMBER(SEARCH("XAU",E430)),100,IF(OR(ISNUMBER(SEARCH("30",E430)),ISNUMBER(SEARCH("500",E430)),ISNUMBER(SEARCH("100",E430))),100,100000))),0))</f>
        <v/>
      </c>
      <c r="Y430" s="10"/>
      <c r="Z430" s="28"/>
      <c r="AA430" s="27" t="str">
        <f aca="false">IF(OR(Y430="",Z430=0),"",IFERROR((Y430-K430)*IF(F430="Sell",-1,1)*R430*Z430*IF(ISNUMBER(SEARCH("JPY",E430)),1000,IF(ISNUMBER(SEARCH("XAU",E430)),100,IF(OR(ISNUMBER(SEARCH("30",E430)),ISNUMBER(SEARCH("500",E430)),ISNUMBER(SEARCH("100",E430))),100,100000))),0))</f>
        <v/>
      </c>
      <c r="AB430" s="10"/>
      <c r="AC430" s="29" t="str">
        <f aca="false">IF(K430="","",1-IFERROR(T430,0)-IFERROR(W430,0)-IFERROR(Z430,0))</f>
        <v/>
      </c>
      <c r="AD430" s="30" t="str">
        <f aca="false">IF(AB430="","",IFERROR((IFERROR(S430*T430,0)+IFERROR(V430*W430,0)+IFERROR(Y430*Z430,0)+AB430*AC430)/(IFERROR(T430,0)+IFERROR(W430,0)+IFERROR(Z430,0)+AC430),AB430))</f>
        <v/>
      </c>
      <c r="AE430" s="27" t="str">
        <f aca="false">IF(AB430="","",IF(U430="",0,U430)+IF(X430="",0,X430)+IF(AA430="",0,AA430)+IFERROR((AB430-K430)*IF(F430="Sell",-1,1)*R430*AC430*IF(ISNUMBER(SEARCH("JPY",E430)),1000,IF(ISNUMBER(SEARCH("XAU",E430)),100,IF(OR(ISNUMBER(SEARCH("30",E430)),ISNUMBER(SEARCH("500",E430)),ISNUMBER(SEARCH("100",E430))),100,100000))),0))</f>
        <v/>
      </c>
      <c r="AF430" s="31" t="str">
        <f aca="false">IF(OR(K430="",M430="",L430=""),"",IFERROR(ABS(M430-K430)/ABS(K430-L430),0))</f>
        <v/>
      </c>
      <c r="AG430" s="31" t="str">
        <f aca="false">IF(OR(AE430="",AE430=0,Q430=0,Q430=""),"",IFERROR(AE430/Q430,0))</f>
        <v/>
      </c>
      <c r="AH430" s="32" t="str">
        <f aca="false">IF(AB430="","Open",IF(AG430="","Open",IF(AG430&gt;0.1,"Win",IF(AG430&lt;-0.1,"Loss","Breakeven"))))</f>
        <v>Open</v>
      </c>
      <c r="AI430" s="33" t="str">
        <f aca="false">IF(OR(B430="",D430=""),"",D430-B430)</f>
        <v/>
      </c>
      <c r="AJ430" s="24" t="str">
        <f aca="false">IF(AD430="","",IFERROR((AD430-K430)*IF(F430="Sell",-1,1)/IF(ISNUMBER(SEARCH("JPY",E430)),0.01,IF(ISNUMBER(SEARCH("XAU",E430)),0.01,IF(OR(ISNUMBER(SEARCH("30",E430)),ISNUMBER(SEARCH("500",E430)),ISNUMBER(SEARCH("100",E430))),1,0.0001))),0))</f>
        <v/>
      </c>
      <c r="AK430" s="10"/>
      <c r="AL430" s="10"/>
      <c r="AM430" s="10"/>
      <c r="AN430" s="10"/>
      <c r="AO430" s="27" t="str">
        <f aca="false">IF(AE430="","",IFERROR(IF(AO429="",SETTINGS!$B$6,AO429),SETTINGS!$B$6)+IF(AE430="",0,AE430))</f>
        <v/>
      </c>
      <c r="AP430" s="2"/>
    </row>
    <row r="431" customFormat="false" ht="15" hidden="false" customHeight="false" outlineLevel="0" collapsed="false">
      <c r="A431" s="24" t="str">
        <f aca="false">IF(B431="","",ROW()-3)</f>
        <v/>
      </c>
      <c r="B431" s="34"/>
      <c r="C431" s="12"/>
      <c r="D431" s="34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35"/>
      <c r="P431" s="24" t="str">
        <f aca="false">IF(K431="","",IFERROR(ABS(K431-L431)/IF(ISNUMBER(SEARCH("JPY",E431)),0.01,IF(ISNUMBER(SEARCH("XAU",E431)),0.01,IF(OR(ISNUMBER(SEARCH("30",E431)),ISNUMBER(SEARCH("500",E431)),ISNUMBER(SEARCH("100",E431))),1,0.0001))),0))</f>
        <v/>
      </c>
      <c r="Q431" s="27" t="str">
        <f aca="false">IF(K431="","",SETTINGS!$B$6*O431)</f>
        <v/>
      </c>
      <c r="R431" s="24" t="str">
        <f aca="false">IF(K431="","",IFERROR(Q431/(P431*IF(ISNUMBER(SEARCH("JPY",E431)),9.09,IF(ISNUMBER(SEARCH("XAU",E431)),1,IF(OR(ISNUMBER(SEARCH("30",E431)),ISNUMBER(SEARCH("500",E431)),ISNUMBER(SEARCH("100",E431))),1,10)))),0))</f>
        <v/>
      </c>
      <c r="S431" s="12"/>
      <c r="T431" s="36"/>
      <c r="U431" s="27" t="str">
        <f aca="false">IF(OR(S431="",T431=0),"",IFERROR((S431-K431)*IF(F431="Sell",-1,1)*R431*T431*IF(ISNUMBER(SEARCH("JPY",E431)),1000,IF(ISNUMBER(SEARCH("XAU",E431)),100,IF(OR(ISNUMBER(SEARCH("30",E431)),ISNUMBER(SEARCH("500",E431)),ISNUMBER(SEARCH("100",E431))),100,100000))),0))</f>
        <v/>
      </c>
      <c r="V431" s="12"/>
      <c r="W431" s="36"/>
      <c r="X431" s="27" t="str">
        <f aca="false">IF(OR(V431="",W431=0),"",IFERROR((V431-K431)*IF(F431="Sell",-1,1)*R431*W431*IF(ISNUMBER(SEARCH("JPY",E431)),1000,IF(ISNUMBER(SEARCH("XAU",E431)),100,IF(OR(ISNUMBER(SEARCH("30",E431)),ISNUMBER(SEARCH("500",E431)),ISNUMBER(SEARCH("100",E431))),100,100000))),0))</f>
        <v/>
      </c>
      <c r="Y431" s="12"/>
      <c r="Z431" s="36"/>
      <c r="AA431" s="27" t="str">
        <f aca="false">IF(OR(Y431="",Z431=0),"",IFERROR((Y431-K431)*IF(F431="Sell",-1,1)*R431*Z431*IF(ISNUMBER(SEARCH("JPY",E431)),1000,IF(ISNUMBER(SEARCH("XAU",E431)),100,IF(OR(ISNUMBER(SEARCH("30",E431)),ISNUMBER(SEARCH("500",E431)),ISNUMBER(SEARCH("100",E431))),100,100000))),0))</f>
        <v/>
      </c>
      <c r="AB431" s="12"/>
      <c r="AC431" s="29" t="str">
        <f aca="false">IF(K431="","",1-IFERROR(T431,0)-IFERROR(W431,0)-IFERROR(Z431,0))</f>
        <v/>
      </c>
      <c r="AD431" s="30" t="str">
        <f aca="false">IF(AB431="","",IFERROR((IFERROR(S431*T431,0)+IFERROR(V431*W431,0)+IFERROR(Y431*Z431,0)+AB431*AC431)/(IFERROR(T431,0)+IFERROR(W431,0)+IFERROR(Z431,0)+AC431),AB431))</f>
        <v/>
      </c>
      <c r="AE431" s="27" t="str">
        <f aca="false">IF(AB431="","",IF(U431="",0,U431)+IF(X431="",0,X431)+IF(AA431="",0,AA431)+IFERROR((AB431-K431)*IF(F431="Sell",-1,1)*R431*AC431*IF(ISNUMBER(SEARCH("JPY",E431)),1000,IF(ISNUMBER(SEARCH("XAU",E431)),100,IF(OR(ISNUMBER(SEARCH("30",E431)),ISNUMBER(SEARCH("500",E431)),ISNUMBER(SEARCH("100",E431))),100,100000))),0))</f>
        <v/>
      </c>
      <c r="AF431" s="31" t="str">
        <f aca="false">IF(OR(K431="",M431="",L431=""),"",IFERROR(ABS(M431-K431)/ABS(K431-L431),0))</f>
        <v/>
      </c>
      <c r="AG431" s="31" t="str">
        <f aca="false">IF(OR(AE431="",AE431=0,Q431=0,Q431=""),"",IFERROR(AE431/Q431,0))</f>
        <v/>
      </c>
      <c r="AH431" s="32" t="str">
        <f aca="false">IF(AB431="","Open",IF(AG431="","Open",IF(AG431&gt;0.1,"Win",IF(AG431&lt;-0.1,"Loss","Breakeven"))))</f>
        <v>Open</v>
      </c>
      <c r="AI431" s="33" t="str">
        <f aca="false">IF(OR(B431="",D431=""),"",D431-B431)</f>
        <v/>
      </c>
      <c r="AJ431" s="24" t="str">
        <f aca="false">IF(AD431="","",IFERROR((AD431-K431)*IF(F431="Sell",-1,1)/IF(ISNUMBER(SEARCH("JPY",E431)),0.01,IF(ISNUMBER(SEARCH("XAU",E431)),0.01,IF(OR(ISNUMBER(SEARCH("30",E431)),ISNUMBER(SEARCH("500",E431)),ISNUMBER(SEARCH("100",E431))),1,0.0001))),0))</f>
        <v/>
      </c>
      <c r="AK431" s="12"/>
      <c r="AL431" s="12"/>
      <c r="AM431" s="12"/>
      <c r="AN431" s="12"/>
      <c r="AO431" s="27" t="str">
        <f aca="false">IF(AE431="","",IFERROR(IF(AO430="",SETTINGS!$B$6,AO430),SETTINGS!$B$6)+IF(AE431="",0,AE431))</f>
        <v/>
      </c>
      <c r="AP431" s="2"/>
    </row>
    <row r="432" customFormat="false" ht="15" hidden="false" customHeight="false" outlineLevel="0" collapsed="false">
      <c r="A432" s="24" t="str">
        <f aca="false">IF(B432="","",ROW()-3)</f>
        <v/>
      </c>
      <c r="B432" s="25"/>
      <c r="C432" s="10"/>
      <c r="D432" s="25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26"/>
      <c r="P432" s="24" t="str">
        <f aca="false">IF(K432="","",IFERROR(ABS(K432-L432)/IF(ISNUMBER(SEARCH("JPY",E432)),0.01,IF(ISNUMBER(SEARCH("XAU",E432)),0.01,IF(OR(ISNUMBER(SEARCH("30",E432)),ISNUMBER(SEARCH("500",E432)),ISNUMBER(SEARCH("100",E432))),1,0.0001))),0))</f>
        <v/>
      </c>
      <c r="Q432" s="27" t="str">
        <f aca="false">IF(K432="","",SETTINGS!$B$6*O432)</f>
        <v/>
      </c>
      <c r="R432" s="24" t="str">
        <f aca="false">IF(K432="","",IFERROR(Q432/(P432*IF(ISNUMBER(SEARCH("JPY",E432)),9.09,IF(ISNUMBER(SEARCH("XAU",E432)),1,IF(OR(ISNUMBER(SEARCH("30",E432)),ISNUMBER(SEARCH("500",E432)),ISNUMBER(SEARCH("100",E432))),1,10)))),0))</f>
        <v/>
      </c>
      <c r="S432" s="10"/>
      <c r="T432" s="28"/>
      <c r="U432" s="27" t="str">
        <f aca="false">IF(OR(S432="",T432=0),"",IFERROR((S432-K432)*IF(F432="Sell",-1,1)*R432*T432*IF(ISNUMBER(SEARCH("JPY",E432)),1000,IF(ISNUMBER(SEARCH("XAU",E432)),100,IF(OR(ISNUMBER(SEARCH("30",E432)),ISNUMBER(SEARCH("500",E432)),ISNUMBER(SEARCH("100",E432))),100,100000))),0))</f>
        <v/>
      </c>
      <c r="V432" s="10"/>
      <c r="W432" s="28"/>
      <c r="X432" s="27" t="str">
        <f aca="false">IF(OR(V432="",W432=0),"",IFERROR((V432-K432)*IF(F432="Sell",-1,1)*R432*W432*IF(ISNUMBER(SEARCH("JPY",E432)),1000,IF(ISNUMBER(SEARCH("XAU",E432)),100,IF(OR(ISNUMBER(SEARCH("30",E432)),ISNUMBER(SEARCH("500",E432)),ISNUMBER(SEARCH("100",E432))),100,100000))),0))</f>
        <v/>
      </c>
      <c r="Y432" s="10"/>
      <c r="Z432" s="28"/>
      <c r="AA432" s="27" t="str">
        <f aca="false">IF(OR(Y432="",Z432=0),"",IFERROR((Y432-K432)*IF(F432="Sell",-1,1)*R432*Z432*IF(ISNUMBER(SEARCH("JPY",E432)),1000,IF(ISNUMBER(SEARCH("XAU",E432)),100,IF(OR(ISNUMBER(SEARCH("30",E432)),ISNUMBER(SEARCH("500",E432)),ISNUMBER(SEARCH("100",E432))),100,100000))),0))</f>
        <v/>
      </c>
      <c r="AB432" s="10"/>
      <c r="AC432" s="29" t="str">
        <f aca="false">IF(K432="","",1-IFERROR(T432,0)-IFERROR(W432,0)-IFERROR(Z432,0))</f>
        <v/>
      </c>
      <c r="AD432" s="30" t="str">
        <f aca="false">IF(AB432="","",IFERROR((IFERROR(S432*T432,0)+IFERROR(V432*W432,0)+IFERROR(Y432*Z432,0)+AB432*AC432)/(IFERROR(T432,0)+IFERROR(W432,0)+IFERROR(Z432,0)+AC432),AB432))</f>
        <v/>
      </c>
      <c r="AE432" s="27" t="str">
        <f aca="false">IF(AB432="","",IF(U432="",0,U432)+IF(X432="",0,X432)+IF(AA432="",0,AA432)+IFERROR((AB432-K432)*IF(F432="Sell",-1,1)*R432*AC432*IF(ISNUMBER(SEARCH("JPY",E432)),1000,IF(ISNUMBER(SEARCH("XAU",E432)),100,IF(OR(ISNUMBER(SEARCH("30",E432)),ISNUMBER(SEARCH("500",E432)),ISNUMBER(SEARCH("100",E432))),100,100000))),0))</f>
        <v/>
      </c>
      <c r="AF432" s="31" t="str">
        <f aca="false">IF(OR(K432="",M432="",L432=""),"",IFERROR(ABS(M432-K432)/ABS(K432-L432),0))</f>
        <v/>
      </c>
      <c r="AG432" s="31" t="str">
        <f aca="false">IF(OR(AE432="",AE432=0,Q432=0,Q432=""),"",IFERROR(AE432/Q432,0))</f>
        <v/>
      </c>
      <c r="AH432" s="32" t="str">
        <f aca="false">IF(AB432="","Open",IF(AG432="","Open",IF(AG432&gt;0.1,"Win",IF(AG432&lt;-0.1,"Loss","Breakeven"))))</f>
        <v>Open</v>
      </c>
      <c r="AI432" s="33" t="str">
        <f aca="false">IF(OR(B432="",D432=""),"",D432-B432)</f>
        <v/>
      </c>
      <c r="AJ432" s="24" t="str">
        <f aca="false">IF(AD432="","",IFERROR((AD432-K432)*IF(F432="Sell",-1,1)/IF(ISNUMBER(SEARCH("JPY",E432)),0.01,IF(ISNUMBER(SEARCH("XAU",E432)),0.01,IF(OR(ISNUMBER(SEARCH("30",E432)),ISNUMBER(SEARCH("500",E432)),ISNUMBER(SEARCH("100",E432))),1,0.0001))),0))</f>
        <v/>
      </c>
      <c r="AK432" s="10"/>
      <c r="AL432" s="10"/>
      <c r="AM432" s="10"/>
      <c r="AN432" s="10"/>
      <c r="AO432" s="27" t="str">
        <f aca="false">IF(AE432="","",IFERROR(IF(AO431="",SETTINGS!$B$6,AO431),SETTINGS!$B$6)+IF(AE432="",0,AE432))</f>
        <v/>
      </c>
      <c r="AP432" s="2"/>
    </row>
    <row r="433" customFormat="false" ht="15" hidden="false" customHeight="false" outlineLevel="0" collapsed="false">
      <c r="A433" s="24" t="str">
        <f aca="false">IF(B433="","",ROW()-3)</f>
        <v/>
      </c>
      <c r="B433" s="34"/>
      <c r="C433" s="12"/>
      <c r="D433" s="34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35"/>
      <c r="P433" s="24" t="str">
        <f aca="false">IF(K433="","",IFERROR(ABS(K433-L433)/IF(ISNUMBER(SEARCH("JPY",E433)),0.01,IF(ISNUMBER(SEARCH("XAU",E433)),0.01,IF(OR(ISNUMBER(SEARCH("30",E433)),ISNUMBER(SEARCH("500",E433)),ISNUMBER(SEARCH("100",E433))),1,0.0001))),0))</f>
        <v/>
      </c>
      <c r="Q433" s="27" t="str">
        <f aca="false">IF(K433="","",SETTINGS!$B$6*O433)</f>
        <v/>
      </c>
      <c r="R433" s="24" t="str">
        <f aca="false">IF(K433="","",IFERROR(Q433/(P433*IF(ISNUMBER(SEARCH("JPY",E433)),9.09,IF(ISNUMBER(SEARCH("XAU",E433)),1,IF(OR(ISNUMBER(SEARCH("30",E433)),ISNUMBER(SEARCH("500",E433)),ISNUMBER(SEARCH("100",E433))),1,10)))),0))</f>
        <v/>
      </c>
      <c r="S433" s="12"/>
      <c r="T433" s="36"/>
      <c r="U433" s="27" t="str">
        <f aca="false">IF(OR(S433="",T433=0),"",IFERROR((S433-K433)*IF(F433="Sell",-1,1)*R433*T433*IF(ISNUMBER(SEARCH("JPY",E433)),1000,IF(ISNUMBER(SEARCH("XAU",E433)),100,IF(OR(ISNUMBER(SEARCH("30",E433)),ISNUMBER(SEARCH("500",E433)),ISNUMBER(SEARCH("100",E433))),100,100000))),0))</f>
        <v/>
      </c>
      <c r="V433" s="12"/>
      <c r="W433" s="36"/>
      <c r="X433" s="27" t="str">
        <f aca="false">IF(OR(V433="",W433=0),"",IFERROR((V433-K433)*IF(F433="Sell",-1,1)*R433*W433*IF(ISNUMBER(SEARCH("JPY",E433)),1000,IF(ISNUMBER(SEARCH("XAU",E433)),100,IF(OR(ISNUMBER(SEARCH("30",E433)),ISNUMBER(SEARCH("500",E433)),ISNUMBER(SEARCH("100",E433))),100,100000))),0))</f>
        <v/>
      </c>
      <c r="Y433" s="12"/>
      <c r="Z433" s="36"/>
      <c r="AA433" s="27" t="str">
        <f aca="false">IF(OR(Y433="",Z433=0),"",IFERROR((Y433-K433)*IF(F433="Sell",-1,1)*R433*Z433*IF(ISNUMBER(SEARCH("JPY",E433)),1000,IF(ISNUMBER(SEARCH("XAU",E433)),100,IF(OR(ISNUMBER(SEARCH("30",E433)),ISNUMBER(SEARCH("500",E433)),ISNUMBER(SEARCH("100",E433))),100,100000))),0))</f>
        <v/>
      </c>
      <c r="AB433" s="12"/>
      <c r="AC433" s="29" t="str">
        <f aca="false">IF(K433="","",1-IFERROR(T433,0)-IFERROR(W433,0)-IFERROR(Z433,0))</f>
        <v/>
      </c>
      <c r="AD433" s="30" t="str">
        <f aca="false">IF(AB433="","",IFERROR((IFERROR(S433*T433,0)+IFERROR(V433*W433,0)+IFERROR(Y433*Z433,0)+AB433*AC433)/(IFERROR(T433,0)+IFERROR(W433,0)+IFERROR(Z433,0)+AC433),AB433))</f>
        <v/>
      </c>
      <c r="AE433" s="27" t="str">
        <f aca="false">IF(AB433="","",IF(U433="",0,U433)+IF(X433="",0,X433)+IF(AA433="",0,AA433)+IFERROR((AB433-K433)*IF(F433="Sell",-1,1)*R433*AC433*IF(ISNUMBER(SEARCH("JPY",E433)),1000,IF(ISNUMBER(SEARCH("XAU",E433)),100,IF(OR(ISNUMBER(SEARCH("30",E433)),ISNUMBER(SEARCH("500",E433)),ISNUMBER(SEARCH("100",E433))),100,100000))),0))</f>
        <v/>
      </c>
      <c r="AF433" s="31" t="str">
        <f aca="false">IF(OR(K433="",M433="",L433=""),"",IFERROR(ABS(M433-K433)/ABS(K433-L433),0))</f>
        <v/>
      </c>
      <c r="AG433" s="31" t="str">
        <f aca="false">IF(OR(AE433="",AE433=0,Q433=0,Q433=""),"",IFERROR(AE433/Q433,0))</f>
        <v/>
      </c>
      <c r="AH433" s="32" t="str">
        <f aca="false">IF(AB433="","Open",IF(AG433="","Open",IF(AG433&gt;0.1,"Win",IF(AG433&lt;-0.1,"Loss","Breakeven"))))</f>
        <v>Open</v>
      </c>
      <c r="AI433" s="33" t="str">
        <f aca="false">IF(OR(B433="",D433=""),"",D433-B433)</f>
        <v/>
      </c>
      <c r="AJ433" s="24" t="str">
        <f aca="false">IF(AD433="","",IFERROR((AD433-K433)*IF(F433="Sell",-1,1)/IF(ISNUMBER(SEARCH("JPY",E433)),0.01,IF(ISNUMBER(SEARCH("XAU",E433)),0.01,IF(OR(ISNUMBER(SEARCH("30",E433)),ISNUMBER(SEARCH("500",E433)),ISNUMBER(SEARCH("100",E433))),1,0.0001))),0))</f>
        <v/>
      </c>
      <c r="AK433" s="12"/>
      <c r="AL433" s="12"/>
      <c r="AM433" s="12"/>
      <c r="AN433" s="12"/>
      <c r="AO433" s="27" t="str">
        <f aca="false">IF(AE433="","",IFERROR(IF(AO432="",SETTINGS!$B$6,AO432),SETTINGS!$B$6)+IF(AE433="",0,AE433))</f>
        <v/>
      </c>
      <c r="AP433" s="2"/>
    </row>
    <row r="434" customFormat="false" ht="15" hidden="false" customHeight="false" outlineLevel="0" collapsed="false">
      <c r="A434" s="24" t="str">
        <f aca="false">IF(B434="","",ROW()-3)</f>
        <v/>
      </c>
      <c r="B434" s="25"/>
      <c r="C434" s="10"/>
      <c r="D434" s="25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26"/>
      <c r="P434" s="24" t="str">
        <f aca="false">IF(K434="","",IFERROR(ABS(K434-L434)/IF(ISNUMBER(SEARCH("JPY",E434)),0.01,IF(ISNUMBER(SEARCH("XAU",E434)),0.01,IF(OR(ISNUMBER(SEARCH("30",E434)),ISNUMBER(SEARCH("500",E434)),ISNUMBER(SEARCH("100",E434))),1,0.0001))),0))</f>
        <v/>
      </c>
      <c r="Q434" s="27" t="str">
        <f aca="false">IF(K434="","",SETTINGS!$B$6*O434)</f>
        <v/>
      </c>
      <c r="R434" s="24" t="str">
        <f aca="false">IF(K434="","",IFERROR(Q434/(P434*IF(ISNUMBER(SEARCH("JPY",E434)),9.09,IF(ISNUMBER(SEARCH("XAU",E434)),1,IF(OR(ISNUMBER(SEARCH("30",E434)),ISNUMBER(SEARCH("500",E434)),ISNUMBER(SEARCH("100",E434))),1,10)))),0))</f>
        <v/>
      </c>
      <c r="S434" s="10"/>
      <c r="T434" s="28"/>
      <c r="U434" s="27" t="str">
        <f aca="false">IF(OR(S434="",T434=0),"",IFERROR((S434-K434)*IF(F434="Sell",-1,1)*R434*T434*IF(ISNUMBER(SEARCH("JPY",E434)),1000,IF(ISNUMBER(SEARCH("XAU",E434)),100,IF(OR(ISNUMBER(SEARCH("30",E434)),ISNUMBER(SEARCH("500",E434)),ISNUMBER(SEARCH("100",E434))),100,100000))),0))</f>
        <v/>
      </c>
      <c r="V434" s="10"/>
      <c r="W434" s="28"/>
      <c r="X434" s="27" t="str">
        <f aca="false">IF(OR(V434="",W434=0),"",IFERROR((V434-K434)*IF(F434="Sell",-1,1)*R434*W434*IF(ISNUMBER(SEARCH("JPY",E434)),1000,IF(ISNUMBER(SEARCH("XAU",E434)),100,IF(OR(ISNUMBER(SEARCH("30",E434)),ISNUMBER(SEARCH("500",E434)),ISNUMBER(SEARCH("100",E434))),100,100000))),0))</f>
        <v/>
      </c>
      <c r="Y434" s="10"/>
      <c r="Z434" s="28"/>
      <c r="AA434" s="27" t="str">
        <f aca="false">IF(OR(Y434="",Z434=0),"",IFERROR((Y434-K434)*IF(F434="Sell",-1,1)*R434*Z434*IF(ISNUMBER(SEARCH("JPY",E434)),1000,IF(ISNUMBER(SEARCH("XAU",E434)),100,IF(OR(ISNUMBER(SEARCH("30",E434)),ISNUMBER(SEARCH("500",E434)),ISNUMBER(SEARCH("100",E434))),100,100000))),0))</f>
        <v/>
      </c>
      <c r="AB434" s="10"/>
      <c r="AC434" s="29" t="str">
        <f aca="false">IF(K434="","",1-IFERROR(T434,0)-IFERROR(W434,0)-IFERROR(Z434,0))</f>
        <v/>
      </c>
      <c r="AD434" s="30" t="str">
        <f aca="false">IF(AB434="","",IFERROR((IFERROR(S434*T434,0)+IFERROR(V434*W434,0)+IFERROR(Y434*Z434,0)+AB434*AC434)/(IFERROR(T434,0)+IFERROR(W434,0)+IFERROR(Z434,0)+AC434),AB434))</f>
        <v/>
      </c>
      <c r="AE434" s="27" t="str">
        <f aca="false">IF(AB434="","",IF(U434="",0,U434)+IF(X434="",0,X434)+IF(AA434="",0,AA434)+IFERROR((AB434-K434)*IF(F434="Sell",-1,1)*R434*AC434*IF(ISNUMBER(SEARCH("JPY",E434)),1000,IF(ISNUMBER(SEARCH("XAU",E434)),100,IF(OR(ISNUMBER(SEARCH("30",E434)),ISNUMBER(SEARCH("500",E434)),ISNUMBER(SEARCH("100",E434))),100,100000))),0))</f>
        <v/>
      </c>
      <c r="AF434" s="31" t="str">
        <f aca="false">IF(OR(K434="",M434="",L434=""),"",IFERROR(ABS(M434-K434)/ABS(K434-L434),0))</f>
        <v/>
      </c>
      <c r="AG434" s="31" t="str">
        <f aca="false">IF(OR(AE434="",AE434=0,Q434=0,Q434=""),"",IFERROR(AE434/Q434,0))</f>
        <v/>
      </c>
      <c r="AH434" s="32" t="str">
        <f aca="false">IF(AB434="","Open",IF(AG434="","Open",IF(AG434&gt;0.1,"Win",IF(AG434&lt;-0.1,"Loss","Breakeven"))))</f>
        <v>Open</v>
      </c>
      <c r="AI434" s="33" t="str">
        <f aca="false">IF(OR(B434="",D434=""),"",D434-B434)</f>
        <v/>
      </c>
      <c r="AJ434" s="24" t="str">
        <f aca="false">IF(AD434="","",IFERROR((AD434-K434)*IF(F434="Sell",-1,1)/IF(ISNUMBER(SEARCH("JPY",E434)),0.01,IF(ISNUMBER(SEARCH("XAU",E434)),0.01,IF(OR(ISNUMBER(SEARCH("30",E434)),ISNUMBER(SEARCH("500",E434)),ISNUMBER(SEARCH("100",E434))),1,0.0001))),0))</f>
        <v/>
      </c>
      <c r="AK434" s="10"/>
      <c r="AL434" s="10"/>
      <c r="AM434" s="10"/>
      <c r="AN434" s="10"/>
      <c r="AO434" s="27" t="str">
        <f aca="false">IF(AE434="","",IFERROR(IF(AO433="",SETTINGS!$B$6,AO433),SETTINGS!$B$6)+IF(AE434="",0,AE434))</f>
        <v/>
      </c>
      <c r="AP434" s="2"/>
    </row>
    <row r="435" customFormat="false" ht="15" hidden="false" customHeight="false" outlineLevel="0" collapsed="false">
      <c r="A435" s="24" t="str">
        <f aca="false">IF(B435="","",ROW()-3)</f>
        <v/>
      </c>
      <c r="B435" s="34"/>
      <c r="C435" s="12"/>
      <c r="D435" s="34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35"/>
      <c r="P435" s="24" t="str">
        <f aca="false">IF(K435="","",IFERROR(ABS(K435-L435)/IF(ISNUMBER(SEARCH("JPY",E435)),0.01,IF(ISNUMBER(SEARCH("XAU",E435)),0.01,IF(OR(ISNUMBER(SEARCH("30",E435)),ISNUMBER(SEARCH("500",E435)),ISNUMBER(SEARCH("100",E435))),1,0.0001))),0))</f>
        <v/>
      </c>
      <c r="Q435" s="27" t="str">
        <f aca="false">IF(K435="","",SETTINGS!$B$6*O435)</f>
        <v/>
      </c>
      <c r="R435" s="24" t="str">
        <f aca="false">IF(K435="","",IFERROR(Q435/(P435*IF(ISNUMBER(SEARCH("JPY",E435)),9.09,IF(ISNUMBER(SEARCH("XAU",E435)),1,IF(OR(ISNUMBER(SEARCH("30",E435)),ISNUMBER(SEARCH("500",E435)),ISNUMBER(SEARCH("100",E435))),1,10)))),0))</f>
        <v/>
      </c>
      <c r="S435" s="12"/>
      <c r="T435" s="36"/>
      <c r="U435" s="27" t="str">
        <f aca="false">IF(OR(S435="",T435=0),"",IFERROR((S435-K435)*IF(F435="Sell",-1,1)*R435*T435*IF(ISNUMBER(SEARCH("JPY",E435)),1000,IF(ISNUMBER(SEARCH("XAU",E435)),100,IF(OR(ISNUMBER(SEARCH("30",E435)),ISNUMBER(SEARCH("500",E435)),ISNUMBER(SEARCH("100",E435))),100,100000))),0))</f>
        <v/>
      </c>
      <c r="V435" s="12"/>
      <c r="W435" s="36"/>
      <c r="X435" s="27" t="str">
        <f aca="false">IF(OR(V435="",W435=0),"",IFERROR((V435-K435)*IF(F435="Sell",-1,1)*R435*W435*IF(ISNUMBER(SEARCH("JPY",E435)),1000,IF(ISNUMBER(SEARCH("XAU",E435)),100,IF(OR(ISNUMBER(SEARCH("30",E435)),ISNUMBER(SEARCH("500",E435)),ISNUMBER(SEARCH("100",E435))),100,100000))),0))</f>
        <v/>
      </c>
      <c r="Y435" s="12"/>
      <c r="Z435" s="36"/>
      <c r="AA435" s="27" t="str">
        <f aca="false">IF(OR(Y435="",Z435=0),"",IFERROR((Y435-K435)*IF(F435="Sell",-1,1)*R435*Z435*IF(ISNUMBER(SEARCH("JPY",E435)),1000,IF(ISNUMBER(SEARCH("XAU",E435)),100,IF(OR(ISNUMBER(SEARCH("30",E435)),ISNUMBER(SEARCH("500",E435)),ISNUMBER(SEARCH("100",E435))),100,100000))),0))</f>
        <v/>
      </c>
      <c r="AB435" s="12"/>
      <c r="AC435" s="29" t="str">
        <f aca="false">IF(K435="","",1-IFERROR(T435,0)-IFERROR(W435,0)-IFERROR(Z435,0))</f>
        <v/>
      </c>
      <c r="AD435" s="30" t="str">
        <f aca="false">IF(AB435="","",IFERROR((IFERROR(S435*T435,0)+IFERROR(V435*W435,0)+IFERROR(Y435*Z435,0)+AB435*AC435)/(IFERROR(T435,0)+IFERROR(W435,0)+IFERROR(Z435,0)+AC435),AB435))</f>
        <v/>
      </c>
      <c r="AE435" s="27" t="str">
        <f aca="false">IF(AB435="","",IF(U435="",0,U435)+IF(X435="",0,X435)+IF(AA435="",0,AA435)+IFERROR((AB435-K435)*IF(F435="Sell",-1,1)*R435*AC435*IF(ISNUMBER(SEARCH("JPY",E435)),1000,IF(ISNUMBER(SEARCH("XAU",E435)),100,IF(OR(ISNUMBER(SEARCH("30",E435)),ISNUMBER(SEARCH("500",E435)),ISNUMBER(SEARCH("100",E435))),100,100000))),0))</f>
        <v/>
      </c>
      <c r="AF435" s="31" t="str">
        <f aca="false">IF(OR(K435="",M435="",L435=""),"",IFERROR(ABS(M435-K435)/ABS(K435-L435),0))</f>
        <v/>
      </c>
      <c r="AG435" s="31" t="str">
        <f aca="false">IF(OR(AE435="",AE435=0,Q435=0,Q435=""),"",IFERROR(AE435/Q435,0))</f>
        <v/>
      </c>
      <c r="AH435" s="32" t="str">
        <f aca="false">IF(AB435="","Open",IF(AG435="","Open",IF(AG435&gt;0.1,"Win",IF(AG435&lt;-0.1,"Loss","Breakeven"))))</f>
        <v>Open</v>
      </c>
      <c r="AI435" s="33" t="str">
        <f aca="false">IF(OR(B435="",D435=""),"",D435-B435)</f>
        <v/>
      </c>
      <c r="AJ435" s="24" t="str">
        <f aca="false">IF(AD435="","",IFERROR((AD435-K435)*IF(F435="Sell",-1,1)/IF(ISNUMBER(SEARCH("JPY",E435)),0.01,IF(ISNUMBER(SEARCH("XAU",E435)),0.01,IF(OR(ISNUMBER(SEARCH("30",E435)),ISNUMBER(SEARCH("500",E435)),ISNUMBER(SEARCH("100",E435))),1,0.0001))),0))</f>
        <v/>
      </c>
      <c r="AK435" s="12"/>
      <c r="AL435" s="12"/>
      <c r="AM435" s="12"/>
      <c r="AN435" s="12"/>
      <c r="AO435" s="27" t="str">
        <f aca="false">IF(AE435="","",IFERROR(IF(AO434="",SETTINGS!$B$6,AO434),SETTINGS!$B$6)+IF(AE435="",0,AE435))</f>
        <v/>
      </c>
      <c r="AP435" s="2"/>
    </row>
    <row r="436" customFormat="false" ht="15" hidden="false" customHeight="false" outlineLevel="0" collapsed="false">
      <c r="A436" s="24" t="str">
        <f aca="false">IF(B436="","",ROW()-3)</f>
        <v/>
      </c>
      <c r="B436" s="25"/>
      <c r="C436" s="10"/>
      <c r="D436" s="25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26"/>
      <c r="P436" s="24" t="str">
        <f aca="false">IF(K436="","",IFERROR(ABS(K436-L436)/IF(ISNUMBER(SEARCH("JPY",E436)),0.01,IF(ISNUMBER(SEARCH("XAU",E436)),0.01,IF(OR(ISNUMBER(SEARCH("30",E436)),ISNUMBER(SEARCH("500",E436)),ISNUMBER(SEARCH("100",E436))),1,0.0001))),0))</f>
        <v/>
      </c>
      <c r="Q436" s="27" t="str">
        <f aca="false">IF(K436="","",SETTINGS!$B$6*O436)</f>
        <v/>
      </c>
      <c r="R436" s="24" t="str">
        <f aca="false">IF(K436="","",IFERROR(Q436/(P436*IF(ISNUMBER(SEARCH("JPY",E436)),9.09,IF(ISNUMBER(SEARCH("XAU",E436)),1,IF(OR(ISNUMBER(SEARCH("30",E436)),ISNUMBER(SEARCH("500",E436)),ISNUMBER(SEARCH("100",E436))),1,10)))),0))</f>
        <v/>
      </c>
      <c r="S436" s="10"/>
      <c r="T436" s="28"/>
      <c r="U436" s="27" t="str">
        <f aca="false">IF(OR(S436="",T436=0),"",IFERROR((S436-K436)*IF(F436="Sell",-1,1)*R436*T436*IF(ISNUMBER(SEARCH("JPY",E436)),1000,IF(ISNUMBER(SEARCH("XAU",E436)),100,IF(OR(ISNUMBER(SEARCH("30",E436)),ISNUMBER(SEARCH("500",E436)),ISNUMBER(SEARCH("100",E436))),100,100000))),0))</f>
        <v/>
      </c>
      <c r="V436" s="10"/>
      <c r="W436" s="28"/>
      <c r="X436" s="27" t="str">
        <f aca="false">IF(OR(V436="",W436=0),"",IFERROR((V436-K436)*IF(F436="Sell",-1,1)*R436*W436*IF(ISNUMBER(SEARCH("JPY",E436)),1000,IF(ISNUMBER(SEARCH("XAU",E436)),100,IF(OR(ISNUMBER(SEARCH("30",E436)),ISNUMBER(SEARCH("500",E436)),ISNUMBER(SEARCH("100",E436))),100,100000))),0))</f>
        <v/>
      </c>
      <c r="Y436" s="10"/>
      <c r="Z436" s="28"/>
      <c r="AA436" s="27" t="str">
        <f aca="false">IF(OR(Y436="",Z436=0),"",IFERROR((Y436-K436)*IF(F436="Sell",-1,1)*R436*Z436*IF(ISNUMBER(SEARCH("JPY",E436)),1000,IF(ISNUMBER(SEARCH("XAU",E436)),100,IF(OR(ISNUMBER(SEARCH("30",E436)),ISNUMBER(SEARCH("500",E436)),ISNUMBER(SEARCH("100",E436))),100,100000))),0))</f>
        <v/>
      </c>
      <c r="AB436" s="10"/>
      <c r="AC436" s="29" t="str">
        <f aca="false">IF(K436="","",1-IFERROR(T436,0)-IFERROR(W436,0)-IFERROR(Z436,0))</f>
        <v/>
      </c>
      <c r="AD436" s="30" t="str">
        <f aca="false">IF(AB436="","",IFERROR((IFERROR(S436*T436,0)+IFERROR(V436*W436,0)+IFERROR(Y436*Z436,0)+AB436*AC436)/(IFERROR(T436,0)+IFERROR(W436,0)+IFERROR(Z436,0)+AC436),AB436))</f>
        <v/>
      </c>
      <c r="AE436" s="27" t="str">
        <f aca="false">IF(AB436="","",IF(U436="",0,U436)+IF(X436="",0,X436)+IF(AA436="",0,AA436)+IFERROR((AB436-K436)*IF(F436="Sell",-1,1)*R436*AC436*IF(ISNUMBER(SEARCH("JPY",E436)),1000,IF(ISNUMBER(SEARCH("XAU",E436)),100,IF(OR(ISNUMBER(SEARCH("30",E436)),ISNUMBER(SEARCH("500",E436)),ISNUMBER(SEARCH("100",E436))),100,100000))),0))</f>
        <v/>
      </c>
      <c r="AF436" s="31" t="str">
        <f aca="false">IF(OR(K436="",M436="",L436=""),"",IFERROR(ABS(M436-K436)/ABS(K436-L436),0))</f>
        <v/>
      </c>
      <c r="AG436" s="31" t="str">
        <f aca="false">IF(OR(AE436="",AE436=0,Q436=0,Q436=""),"",IFERROR(AE436/Q436,0))</f>
        <v/>
      </c>
      <c r="AH436" s="32" t="str">
        <f aca="false">IF(AB436="","Open",IF(AG436="","Open",IF(AG436&gt;0.1,"Win",IF(AG436&lt;-0.1,"Loss","Breakeven"))))</f>
        <v>Open</v>
      </c>
      <c r="AI436" s="33" t="str">
        <f aca="false">IF(OR(B436="",D436=""),"",D436-B436)</f>
        <v/>
      </c>
      <c r="AJ436" s="24" t="str">
        <f aca="false">IF(AD436="","",IFERROR((AD436-K436)*IF(F436="Sell",-1,1)/IF(ISNUMBER(SEARCH("JPY",E436)),0.01,IF(ISNUMBER(SEARCH("XAU",E436)),0.01,IF(OR(ISNUMBER(SEARCH("30",E436)),ISNUMBER(SEARCH("500",E436)),ISNUMBER(SEARCH("100",E436))),1,0.0001))),0))</f>
        <v/>
      </c>
      <c r="AK436" s="10"/>
      <c r="AL436" s="10"/>
      <c r="AM436" s="10"/>
      <c r="AN436" s="10"/>
      <c r="AO436" s="27" t="str">
        <f aca="false">IF(AE436="","",IFERROR(IF(AO435="",SETTINGS!$B$6,AO435),SETTINGS!$B$6)+IF(AE436="",0,AE436))</f>
        <v/>
      </c>
      <c r="AP436" s="2"/>
    </row>
    <row r="437" customFormat="false" ht="15" hidden="false" customHeight="false" outlineLevel="0" collapsed="false">
      <c r="A437" s="24" t="str">
        <f aca="false">IF(B437="","",ROW()-3)</f>
        <v/>
      </c>
      <c r="B437" s="34"/>
      <c r="C437" s="12"/>
      <c r="D437" s="34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35"/>
      <c r="P437" s="24" t="str">
        <f aca="false">IF(K437="","",IFERROR(ABS(K437-L437)/IF(ISNUMBER(SEARCH("JPY",E437)),0.01,IF(ISNUMBER(SEARCH("XAU",E437)),0.01,IF(OR(ISNUMBER(SEARCH("30",E437)),ISNUMBER(SEARCH("500",E437)),ISNUMBER(SEARCH("100",E437))),1,0.0001))),0))</f>
        <v/>
      </c>
      <c r="Q437" s="27" t="str">
        <f aca="false">IF(K437="","",SETTINGS!$B$6*O437)</f>
        <v/>
      </c>
      <c r="R437" s="24" t="str">
        <f aca="false">IF(K437="","",IFERROR(Q437/(P437*IF(ISNUMBER(SEARCH("JPY",E437)),9.09,IF(ISNUMBER(SEARCH("XAU",E437)),1,IF(OR(ISNUMBER(SEARCH("30",E437)),ISNUMBER(SEARCH("500",E437)),ISNUMBER(SEARCH("100",E437))),1,10)))),0))</f>
        <v/>
      </c>
      <c r="S437" s="12"/>
      <c r="T437" s="36"/>
      <c r="U437" s="27" t="str">
        <f aca="false">IF(OR(S437="",T437=0),"",IFERROR((S437-K437)*IF(F437="Sell",-1,1)*R437*T437*IF(ISNUMBER(SEARCH("JPY",E437)),1000,IF(ISNUMBER(SEARCH("XAU",E437)),100,IF(OR(ISNUMBER(SEARCH("30",E437)),ISNUMBER(SEARCH("500",E437)),ISNUMBER(SEARCH("100",E437))),100,100000))),0))</f>
        <v/>
      </c>
      <c r="V437" s="12"/>
      <c r="W437" s="36"/>
      <c r="X437" s="27" t="str">
        <f aca="false">IF(OR(V437="",W437=0),"",IFERROR((V437-K437)*IF(F437="Sell",-1,1)*R437*W437*IF(ISNUMBER(SEARCH("JPY",E437)),1000,IF(ISNUMBER(SEARCH("XAU",E437)),100,IF(OR(ISNUMBER(SEARCH("30",E437)),ISNUMBER(SEARCH("500",E437)),ISNUMBER(SEARCH("100",E437))),100,100000))),0))</f>
        <v/>
      </c>
      <c r="Y437" s="12"/>
      <c r="Z437" s="36"/>
      <c r="AA437" s="27" t="str">
        <f aca="false">IF(OR(Y437="",Z437=0),"",IFERROR((Y437-K437)*IF(F437="Sell",-1,1)*R437*Z437*IF(ISNUMBER(SEARCH("JPY",E437)),1000,IF(ISNUMBER(SEARCH("XAU",E437)),100,IF(OR(ISNUMBER(SEARCH("30",E437)),ISNUMBER(SEARCH("500",E437)),ISNUMBER(SEARCH("100",E437))),100,100000))),0))</f>
        <v/>
      </c>
      <c r="AB437" s="12"/>
      <c r="AC437" s="29" t="str">
        <f aca="false">IF(K437="","",1-IFERROR(T437,0)-IFERROR(W437,0)-IFERROR(Z437,0))</f>
        <v/>
      </c>
      <c r="AD437" s="30" t="str">
        <f aca="false">IF(AB437="","",IFERROR((IFERROR(S437*T437,0)+IFERROR(V437*W437,0)+IFERROR(Y437*Z437,0)+AB437*AC437)/(IFERROR(T437,0)+IFERROR(W437,0)+IFERROR(Z437,0)+AC437),AB437))</f>
        <v/>
      </c>
      <c r="AE437" s="27" t="str">
        <f aca="false">IF(AB437="","",IF(U437="",0,U437)+IF(X437="",0,X437)+IF(AA437="",0,AA437)+IFERROR((AB437-K437)*IF(F437="Sell",-1,1)*R437*AC437*IF(ISNUMBER(SEARCH("JPY",E437)),1000,IF(ISNUMBER(SEARCH("XAU",E437)),100,IF(OR(ISNUMBER(SEARCH("30",E437)),ISNUMBER(SEARCH("500",E437)),ISNUMBER(SEARCH("100",E437))),100,100000))),0))</f>
        <v/>
      </c>
      <c r="AF437" s="31" t="str">
        <f aca="false">IF(OR(K437="",M437="",L437=""),"",IFERROR(ABS(M437-K437)/ABS(K437-L437),0))</f>
        <v/>
      </c>
      <c r="AG437" s="31" t="str">
        <f aca="false">IF(OR(AE437="",AE437=0,Q437=0,Q437=""),"",IFERROR(AE437/Q437,0))</f>
        <v/>
      </c>
      <c r="AH437" s="32" t="str">
        <f aca="false">IF(AB437="","Open",IF(AG437="","Open",IF(AG437&gt;0.1,"Win",IF(AG437&lt;-0.1,"Loss","Breakeven"))))</f>
        <v>Open</v>
      </c>
      <c r="AI437" s="33" t="str">
        <f aca="false">IF(OR(B437="",D437=""),"",D437-B437)</f>
        <v/>
      </c>
      <c r="AJ437" s="24" t="str">
        <f aca="false">IF(AD437="","",IFERROR((AD437-K437)*IF(F437="Sell",-1,1)/IF(ISNUMBER(SEARCH("JPY",E437)),0.01,IF(ISNUMBER(SEARCH("XAU",E437)),0.01,IF(OR(ISNUMBER(SEARCH("30",E437)),ISNUMBER(SEARCH("500",E437)),ISNUMBER(SEARCH("100",E437))),1,0.0001))),0))</f>
        <v/>
      </c>
      <c r="AK437" s="12"/>
      <c r="AL437" s="12"/>
      <c r="AM437" s="12"/>
      <c r="AN437" s="12"/>
      <c r="AO437" s="27" t="str">
        <f aca="false">IF(AE437="","",IFERROR(IF(AO436="",SETTINGS!$B$6,AO436),SETTINGS!$B$6)+IF(AE437="",0,AE437))</f>
        <v/>
      </c>
      <c r="AP437" s="2"/>
    </row>
    <row r="438" customFormat="false" ht="15" hidden="false" customHeight="false" outlineLevel="0" collapsed="false">
      <c r="A438" s="24" t="str">
        <f aca="false">IF(B438="","",ROW()-3)</f>
        <v/>
      </c>
      <c r="B438" s="25"/>
      <c r="C438" s="10"/>
      <c r="D438" s="25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26"/>
      <c r="P438" s="24" t="str">
        <f aca="false">IF(K438="","",IFERROR(ABS(K438-L438)/IF(ISNUMBER(SEARCH("JPY",E438)),0.01,IF(ISNUMBER(SEARCH("XAU",E438)),0.01,IF(OR(ISNUMBER(SEARCH("30",E438)),ISNUMBER(SEARCH("500",E438)),ISNUMBER(SEARCH("100",E438))),1,0.0001))),0))</f>
        <v/>
      </c>
      <c r="Q438" s="27" t="str">
        <f aca="false">IF(K438="","",SETTINGS!$B$6*O438)</f>
        <v/>
      </c>
      <c r="R438" s="24" t="str">
        <f aca="false">IF(K438="","",IFERROR(Q438/(P438*IF(ISNUMBER(SEARCH("JPY",E438)),9.09,IF(ISNUMBER(SEARCH("XAU",E438)),1,IF(OR(ISNUMBER(SEARCH("30",E438)),ISNUMBER(SEARCH("500",E438)),ISNUMBER(SEARCH("100",E438))),1,10)))),0))</f>
        <v/>
      </c>
      <c r="S438" s="10"/>
      <c r="T438" s="28"/>
      <c r="U438" s="27" t="str">
        <f aca="false">IF(OR(S438="",T438=0),"",IFERROR((S438-K438)*IF(F438="Sell",-1,1)*R438*T438*IF(ISNUMBER(SEARCH("JPY",E438)),1000,IF(ISNUMBER(SEARCH("XAU",E438)),100,IF(OR(ISNUMBER(SEARCH("30",E438)),ISNUMBER(SEARCH("500",E438)),ISNUMBER(SEARCH("100",E438))),100,100000))),0))</f>
        <v/>
      </c>
      <c r="V438" s="10"/>
      <c r="W438" s="28"/>
      <c r="X438" s="27" t="str">
        <f aca="false">IF(OR(V438="",W438=0),"",IFERROR((V438-K438)*IF(F438="Sell",-1,1)*R438*W438*IF(ISNUMBER(SEARCH("JPY",E438)),1000,IF(ISNUMBER(SEARCH("XAU",E438)),100,IF(OR(ISNUMBER(SEARCH("30",E438)),ISNUMBER(SEARCH("500",E438)),ISNUMBER(SEARCH("100",E438))),100,100000))),0))</f>
        <v/>
      </c>
      <c r="Y438" s="10"/>
      <c r="Z438" s="28"/>
      <c r="AA438" s="27" t="str">
        <f aca="false">IF(OR(Y438="",Z438=0),"",IFERROR((Y438-K438)*IF(F438="Sell",-1,1)*R438*Z438*IF(ISNUMBER(SEARCH("JPY",E438)),1000,IF(ISNUMBER(SEARCH("XAU",E438)),100,IF(OR(ISNUMBER(SEARCH("30",E438)),ISNUMBER(SEARCH("500",E438)),ISNUMBER(SEARCH("100",E438))),100,100000))),0))</f>
        <v/>
      </c>
      <c r="AB438" s="10"/>
      <c r="AC438" s="29" t="str">
        <f aca="false">IF(K438="","",1-IFERROR(T438,0)-IFERROR(W438,0)-IFERROR(Z438,0))</f>
        <v/>
      </c>
      <c r="AD438" s="30" t="str">
        <f aca="false">IF(AB438="","",IFERROR((IFERROR(S438*T438,0)+IFERROR(V438*W438,0)+IFERROR(Y438*Z438,0)+AB438*AC438)/(IFERROR(T438,0)+IFERROR(W438,0)+IFERROR(Z438,0)+AC438),AB438))</f>
        <v/>
      </c>
      <c r="AE438" s="27" t="str">
        <f aca="false">IF(AB438="","",IF(U438="",0,U438)+IF(X438="",0,X438)+IF(AA438="",0,AA438)+IFERROR((AB438-K438)*IF(F438="Sell",-1,1)*R438*AC438*IF(ISNUMBER(SEARCH("JPY",E438)),1000,IF(ISNUMBER(SEARCH("XAU",E438)),100,IF(OR(ISNUMBER(SEARCH("30",E438)),ISNUMBER(SEARCH("500",E438)),ISNUMBER(SEARCH("100",E438))),100,100000))),0))</f>
        <v/>
      </c>
      <c r="AF438" s="31" t="str">
        <f aca="false">IF(OR(K438="",M438="",L438=""),"",IFERROR(ABS(M438-K438)/ABS(K438-L438),0))</f>
        <v/>
      </c>
      <c r="AG438" s="31" t="str">
        <f aca="false">IF(OR(AE438="",AE438=0,Q438=0,Q438=""),"",IFERROR(AE438/Q438,0))</f>
        <v/>
      </c>
      <c r="AH438" s="32" t="str">
        <f aca="false">IF(AB438="","Open",IF(AG438="","Open",IF(AG438&gt;0.1,"Win",IF(AG438&lt;-0.1,"Loss","Breakeven"))))</f>
        <v>Open</v>
      </c>
      <c r="AI438" s="33" t="str">
        <f aca="false">IF(OR(B438="",D438=""),"",D438-B438)</f>
        <v/>
      </c>
      <c r="AJ438" s="24" t="str">
        <f aca="false">IF(AD438="","",IFERROR((AD438-K438)*IF(F438="Sell",-1,1)/IF(ISNUMBER(SEARCH("JPY",E438)),0.01,IF(ISNUMBER(SEARCH("XAU",E438)),0.01,IF(OR(ISNUMBER(SEARCH("30",E438)),ISNUMBER(SEARCH("500",E438)),ISNUMBER(SEARCH("100",E438))),1,0.0001))),0))</f>
        <v/>
      </c>
      <c r="AK438" s="10"/>
      <c r="AL438" s="10"/>
      <c r="AM438" s="10"/>
      <c r="AN438" s="10"/>
      <c r="AO438" s="27" t="str">
        <f aca="false">IF(AE438="","",IFERROR(IF(AO437="",SETTINGS!$B$6,AO437),SETTINGS!$B$6)+IF(AE438="",0,AE438))</f>
        <v/>
      </c>
      <c r="AP438" s="2"/>
    </row>
    <row r="439" customFormat="false" ht="15" hidden="false" customHeight="false" outlineLevel="0" collapsed="false">
      <c r="A439" s="24" t="str">
        <f aca="false">IF(B439="","",ROW()-3)</f>
        <v/>
      </c>
      <c r="B439" s="34"/>
      <c r="C439" s="12"/>
      <c r="D439" s="34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35"/>
      <c r="P439" s="24" t="str">
        <f aca="false">IF(K439="","",IFERROR(ABS(K439-L439)/IF(ISNUMBER(SEARCH("JPY",E439)),0.01,IF(ISNUMBER(SEARCH("XAU",E439)),0.01,IF(OR(ISNUMBER(SEARCH("30",E439)),ISNUMBER(SEARCH("500",E439)),ISNUMBER(SEARCH("100",E439))),1,0.0001))),0))</f>
        <v/>
      </c>
      <c r="Q439" s="27" t="str">
        <f aca="false">IF(K439="","",SETTINGS!$B$6*O439)</f>
        <v/>
      </c>
      <c r="R439" s="24" t="str">
        <f aca="false">IF(K439="","",IFERROR(Q439/(P439*IF(ISNUMBER(SEARCH("JPY",E439)),9.09,IF(ISNUMBER(SEARCH("XAU",E439)),1,IF(OR(ISNUMBER(SEARCH("30",E439)),ISNUMBER(SEARCH("500",E439)),ISNUMBER(SEARCH("100",E439))),1,10)))),0))</f>
        <v/>
      </c>
      <c r="S439" s="12"/>
      <c r="T439" s="36"/>
      <c r="U439" s="27" t="str">
        <f aca="false">IF(OR(S439="",T439=0),"",IFERROR((S439-K439)*IF(F439="Sell",-1,1)*R439*T439*IF(ISNUMBER(SEARCH("JPY",E439)),1000,IF(ISNUMBER(SEARCH("XAU",E439)),100,IF(OR(ISNUMBER(SEARCH("30",E439)),ISNUMBER(SEARCH("500",E439)),ISNUMBER(SEARCH("100",E439))),100,100000))),0))</f>
        <v/>
      </c>
      <c r="V439" s="12"/>
      <c r="W439" s="36"/>
      <c r="X439" s="27" t="str">
        <f aca="false">IF(OR(V439="",W439=0),"",IFERROR((V439-K439)*IF(F439="Sell",-1,1)*R439*W439*IF(ISNUMBER(SEARCH("JPY",E439)),1000,IF(ISNUMBER(SEARCH("XAU",E439)),100,IF(OR(ISNUMBER(SEARCH("30",E439)),ISNUMBER(SEARCH("500",E439)),ISNUMBER(SEARCH("100",E439))),100,100000))),0))</f>
        <v/>
      </c>
      <c r="Y439" s="12"/>
      <c r="Z439" s="36"/>
      <c r="AA439" s="27" t="str">
        <f aca="false">IF(OR(Y439="",Z439=0),"",IFERROR((Y439-K439)*IF(F439="Sell",-1,1)*R439*Z439*IF(ISNUMBER(SEARCH("JPY",E439)),1000,IF(ISNUMBER(SEARCH("XAU",E439)),100,IF(OR(ISNUMBER(SEARCH("30",E439)),ISNUMBER(SEARCH("500",E439)),ISNUMBER(SEARCH("100",E439))),100,100000))),0))</f>
        <v/>
      </c>
      <c r="AB439" s="12"/>
      <c r="AC439" s="29" t="str">
        <f aca="false">IF(K439="","",1-IFERROR(T439,0)-IFERROR(W439,0)-IFERROR(Z439,0))</f>
        <v/>
      </c>
      <c r="AD439" s="30" t="str">
        <f aca="false">IF(AB439="","",IFERROR((IFERROR(S439*T439,0)+IFERROR(V439*W439,0)+IFERROR(Y439*Z439,0)+AB439*AC439)/(IFERROR(T439,0)+IFERROR(W439,0)+IFERROR(Z439,0)+AC439),AB439))</f>
        <v/>
      </c>
      <c r="AE439" s="27" t="str">
        <f aca="false">IF(AB439="","",IF(U439="",0,U439)+IF(X439="",0,X439)+IF(AA439="",0,AA439)+IFERROR((AB439-K439)*IF(F439="Sell",-1,1)*R439*AC439*IF(ISNUMBER(SEARCH("JPY",E439)),1000,IF(ISNUMBER(SEARCH("XAU",E439)),100,IF(OR(ISNUMBER(SEARCH("30",E439)),ISNUMBER(SEARCH("500",E439)),ISNUMBER(SEARCH("100",E439))),100,100000))),0))</f>
        <v/>
      </c>
      <c r="AF439" s="31" t="str">
        <f aca="false">IF(OR(K439="",M439="",L439=""),"",IFERROR(ABS(M439-K439)/ABS(K439-L439),0))</f>
        <v/>
      </c>
      <c r="AG439" s="31" t="str">
        <f aca="false">IF(OR(AE439="",AE439=0,Q439=0,Q439=""),"",IFERROR(AE439/Q439,0))</f>
        <v/>
      </c>
      <c r="AH439" s="32" t="str">
        <f aca="false">IF(AB439="","Open",IF(AG439="","Open",IF(AG439&gt;0.1,"Win",IF(AG439&lt;-0.1,"Loss","Breakeven"))))</f>
        <v>Open</v>
      </c>
      <c r="AI439" s="33" t="str">
        <f aca="false">IF(OR(B439="",D439=""),"",D439-B439)</f>
        <v/>
      </c>
      <c r="AJ439" s="24" t="str">
        <f aca="false">IF(AD439="","",IFERROR((AD439-K439)*IF(F439="Sell",-1,1)/IF(ISNUMBER(SEARCH("JPY",E439)),0.01,IF(ISNUMBER(SEARCH("XAU",E439)),0.01,IF(OR(ISNUMBER(SEARCH("30",E439)),ISNUMBER(SEARCH("500",E439)),ISNUMBER(SEARCH("100",E439))),1,0.0001))),0))</f>
        <v/>
      </c>
      <c r="AK439" s="12"/>
      <c r="AL439" s="12"/>
      <c r="AM439" s="12"/>
      <c r="AN439" s="12"/>
      <c r="AO439" s="27" t="str">
        <f aca="false">IF(AE439="","",IFERROR(IF(AO438="",SETTINGS!$B$6,AO438),SETTINGS!$B$6)+IF(AE439="",0,AE439))</f>
        <v/>
      </c>
      <c r="AP439" s="2"/>
    </row>
    <row r="440" customFormat="false" ht="15" hidden="false" customHeight="false" outlineLevel="0" collapsed="false">
      <c r="A440" s="24" t="str">
        <f aca="false">IF(B440="","",ROW()-3)</f>
        <v/>
      </c>
      <c r="B440" s="25"/>
      <c r="C440" s="10"/>
      <c r="D440" s="25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26"/>
      <c r="P440" s="24" t="str">
        <f aca="false">IF(K440="","",IFERROR(ABS(K440-L440)/IF(ISNUMBER(SEARCH("JPY",E440)),0.01,IF(ISNUMBER(SEARCH("XAU",E440)),0.01,IF(OR(ISNUMBER(SEARCH("30",E440)),ISNUMBER(SEARCH("500",E440)),ISNUMBER(SEARCH("100",E440))),1,0.0001))),0))</f>
        <v/>
      </c>
      <c r="Q440" s="27" t="str">
        <f aca="false">IF(K440="","",SETTINGS!$B$6*O440)</f>
        <v/>
      </c>
      <c r="R440" s="24" t="str">
        <f aca="false">IF(K440="","",IFERROR(Q440/(P440*IF(ISNUMBER(SEARCH("JPY",E440)),9.09,IF(ISNUMBER(SEARCH("XAU",E440)),1,IF(OR(ISNUMBER(SEARCH("30",E440)),ISNUMBER(SEARCH("500",E440)),ISNUMBER(SEARCH("100",E440))),1,10)))),0))</f>
        <v/>
      </c>
      <c r="S440" s="10"/>
      <c r="T440" s="28"/>
      <c r="U440" s="27" t="str">
        <f aca="false">IF(OR(S440="",T440=0),"",IFERROR((S440-K440)*IF(F440="Sell",-1,1)*R440*T440*IF(ISNUMBER(SEARCH("JPY",E440)),1000,IF(ISNUMBER(SEARCH("XAU",E440)),100,IF(OR(ISNUMBER(SEARCH("30",E440)),ISNUMBER(SEARCH("500",E440)),ISNUMBER(SEARCH("100",E440))),100,100000))),0))</f>
        <v/>
      </c>
      <c r="V440" s="10"/>
      <c r="W440" s="28"/>
      <c r="X440" s="27" t="str">
        <f aca="false">IF(OR(V440="",W440=0),"",IFERROR((V440-K440)*IF(F440="Sell",-1,1)*R440*W440*IF(ISNUMBER(SEARCH("JPY",E440)),1000,IF(ISNUMBER(SEARCH("XAU",E440)),100,IF(OR(ISNUMBER(SEARCH("30",E440)),ISNUMBER(SEARCH("500",E440)),ISNUMBER(SEARCH("100",E440))),100,100000))),0))</f>
        <v/>
      </c>
      <c r="Y440" s="10"/>
      <c r="Z440" s="28"/>
      <c r="AA440" s="27" t="str">
        <f aca="false">IF(OR(Y440="",Z440=0),"",IFERROR((Y440-K440)*IF(F440="Sell",-1,1)*R440*Z440*IF(ISNUMBER(SEARCH("JPY",E440)),1000,IF(ISNUMBER(SEARCH("XAU",E440)),100,IF(OR(ISNUMBER(SEARCH("30",E440)),ISNUMBER(SEARCH("500",E440)),ISNUMBER(SEARCH("100",E440))),100,100000))),0))</f>
        <v/>
      </c>
      <c r="AB440" s="10"/>
      <c r="AC440" s="29" t="str">
        <f aca="false">IF(K440="","",1-IFERROR(T440,0)-IFERROR(W440,0)-IFERROR(Z440,0))</f>
        <v/>
      </c>
      <c r="AD440" s="30" t="str">
        <f aca="false">IF(AB440="","",IFERROR((IFERROR(S440*T440,0)+IFERROR(V440*W440,0)+IFERROR(Y440*Z440,0)+AB440*AC440)/(IFERROR(T440,0)+IFERROR(W440,0)+IFERROR(Z440,0)+AC440),AB440))</f>
        <v/>
      </c>
      <c r="AE440" s="27" t="str">
        <f aca="false">IF(AB440="","",IF(U440="",0,U440)+IF(X440="",0,X440)+IF(AA440="",0,AA440)+IFERROR((AB440-K440)*IF(F440="Sell",-1,1)*R440*AC440*IF(ISNUMBER(SEARCH("JPY",E440)),1000,IF(ISNUMBER(SEARCH("XAU",E440)),100,IF(OR(ISNUMBER(SEARCH("30",E440)),ISNUMBER(SEARCH("500",E440)),ISNUMBER(SEARCH("100",E440))),100,100000))),0))</f>
        <v/>
      </c>
      <c r="AF440" s="31" t="str">
        <f aca="false">IF(OR(K440="",M440="",L440=""),"",IFERROR(ABS(M440-K440)/ABS(K440-L440),0))</f>
        <v/>
      </c>
      <c r="AG440" s="31" t="str">
        <f aca="false">IF(OR(AE440="",AE440=0,Q440=0,Q440=""),"",IFERROR(AE440/Q440,0))</f>
        <v/>
      </c>
      <c r="AH440" s="32" t="str">
        <f aca="false">IF(AB440="","Open",IF(AG440="","Open",IF(AG440&gt;0.1,"Win",IF(AG440&lt;-0.1,"Loss","Breakeven"))))</f>
        <v>Open</v>
      </c>
      <c r="AI440" s="33" t="str">
        <f aca="false">IF(OR(B440="",D440=""),"",D440-B440)</f>
        <v/>
      </c>
      <c r="AJ440" s="24" t="str">
        <f aca="false">IF(AD440="","",IFERROR((AD440-K440)*IF(F440="Sell",-1,1)/IF(ISNUMBER(SEARCH("JPY",E440)),0.01,IF(ISNUMBER(SEARCH("XAU",E440)),0.01,IF(OR(ISNUMBER(SEARCH("30",E440)),ISNUMBER(SEARCH("500",E440)),ISNUMBER(SEARCH("100",E440))),1,0.0001))),0))</f>
        <v/>
      </c>
      <c r="AK440" s="10"/>
      <c r="AL440" s="10"/>
      <c r="AM440" s="10"/>
      <c r="AN440" s="10"/>
      <c r="AO440" s="27" t="str">
        <f aca="false">IF(AE440="","",IFERROR(IF(AO439="",SETTINGS!$B$6,AO439),SETTINGS!$B$6)+IF(AE440="",0,AE440))</f>
        <v/>
      </c>
      <c r="AP440" s="2"/>
    </row>
    <row r="441" customFormat="false" ht="15" hidden="false" customHeight="false" outlineLevel="0" collapsed="false">
      <c r="A441" s="24" t="str">
        <f aca="false">IF(B441="","",ROW()-3)</f>
        <v/>
      </c>
      <c r="B441" s="34"/>
      <c r="C441" s="12"/>
      <c r="D441" s="34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35"/>
      <c r="P441" s="24" t="str">
        <f aca="false">IF(K441="","",IFERROR(ABS(K441-L441)/IF(ISNUMBER(SEARCH("JPY",E441)),0.01,IF(ISNUMBER(SEARCH("XAU",E441)),0.01,IF(OR(ISNUMBER(SEARCH("30",E441)),ISNUMBER(SEARCH("500",E441)),ISNUMBER(SEARCH("100",E441))),1,0.0001))),0))</f>
        <v/>
      </c>
      <c r="Q441" s="27" t="str">
        <f aca="false">IF(K441="","",SETTINGS!$B$6*O441)</f>
        <v/>
      </c>
      <c r="R441" s="24" t="str">
        <f aca="false">IF(K441="","",IFERROR(Q441/(P441*IF(ISNUMBER(SEARCH("JPY",E441)),9.09,IF(ISNUMBER(SEARCH("XAU",E441)),1,IF(OR(ISNUMBER(SEARCH("30",E441)),ISNUMBER(SEARCH("500",E441)),ISNUMBER(SEARCH("100",E441))),1,10)))),0))</f>
        <v/>
      </c>
      <c r="S441" s="12"/>
      <c r="T441" s="36"/>
      <c r="U441" s="27" t="str">
        <f aca="false">IF(OR(S441="",T441=0),"",IFERROR((S441-K441)*IF(F441="Sell",-1,1)*R441*T441*IF(ISNUMBER(SEARCH("JPY",E441)),1000,IF(ISNUMBER(SEARCH("XAU",E441)),100,IF(OR(ISNUMBER(SEARCH("30",E441)),ISNUMBER(SEARCH("500",E441)),ISNUMBER(SEARCH("100",E441))),100,100000))),0))</f>
        <v/>
      </c>
      <c r="V441" s="12"/>
      <c r="W441" s="36"/>
      <c r="X441" s="27" t="str">
        <f aca="false">IF(OR(V441="",W441=0),"",IFERROR((V441-K441)*IF(F441="Sell",-1,1)*R441*W441*IF(ISNUMBER(SEARCH("JPY",E441)),1000,IF(ISNUMBER(SEARCH("XAU",E441)),100,IF(OR(ISNUMBER(SEARCH("30",E441)),ISNUMBER(SEARCH("500",E441)),ISNUMBER(SEARCH("100",E441))),100,100000))),0))</f>
        <v/>
      </c>
      <c r="Y441" s="12"/>
      <c r="Z441" s="36"/>
      <c r="AA441" s="27" t="str">
        <f aca="false">IF(OR(Y441="",Z441=0),"",IFERROR((Y441-K441)*IF(F441="Sell",-1,1)*R441*Z441*IF(ISNUMBER(SEARCH("JPY",E441)),1000,IF(ISNUMBER(SEARCH("XAU",E441)),100,IF(OR(ISNUMBER(SEARCH("30",E441)),ISNUMBER(SEARCH("500",E441)),ISNUMBER(SEARCH("100",E441))),100,100000))),0))</f>
        <v/>
      </c>
      <c r="AB441" s="12"/>
      <c r="AC441" s="29" t="str">
        <f aca="false">IF(K441="","",1-IFERROR(T441,0)-IFERROR(W441,0)-IFERROR(Z441,0))</f>
        <v/>
      </c>
      <c r="AD441" s="30" t="str">
        <f aca="false">IF(AB441="","",IFERROR((IFERROR(S441*T441,0)+IFERROR(V441*W441,0)+IFERROR(Y441*Z441,0)+AB441*AC441)/(IFERROR(T441,0)+IFERROR(W441,0)+IFERROR(Z441,0)+AC441),AB441))</f>
        <v/>
      </c>
      <c r="AE441" s="27" t="str">
        <f aca="false">IF(AB441="","",IF(U441="",0,U441)+IF(X441="",0,X441)+IF(AA441="",0,AA441)+IFERROR((AB441-K441)*IF(F441="Sell",-1,1)*R441*AC441*IF(ISNUMBER(SEARCH("JPY",E441)),1000,IF(ISNUMBER(SEARCH("XAU",E441)),100,IF(OR(ISNUMBER(SEARCH("30",E441)),ISNUMBER(SEARCH("500",E441)),ISNUMBER(SEARCH("100",E441))),100,100000))),0))</f>
        <v/>
      </c>
      <c r="AF441" s="31" t="str">
        <f aca="false">IF(OR(K441="",M441="",L441=""),"",IFERROR(ABS(M441-K441)/ABS(K441-L441),0))</f>
        <v/>
      </c>
      <c r="AG441" s="31" t="str">
        <f aca="false">IF(OR(AE441="",AE441=0,Q441=0,Q441=""),"",IFERROR(AE441/Q441,0))</f>
        <v/>
      </c>
      <c r="AH441" s="32" t="str">
        <f aca="false">IF(AB441="","Open",IF(AG441="","Open",IF(AG441&gt;0.1,"Win",IF(AG441&lt;-0.1,"Loss","Breakeven"))))</f>
        <v>Open</v>
      </c>
      <c r="AI441" s="33" t="str">
        <f aca="false">IF(OR(B441="",D441=""),"",D441-B441)</f>
        <v/>
      </c>
      <c r="AJ441" s="24" t="str">
        <f aca="false">IF(AD441="","",IFERROR((AD441-K441)*IF(F441="Sell",-1,1)/IF(ISNUMBER(SEARCH("JPY",E441)),0.01,IF(ISNUMBER(SEARCH("XAU",E441)),0.01,IF(OR(ISNUMBER(SEARCH("30",E441)),ISNUMBER(SEARCH("500",E441)),ISNUMBER(SEARCH("100",E441))),1,0.0001))),0))</f>
        <v/>
      </c>
      <c r="AK441" s="12"/>
      <c r="AL441" s="12"/>
      <c r="AM441" s="12"/>
      <c r="AN441" s="12"/>
      <c r="AO441" s="27" t="str">
        <f aca="false">IF(AE441="","",IFERROR(IF(AO440="",SETTINGS!$B$6,AO440),SETTINGS!$B$6)+IF(AE441="",0,AE441))</f>
        <v/>
      </c>
      <c r="AP441" s="2"/>
    </row>
    <row r="442" customFormat="false" ht="15" hidden="false" customHeight="false" outlineLevel="0" collapsed="false">
      <c r="A442" s="24" t="str">
        <f aca="false">IF(B442="","",ROW()-3)</f>
        <v/>
      </c>
      <c r="B442" s="25"/>
      <c r="C442" s="10"/>
      <c r="D442" s="25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26"/>
      <c r="P442" s="24" t="str">
        <f aca="false">IF(K442="","",IFERROR(ABS(K442-L442)/IF(ISNUMBER(SEARCH("JPY",E442)),0.01,IF(ISNUMBER(SEARCH("XAU",E442)),0.01,IF(OR(ISNUMBER(SEARCH("30",E442)),ISNUMBER(SEARCH("500",E442)),ISNUMBER(SEARCH("100",E442))),1,0.0001))),0))</f>
        <v/>
      </c>
      <c r="Q442" s="27" t="str">
        <f aca="false">IF(K442="","",SETTINGS!$B$6*O442)</f>
        <v/>
      </c>
      <c r="R442" s="24" t="str">
        <f aca="false">IF(K442="","",IFERROR(Q442/(P442*IF(ISNUMBER(SEARCH("JPY",E442)),9.09,IF(ISNUMBER(SEARCH("XAU",E442)),1,IF(OR(ISNUMBER(SEARCH("30",E442)),ISNUMBER(SEARCH("500",E442)),ISNUMBER(SEARCH("100",E442))),1,10)))),0))</f>
        <v/>
      </c>
      <c r="S442" s="10"/>
      <c r="T442" s="28"/>
      <c r="U442" s="27" t="str">
        <f aca="false">IF(OR(S442="",T442=0),"",IFERROR((S442-K442)*IF(F442="Sell",-1,1)*R442*T442*IF(ISNUMBER(SEARCH("JPY",E442)),1000,IF(ISNUMBER(SEARCH("XAU",E442)),100,IF(OR(ISNUMBER(SEARCH("30",E442)),ISNUMBER(SEARCH("500",E442)),ISNUMBER(SEARCH("100",E442))),100,100000))),0))</f>
        <v/>
      </c>
      <c r="V442" s="10"/>
      <c r="W442" s="28"/>
      <c r="X442" s="27" t="str">
        <f aca="false">IF(OR(V442="",W442=0),"",IFERROR((V442-K442)*IF(F442="Sell",-1,1)*R442*W442*IF(ISNUMBER(SEARCH("JPY",E442)),1000,IF(ISNUMBER(SEARCH("XAU",E442)),100,IF(OR(ISNUMBER(SEARCH("30",E442)),ISNUMBER(SEARCH("500",E442)),ISNUMBER(SEARCH("100",E442))),100,100000))),0))</f>
        <v/>
      </c>
      <c r="Y442" s="10"/>
      <c r="Z442" s="28"/>
      <c r="AA442" s="27" t="str">
        <f aca="false">IF(OR(Y442="",Z442=0),"",IFERROR((Y442-K442)*IF(F442="Sell",-1,1)*R442*Z442*IF(ISNUMBER(SEARCH("JPY",E442)),1000,IF(ISNUMBER(SEARCH("XAU",E442)),100,IF(OR(ISNUMBER(SEARCH("30",E442)),ISNUMBER(SEARCH("500",E442)),ISNUMBER(SEARCH("100",E442))),100,100000))),0))</f>
        <v/>
      </c>
      <c r="AB442" s="10"/>
      <c r="AC442" s="29" t="str">
        <f aca="false">IF(K442="","",1-IFERROR(T442,0)-IFERROR(W442,0)-IFERROR(Z442,0))</f>
        <v/>
      </c>
      <c r="AD442" s="30" t="str">
        <f aca="false">IF(AB442="","",IFERROR((IFERROR(S442*T442,0)+IFERROR(V442*W442,0)+IFERROR(Y442*Z442,0)+AB442*AC442)/(IFERROR(T442,0)+IFERROR(W442,0)+IFERROR(Z442,0)+AC442),AB442))</f>
        <v/>
      </c>
      <c r="AE442" s="27" t="str">
        <f aca="false">IF(AB442="","",IF(U442="",0,U442)+IF(X442="",0,X442)+IF(AA442="",0,AA442)+IFERROR((AB442-K442)*IF(F442="Sell",-1,1)*R442*AC442*IF(ISNUMBER(SEARCH("JPY",E442)),1000,IF(ISNUMBER(SEARCH("XAU",E442)),100,IF(OR(ISNUMBER(SEARCH("30",E442)),ISNUMBER(SEARCH("500",E442)),ISNUMBER(SEARCH("100",E442))),100,100000))),0))</f>
        <v/>
      </c>
      <c r="AF442" s="31" t="str">
        <f aca="false">IF(OR(K442="",M442="",L442=""),"",IFERROR(ABS(M442-K442)/ABS(K442-L442),0))</f>
        <v/>
      </c>
      <c r="AG442" s="31" t="str">
        <f aca="false">IF(OR(AE442="",AE442=0,Q442=0,Q442=""),"",IFERROR(AE442/Q442,0))</f>
        <v/>
      </c>
      <c r="AH442" s="32" t="str">
        <f aca="false">IF(AB442="","Open",IF(AG442="","Open",IF(AG442&gt;0.1,"Win",IF(AG442&lt;-0.1,"Loss","Breakeven"))))</f>
        <v>Open</v>
      </c>
      <c r="AI442" s="33" t="str">
        <f aca="false">IF(OR(B442="",D442=""),"",D442-B442)</f>
        <v/>
      </c>
      <c r="AJ442" s="24" t="str">
        <f aca="false">IF(AD442="","",IFERROR((AD442-K442)*IF(F442="Sell",-1,1)/IF(ISNUMBER(SEARCH("JPY",E442)),0.01,IF(ISNUMBER(SEARCH("XAU",E442)),0.01,IF(OR(ISNUMBER(SEARCH("30",E442)),ISNUMBER(SEARCH("500",E442)),ISNUMBER(SEARCH("100",E442))),1,0.0001))),0))</f>
        <v/>
      </c>
      <c r="AK442" s="10"/>
      <c r="AL442" s="10"/>
      <c r="AM442" s="10"/>
      <c r="AN442" s="10"/>
      <c r="AO442" s="27" t="str">
        <f aca="false">IF(AE442="","",IFERROR(IF(AO441="",SETTINGS!$B$6,AO441),SETTINGS!$B$6)+IF(AE442="",0,AE442))</f>
        <v/>
      </c>
      <c r="AP442" s="2"/>
    </row>
    <row r="443" customFormat="false" ht="15" hidden="false" customHeight="false" outlineLevel="0" collapsed="false">
      <c r="A443" s="24" t="str">
        <f aca="false">IF(B443="","",ROW()-3)</f>
        <v/>
      </c>
      <c r="B443" s="34"/>
      <c r="C443" s="12"/>
      <c r="D443" s="34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35"/>
      <c r="P443" s="24" t="str">
        <f aca="false">IF(K443="","",IFERROR(ABS(K443-L443)/IF(ISNUMBER(SEARCH("JPY",E443)),0.01,IF(ISNUMBER(SEARCH("XAU",E443)),0.01,IF(OR(ISNUMBER(SEARCH("30",E443)),ISNUMBER(SEARCH("500",E443)),ISNUMBER(SEARCH("100",E443))),1,0.0001))),0))</f>
        <v/>
      </c>
      <c r="Q443" s="27" t="str">
        <f aca="false">IF(K443="","",SETTINGS!$B$6*O443)</f>
        <v/>
      </c>
      <c r="R443" s="24" t="str">
        <f aca="false">IF(K443="","",IFERROR(Q443/(P443*IF(ISNUMBER(SEARCH("JPY",E443)),9.09,IF(ISNUMBER(SEARCH("XAU",E443)),1,IF(OR(ISNUMBER(SEARCH("30",E443)),ISNUMBER(SEARCH("500",E443)),ISNUMBER(SEARCH("100",E443))),1,10)))),0))</f>
        <v/>
      </c>
      <c r="S443" s="12"/>
      <c r="T443" s="36"/>
      <c r="U443" s="27" t="str">
        <f aca="false">IF(OR(S443="",T443=0),"",IFERROR((S443-K443)*IF(F443="Sell",-1,1)*R443*T443*IF(ISNUMBER(SEARCH("JPY",E443)),1000,IF(ISNUMBER(SEARCH("XAU",E443)),100,IF(OR(ISNUMBER(SEARCH("30",E443)),ISNUMBER(SEARCH("500",E443)),ISNUMBER(SEARCH("100",E443))),100,100000))),0))</f>
        <v/>
      </c>
      <c r="V443" s="12"/>
      <c r="W443" s="36"/>
      <c r="X443" s="27" t="str">
        <f aca="false">IF(OR(V443="",W443=0),"",IFERROR((V443-K443)*IF(F443="Sell",-1,1)*R443*W443*IF(ISNUMBER(SEARCH("JPY",E443)),1000,IF(ISNUMBER(SEARCH("XAU",E443)),100,IF(OR(ISNUMBER(SEARCH("30",E443)),ISNUMBER(SEARCH("500",E443)),ISNUMBER(SEARCH("100",E443))),100,100000))),0))</f>
        <v/>
      </c>
      <c r="Y443" s="12"/>
      <c r="Z443" s="36"/>
      <c r="AA443" s="27" t="str">
        <f aca="false">IF(OR(Y443="",Z443=0),"",IFERROR((Y443-K443)*IF(F443="Sell",-1,1)*R443*Z443*IF(ISNUMBER(SEARCH("JPY",E443)),1000,IF(ISNUMBER(SEARCH("XAU",E443)),100,IF(OR(ISNUMBER(SEARCH("30",E443)),ISNUMBER(SEARCH("500",E443)),ISNUMBER(SEARCH("100",E443))),100,100000))),0))</f>
        <v/>
      </c>
      <c r="AB443" s="12"/>
      <c r="AC443" s="29" t="str">
        <f aca="false">IF(K443="","",1-IFERROR(T443,0)-IFERROR(W443,0)-IFERROR(Z443,0))</f>
        <v/>
      </c>
      <c r="AD443" s="30" t="str">
        <f aca="false">IF(AB443="","",IFERROR((IFERROR(S443*T443,0)+IFERROR(V443*W443,0)+IFERROR(Y443*Z443,0)+AB443*AC443)/(IFERROR(T443,0)+IFERROR(W443,0)+IFERROR(Z443,0)+AC443),AB443))</f>
        <v/>
      </c>
      <c r="AE443" s="27" t="str">
        <f aca="false">IF(AB443="","",IF(U443="",0,U443)+IF(X443="",0,X443)+IF(AA443="",0,AA443)+IFERROR((AB443-K443)*IF(F443="Sell",-1,1)*R443*AC443*IF(ISNUMBER(SEARCH("JPY",E443)),1000,IF(ISNUMBER(SEARCH("XAU",E443)),100,IF(OR(ISNUMBER(SEARCH("30",E443)),ISNUMBER(SEARCH("500",E443)),ISNUMBER(SEARCH("100",E443))),100,100000))),0))</f>
        <v/>
      </c>
      <c r="AF443" s="31" t="str">
        <f aca="false">IF(OR(K443="",M443="",L443=""),"",IFERROR(ABS(M443-K443)/ABS(K443-L443),0))</f>
        <v/>
      </c>
      <c r="AG443" s="31" t="str">
        <f aca="false">IF(OR(AE443="",AE443=0,Q443=0,Q443=""),"",IFERROR(AE443/Q443,0))</f>
        <v/>
      </c>
      <c r="AH443" s="32" t="str">
        <f aca="false">IF(AB443="","Open",IF(AG443="","Open",IF(AG443&gt;0.1,"Win",IF(AG443&lt;-0.1,"Loss","Breakeven"))))</f>
        <v>Open</v>
      </c>
      <c r="AI443" s="33" t="str">
        <f aca="false">IF(OR(B443="",D443=""),"",D443-B443)</f>
        <v/>
      </c>
      <c r="AJ443" s="24" t="str">
        <f aca="false">IF(AD443="","",IFERROR((AD443-K443)*IF(F443="Sell",-1,1)/IF(ISNUMBER(SEARCH("JPY",E443)),0.01,IF(ISNUMBER(SEARCH("XAU",E443)),0.01,IF(OR(ISNUMBER(SEARCH("30",E443)),ISNUMBER(SEARCH("500",E443)),ISNUMBER(SEARCH("100",E443))),1,0.0001))),0))</f>
        <v/>
      </c>
      <c r="AK443" s="12"/>
      <c r="AL443" s="12"/>
      <c r="AM443" s="12"/>
      <c r="AN443" s="12"/>
      <c r="AO443" s="27" t="str">
        <f aca="false">IF(AE443="","",IFERROR(IF(AO442="",SETTINGS!$B$6,AO442),SETTINGS!$B$6)+IF(AE443="",0,AE443))</f>
        <v/>
      </c>
      <c r="AP443" s="2"/>
    </row>
    <row r="444" customFormat="false" ht="15" hidden="false" customHeight="false" outlineLevel="0" collapsed="false">
      <c r="A444" s="24" t="str">
        <f aca="false">IF(B444="","",ROW()-3)</f>
        <v/>
      </c>
      <c r="B444" s="25"/>
      <c r="C444" s="10"/>
      <c r="D444" s="25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26"/>
      <c r="P444" s="24" t="str">
        <f aca="false">IF(K444="","",IFERROR(ABS(K444-L444)/IF(ISNUMBER(SEARCH("JPY",E444)),0.01,IF(ISNUMBER(SEARCH("XAU",E444)),0.01,IF(OR(ISNUMBER(SEARCH("30",E444)),ISNUMBER(SEARCH("500",E444)),ISNUMBER(SEARCH("100",E444))),1,0.0001))),0))</f>
        <v/>
      </c>
      <c r="Q444" s="27" t="str">
        <f aca="false">IF(K444="","",SETTINGS!$B$6*O444)</f>
        <v/>
      </c>
      <c r="R444" s="24" t="str">
        <f aca="false">IF(K444="","",IFERROR(Q444/(P444*IF(ISNUMBER(SEARCH("JPY",E444)),9.09,IF(ISNUMBER(SEARCH("XAU",E444)),1,IF(OR(ISNUMBER(SEARCH("30",E444)),ISNUMBER(SEARCH("500",E444)),ISNUMBER(SEARCH("100",E444))),1,10)))),0))</f>
        <v/>
      </c>
      <c r="S444" s="10"/>
      <c r="T444" s="28"/>
      <c r="U444" s="27" t="str">
        <f aca="false">IF(OR(S444="",T444=0),"",IFERROR((S444-K444)*IF(F444="Sell",-1,1)*R444*T444*IF(ISNUMBER(SEARCH("JPY",E444)),1000,IF(ISNUMBER(SEARCH("XAU",E444)),100,IF(OR(ISNUMBER(SEARCH("30",E444)),ISNUMBER(SEARCH("500",E444)),ISNUMBER(SEARCH("100",E444))),100,100000))),0))</f>
        <v/>
      </c>
      <c r="V444" s="10"/>
      <c r="W444" s="28"/>
      <c r="X444" s="27" t="str">
        <f aca="false">IF(OR(V444="",W444=0),"",IFERROR((V444-K444)*IF(F444="Sell",-1,1)*R444*W444*IF(ISNUMBER(SEARCH("JPY",E444)),1000,IF(ISNUMBER(SEARCH("XAU",E444)),100,IF(OR(ISNUMBER(SEARCH("30",E444)),ISNUMBER(SEARCH("500",E444)),ISNUMBER(SEARCH("100",E444))),100,100000))),0))</f>
        <v/>
      </c>
      <c r="Y444" s="10"/>
      <c r="Z444" s="28"/>
      <c r="AA444" s="27" t="str">
        <f aca="false">IF(OR(Y444="",Z444=0),"",IFERROR((Y444-K444)*IF(F444="Sell",-1,1)*R444*Z444*IF(ISNUMBER(SEARCH("JPY",E444)),1000,IF(ISNUMBER(SEARCH("XAU",E444)),100,IF(OR(ISNUMBER(SEARCH("30",E444)),ISNUMBER(SEARCH("500",E444)),ISNUMBER(SEARCH("100",E444))),100,100000))),0))</f>
        <v/>
      </c>
      <c r="AB444" s="10"/>
      <c r="AC444" s="29" t="str">
        <f aca="false">IF(K444="","",1-IFERROR(T444,0)-IFERROR(W444,0)-IFERROR(Z444,0))</f>
        <v/>
      </c>
      <c r="AD444" s="30" t="str">
        <f aca="false">IF(AB444="","",IFERROR((IFERROR(S444*T444,0)+IFERROR(V444*W444,0)+IFERROR(Y444*Z444,0)+AB444*AC444)/(IFERROR(T444,0)+IFERROR(W444,0)+IFERROR(Z444,0)+AC444),AB444))</f>
        <v/>
      </c>
      <c r="AE444" s="27" t="str">
        <f aca="false">IF(AB444="","",IF(U444="",0,U444)+IF(X444="",0,X444)+IF(AA444="",0,AA444)+IFERROR((AB444-K444)*IF(F444="Sell",-1,1)*R444*AC444*IF(ISNUMBER(SEARCH("JPY",E444)),1000,IF(ISNUMBER(SEARCH("XAU",E444)),100,IF(OR(ISNUMBER(SEARCH("30",E444)),ISNUMBER(SEARCH("500",E444)),ISNUMBER(SEARCH("100",E444))),100,100000))),0))</f>
        <v/>
      </c>
      <c r="AF444" s="31" t="str">
        <f aca="false">IF(OR(K444="",M444="",L444=""),"",IFERROR(ABS(M444-K444)/ABS(K444-L444),0))</f>
        <v/>
      </c>
      <c r="AG444" s="31" t="str">
        <f aca="false">IF(OR(AE444="",AE444=0,Q444=0,Q444=""),"",IFERROR(AE444/Q444,0))</f>
        <v/>
      </c>
      <c r="AH444" s="32" t="str">
        <f aca="false">IF(AB444="","Open",IF(AG444="","Open",IF(AG444&gt;0.1,"Win",IF(AG444&lt;-0.1,"Loss","Breakeven"))))</f>
        <v>Open</v>
      </c>
      <c r="AI444" s="33" t="str">
        <f aca="false">IF(OR(B444="",D444=""),"",D444-B444)</f>
        <v/>
      </c>
      <c r="AJ444" s="24" t="str">
        <f aca="false">IF(AD444="","",IFERROR((AD444-K444)*IF(F444="Sell",-1,1)/IF(ISNUMBER(SEARCH("JPY",E444)),0.01,IF(ISNUMBER(SEARCH("XAU",E444)),0.01,IF(OR(ISNUMBER(SEARCH("30",E444)),ISNUMBER(SEARCH("500",E444)),ISNUMBER(SEARCH("100",E444))),1,0.0001))),0))</f>
        <v/>
      </c>
      <c r="AK444" s="10"/>
      <c r="AL444" s="10"/>
      <c r="AM444" s="10"/>
      <c r="AN444" s="10"/>
      <c r="AO444" s="27" t="str">
        <f aca="false">IF(AE444="","",IFERROR(IF(AO443="",SETTINGS!$B$6,AO443),SETTINGS!$B$6)+IF(AE444="",0,AE444))</f>
        <v/>
      </c>
      <c r="AP444" s="2"/>
    </row>
    <row r="445" customFormat="false" ht="15" hidden="false" customHeight="false" outlineLevel="0" collapsed="false">
      <c r="A445" s="24" t="str">
        <f aca="false">IF(B445="","",ROW()-3)</f>
        <v/>
      </c>
      <c r="B445" s="34"/>
      <c r="C445" s="12"/>
      <c r="D445" s="34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35"/>
      <c r="P445" s="24" t="str">
        <f aca="false">IF(K445="","",IFERROR(ABS(K445-L445)/IF(ISNUMBER(SEARCH("JPY",E445)),0.01,IF(ISNUMBER(SEARCH("XAU",E445)),0.01,IF(OR(ISNUMBER(SEARCH("30",E445)),ISNUMBER(SEARCH("500",E445)),ISNUMBER(SEARCH("100",E445))),1,0.0001))),0))</f>
        <v/>
      </c>
      <c r="Q445" s="27" t="str">
        <f aca="false">IF(K445="","",SETTINGS!$B$6*O445)</f>
        <v/>
      </c>
      <c r="R445" s="24" t="str">
        <f aca="false">IF(K445="","",IFERROR(Q445/(P445*IF(ISNUMBER(SEARCH("JPY",E445)),9.09,IF(ISNUMBER(SEARCH("XAU",E445)),1,IF(OR(ISNUMBER(SEARCH("30",E445)),ISNUMBER(SEARCH("500",E445)),ISNUMBER(SEARCH("100",E445))),1,10)))),0))</f>
        <v/>
      </c>
      <c r="S445" s="12"/>
      <c r="T445" s="36"/>
      <c r="U445" s="27" t="str">
        <f aca="false">IF(OR(S445="",T445=0),"",IFERROR((S445-K445)*IF(F445="Sell",-1,1)*R445*T445*IF(ISNUMBER(SEARCH("JPY",E445)),1000,IF(ISNUMBER(SEARCH("XAU",E445)),100,IF(OR(ISNUMBER(SEARCH("30",E445)),ISNUMBER(SEARCH("500",E445)),ISNUMBER(SEARCH("100",E445))),100,100000))),0))</f>
        <v/>
      </c>
      <c r="V445" s="12"/>
      <c r="W445" s="36"/>
      <c r="X445" s="27" t="str">
        <f aca="false">IF(OR(V445="",W445=0),"",IFERROR((V445-K445)*IF(F445="Sell",-1,1)*R445*W445*IF(ISNUMBER(SEARCH("JPY",E445)),1000,IF(ISNUMBER(SEARCH("XAU",E445)),100,IF(OR(ISNUMBER(SEARCH("30",E445)),ISNUMBER(SEARCH("500",E445)),ISNUMBER(SEARCH("100",E445))),100,100000))),0))</f>
        <v/>
      </c>
      <c r="Y445" s="12"/>
      <c r="Z445" s="36"/>
      <c r="AA445" s="27" t="str">
        <f aca="false">IF(OR(Y445="",Z445=0),"",IFERROR((Y445-K445)*IF(F445="Sell",-1,1)*R445*Z445*IF(ISNUMBER(SEARCH("JPY",E445)),1000,IF(ISNUMBER(SEARCH("XAU",E445)),100,IF(OR(ISNUMBER(SEARCH("30",E445)),ISNUMBER(SEARCH("500",E445)),ISNUMBER(SEARCH("100",E445))),100,100000))),0))</f>
        <v/>
      </c>
      <c r="AB445" s="12"/>
      <c r="AC445" s="29" t="str">
        <f aca="false">IF(K445="","",1-IFERROR(T445,0)-IFERROR(W445,0)-IFERROR(Z445,0))</f>
        <v/>
      </c>
      <c r="AD445" s="30" t="str">
        <f aca="false">IF(AB445="","",IFERROR((IFERROR(S445*T445,0)+IFERROR(V445*W445,0)+IFERROR(Y445*Z445,0)+AB445*AC445)/(IFERROR(T445,0)+IFERROR(W445,0)+IFERROR(Z445,0)+AC445),AB445))</f>
        <v/>
      </c>
      <c r="AE445" s="27" t="str">
        <f aca="false">IF(AB445="","",IF(U445="",0,U445)+IF(X445="",0,X445)+IF(AA445="",0,AA445)+IFERROR((AB445-K445)*IF(F445="Sell",-1,1)*R445*AC445*IF(ISNUMBER(SEARCH("JPY",E445)),1000,IF(ISNUMBER(SEARCH("XAU",E445)),100,IF(OR(ISNUMBER(SEARCH("30",E445)),ISNUMBER(SEARCH("500",E445)),ISNUMBER(SEARCH("100",E445))),100,100000))),0))</f>
        <v/>
      </c>
      <c r="AF445" s="31" t="str">
        <f aca="false">IF(OR(K445="",M445="",L445=""),"",IFERROR(ABS(M445-K445)/ABS(K445-L445),0))</f>
        <v/>
      </c>
      <c r="AG445" s="31" t="str">
        <f aca="false">IF(OR(AE445="",AE445=0,Q445=0,Q445=""),"",IFERROR(AE445/Q445,0))</f>
        <v/>
      </c>
      <c r="AH445" s="32" t="str">
        <f aca="false">IF(AB445="","Open",IF(AG445="","Open",IF(AG445&gt;0.1,"Win",IF(AG445&lt;-0.1,"Loss","Breakeven"))))</f>
        <v>Open</v>
      </c>
      <c r="AI445" s="33" t="str">
        <f aca="false">IF(OR(B445="",D445=""),"",D445-B445)</f>
        <v/>
      </c>
      <c r="AJ445" s="24" t="str">
        <f aca="false">IF(AD445="","",IFERROR((AD445-K445)*IF(F445="Sell",-1,1)/IF(ISNUMBER(SEARCH("JPY",E445)),0.01,IF(ISNUMBER(SEARCH("XAU",E445)),0.01,IF(OR(ISNUMBER(SEARCH("30",E445)),ISNUMBER(SEARCH("500",E445)),ISNUMBER(SEARCH("100",E445))),1,0.0001))),0))</f>
        <v/>
      </c>
      <c r="AK445" s="12"/>
      <c r="AL445" s="12"/>
      <c r="AM445" s="12"/>
      <c r="AN445" s="12"/>
      <c r="AO445" s="27" t="str">
        <f aca="false">IF(AE445="","",IFERROR(IF(AO444="",SETTINGS!$B$6,AO444),SETTINGS!$B$6)+IF(AE445="",0,AE445))</f>
        <v/>
      </c>
      <c r="AP445" s="2"/>
    </row>
    <row r="446" customFormat="false" ht="15" hidden="false" customHeight="false" outlineLevel="0" collapsed="false">
      <c r="A446" s="24" t="str">
        <f aca="false">IF(B446="","",ROW()-3)</f>
        <v/>
      </c>
      <c r="B446" s="25"/>
      <c r="C446" s="10"/>
      <c r="D446" s="25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26"/>
      <c r="P446" s="24" t="str">
        <f aca="false">IF(K446="","",IFERROR(ABS(K446-L446)/IF(ISNUMBER(SEARCH("JPY",E446)),0.01,IF(ISNUMBER(SEARCH("XAU",E446)),0.01,IF(OR(ISNUMBER(SEARCH("30",E446)),ISNUMBER(SEARCH("500",E446)),ISNUMBER(SEARCH("100",E446))),1,0.0001))),0))</f>
        <v/>
      </c>
      <c r="Q446" s="27" t="str">
        <f aca="false">IF(K446="","",SETTINGS!$B$6*O446)</f>
        <v/>
      </c>
      <c r="R446" s="24" t="str">
        <f aca="false">IF(K446="","",IFERROR(Q446/(P446*IF(ISNUMBER(SEARCH("JPY",E446)),9.09,IF(ISNUMBER(SEARCH("XAU",E446)),1,IF(OR(ISNUMBER(SEARCH("30",E446)),ISNUMBER(SEARCH("500",E446)),ISNUMBER(SEARCH("100",E446))),1,10)))),0))</f>
        <v/>
      </c>
      <c r="S446" s="10"/>
      <c r="T446" s="28"/>
      <c r="U446" s="27" t="str">
        <f aca="false">IF(OR(S446="",T446=0),"",IFERROR((S446-K446)*IF(F446="Sell",-1,1)*R446*T446*IF(ISNUMBER(SEARCH("JPY",E446)),1000,IF(ISNUMBER(SEARCH("XAU",E446)),100,IF(OR(ISNUMBER(SEARCH("30",E446)),ISNUMBER(SEARCH("500",E446)),ISNUMBER(SEARCH("100",E446))),100,100000))),0))</f>
        <v/>
      </c>
      <c r="V446" s="10"/>
      <c r="W446" s="28"/>
      <c r="X446" s="27" t="str">
        <f aca="false">IF(OR(V446="",W446=0),"",IFERROR((V446-K446)*IF(F446="Sell",-1,1)*R446*W446*IF(ISNUMBER(SEARCH("JPY",E446)),1000,IF(ISNUMBER(SEARCH("XAU",E446)),100,IF(OR(ISNUMBER(SEARCH("30",E446)),ISNUMBER(SEARCH("500",E446)),ISNUMBER(SEARCH("100",E446))),100,100000))),0))</f>
        <v/>
      </c>
      <c r="Y446" s="10"/>
      <c r="Z446" s="28"/>
      <c r="AA446" s="27" t="str">
        <f aca="false">IF(OR(Y446="",Z446=0),"",IFERROR((Y446-K446)*IF(F446="Sell",-1,1)*R446*Z446*IF(ISNUMBER(SEARCH("JPY",E446)),1000,IF(ISNUMBER(SEARCH("XAU",E446)),100,IF(OR(ISNUMBER(SEARCH("30",E446)),ISNUMBER(SEARCH("500",E446)),ISNUMBER(SEARCH("100",E446))),100,100000))),0))</f>
        <v/>
      </c>
      <c r="AB446" s="10"/>
      <c r="AC446" s="29" t="str">
        <f aca="false">IF(K446="","",1-IFERROR(T446,0)-IFERROR(W446,0)-IFERROR(Z446,0))</f>
        <v/>
      </c>
      <c r="AD446" s="30" t="str">
        <f aca="false">IF(AB446="","",IFERROR((IFERROR(S446*T446,0)+IFERROR(V446*W446,0)+IFERROR(Y446*Z446,0)+AB446*AC446)/(IFERROR(T446,0)+IFERROR(W446,0)+IFERROR(Z446,0)+AC446),AB446))</f>
        <v/>
      </c>
      <c r="AE446" s="27" t="str">
        <f aca="false">IF(AB446="","",IF(U446="",0,U446)+IF(X446="",0,X446)+IF(AA446="",0,AA446)+IFERROR((AB446-K446)*IF(F446="Sell",-1,1)*R446*AC446*IF(ISNUMBER(SEARCH("JPY",E446)),1000,IF(ISNUMBER(SEARCH("XAU",E446)),100,IF(OR(ISNUMBER(SEARCH("30",E446)),ISNUMBER(SEARCH("500",E446)),ISNUMBER(SEARCH("100",E446))),100,100000))),0))</f>
        <v/>
      </c>
      <c r="AF446" s="31" t="str">
        <f aca="false">IF(OR(K446="",M446="",L446=""),"",IFERROR(ABS(M446-K446)/ABS(K446-L446),0))</f>
        <v/>
      </c>
      <c r="AG446" s="31" t="str">
        <f aca="false">IF(OR(AE446="",AE446=0,Q446=0,Q446=""),"",IFERROR(AE446/Q446,0))</f>
        <v/>
      </c>
      <c r="AH446" s="32" t="str">
        <f aca="false">IF(AB446="","Open",IF(AG446="","Open",IF(AG446&gt;0.1,"Win",IF(AG446&lt;-0.1,"Loss","Breakeven"))))</f>
        <v>Open</v>
      </c>
      <c r="AI446" s="33" t="str">
        <f aca="false">IF(OR(B446="",D446=""),"",D446-B446)</f>
        <v/>
      </c>
      <c r="AJ446" s="24" t="str">
        <f aca="false">IF(AD446="","",IFERROR((AD446-K446)*IF(F446="Sell",-1,1)/IF(ISNUMBER(SEARCH("JPY",E446)),0.01,IF(ISNUMBER(SEARCH("XAU",E446)),0.01,IF(OR(ISNUMBER(SEARCH("30",E446)),ISNUMBER(SEARCH("500",E446)),ISNUMBER(SEARCH("100",E446))),1,0.0001))),0))</f>
        <v/>
      </c>
      <c r="AK446" s="10"/>
      <c r="AL446" s="10"/>
      <c r="AM446" s="10"/>
      <c r="AN446" s="10"/>
      <c r="AO446" s="27" t="str">
        <f aca="false">IF(AE446="","",IFERROR(IF(AO445="",SETTINGS!$B$6,AO445),SETTINGS!$B$6)+IF(AE446="",0,AE446))</f>
        <v/>
      </c>
      <c r="AP446" s="2"/>
    </row>
    <row r="447" customFormat="false" ht="15" hidden="false" customHeight="false" outlineLevel="0" collapsed="false">
      <c r="A447" s="24" t="str">
        <f aca="false">IF(B447="","",ROW()-3)</f>
        <v/>
      </c>
      <c r="B447" s="34"/>
      <c r="C447" s="12"/>
      <c r="D447" s="34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35"/>
      <c r="P447" s="24" t="str">
        <f aca="false">IF(K447="","",IFERROR(ABS(K447-L447)/IF(ISNUMBER(SEARCH("JPY",E447)),0.01,IF(ISNUMBER(SEARCH("XAU",E447)),0.01,IF(OR(ISNUMBER(SEARCH("30",E447)),ISNUMBER(SEARCH("500",E447)),ISNUMBER(SEARCH("100",E447))),1,0.0001))),0))</f>
        <v/>
      </c>
      <c r="Q447" s="27" t="str">
        <f aca="false">IF(K447="","",SETTINGS!$B$6*O447)</f>
        <v/>
      </c>
      <c r="R447" s="24" t="str">
        <f aca="false">IF(K447="","",IFERROR(Q447/(P447*IF(ISNUMBER(SEARCH("JPY",E447)),9.09,IF(ISNUMBER(SEARCH("XAU",E447)),1,IF(OR(ISNUMBER(SEARCH("30",E447)),ISNUMBER(SEARCH("500",E447)),ISNUMBER(SEARCH("100",E447))),1,10)))),0))</f>
        <v/>
      </c>
      <c r="S447" s="12"/>
      <c r="T447" s="36"/>
      <c r="U447" s="27" t="str">
        <f aca="false">IF(OR(S447="",T447=0),"",IFERROR((S447-K447)*IF(F447="Sell",-1,1)*R447*T447*IF(ISNUMBER(SEARCH("JPY",E447)),1000,IF(ISNUMBER(SEARCH("XAU",E447)),100,IF(OR(ISNUMBER(SEARCH("30",E447)),ISNUMBER(SEARCH("500",E447)),ISNUMBER(SEARCH("100",E447))),100,100000))),0))</f>
        <v/>
      </c>
      <c r="V447" s="12"/>
      <c r="W447" s="36"/>
      <c r="X447" s="27" t="str">
        <f aca="false">IF(OR(V447="",W447=0),"",IFERROR((V447-K447)*IF(F447="Sell",-1,1)*R447*W447*IF(ISNUMBER(SEARCH("JPY",E447)),1000,IF(ISNUMBER(SEARCH("XAU",E447)),100,IF(OR(ISNUMBER(SEARCH("30",E447)),ISNUMBER(SEARCH("500",E447)),ISNUMBER(SEARCH("100",E447))),100,100000))),0))</f>
        <v/>
      </c>
      <c r="Y447" s="12"/>
      <c r="Z447" s="36"/>
      <c r="AA447" s="27" t="str">
        <f aca="false">IF(OR(Y447="",Z447=0),"",IFERROR((Y447-K447)*IF(F447="Sell",-1,1)*R447*Z447*IF(ISNUMBER(SEARCH("JPY",E447)),1000,IF(ISNUMBER(SEARCH("XAU",E447)),100,IF(OR(ISNUMBER(SEARCH("30",E447)),ISNUMBER(SEARCH("500",E447)),ISNUMBER(SEARCH("100",E447))),100,100000))),0))</f>
        <v/>
      </c>
      <c r="AB447" s="12"/>
      <c r="AC447" s="29" t="str">
        <f aca="false">IF(K447="","",1-IFERROR(T447,0)-IFERROR(W447,0)-IFERROR(Z447,0))</f>
        <v/>
      </c>
      <c r="AD447" s="30" t="str">
        <f aca="false">IF(AB447="","",IFERROR((IFERROR(S447*T447,0)+IFERROR(V447*W447,0)+IFERROR(Y447*Z447,0)+AB447*AC447)/(IFERROR(T447,0)+IFERROR(W447,0)+IFERROR(Z447,0)+AC447),AB447))</f>
        <v/>
      </c>
      <c r="AE447" s="27" t="str">
        <f aca="false">IF(AB447="","",IF(U447="",0,U447)+IF(X447="",0,X447)+IF(AA447="",0,AA447)+IFERROR((AB447-K447)*IF(F447="Sell",-1,1)*R447*AC447*IF(ISNUMBER(SEARCH("JPY",E447)),1000,IF(ISNUMBER(SEARCH("XAU",E447)),100,IF(OR(ISNUMBER(SEARCH("30",E447)),ISNUMBER(SEARCH("500",E447)),ISNUMBER(SEARCH("100",E447))),100,100000))),0))</f>
        <v/>
      </c>
      <c r="AF447" s="31" t="str">
        <f aca="false">IF(OR(K447="",M447="",L447=""),"",IFERROR(ABS(M447-K447)/ABS(K447-L447),0))</f>
        <v/>
      </c>
      <c r="AG447" s="31" t="str">
        <f aca="false">IF(OR(AE447="",AE447=0,Q447=0,Q447=""),"",IFERROR(AE447/Q447,0))</f>
        <v/>
      </c>
      <c r="AH447" s="32" t="str">
        <f aca="false">IF(AB447="","Open",IF(AG447="","Open",IF(AG447&gt;0.1,"Win",IF(AG447&lt;-0.1,"Loss","Breakeven"))))</f>
        <v>Open</v>
      </c>
      <c r="AI447" s="33" t="str">
        <f aca="false">IF(OR(B447="",D447=""),"",D447-B447)</f>
        <v/>
      </c>
      <c r="AJ447" s="24" t="str">
        <f aca="false">IF(AD447="","",IFERROR((AD447-K447)*IF(F447="Sell",-1,1)/IF(ISNUMBER(SEARCH("JPY",E447)),0.01,IF(ISNUMBER(SEARCH("XAU",E447)),0.01,IF(OR(ISNUMBER(SEARCH("30",E447)),ISNUMBER(SEARCH("500",E447)),ISNUMBER(SEARCH("100",E447))),1,0.0001))),0))</f>
        <v/>
      </c>
      <c r="AK447" s="12"/>
      <c r="AL447" s="12"/>
      <c r="AM447" s="12"/>
      <c r="AN447" s="12"/>
      <c r="AO447" s="27" t="str">
        <f aca="false">IF(AE447="","",IFERROR(IF(AO446="",SETTINGS!$B$6,AO446),SETTINGS!$B$6)+IF(AE447="",0,AE447))</f>
        <v/>
      </c>
      <c r="AP447" s="2"/>
    </row>
    <row r="448" customFormat="false" ht="15" hidden="false" customHeight="false" outlineLevel="0" collapsed="false">
      <c r="A448" s="24" t="str">
        <f aca="false">IF(B448="","",ROW()-3)</f>
        <v/>
      </c>
      <c r="B448" s="25"/>
      <c r="C448" s="10"/>
      <c r="D448" s="25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26"/>
      <c r="P448" s="24" t="str">
        <f aca="false">IF(K448="","",IFERROR(ABS(K448-L448)/IF(ISNUMBER(SEARCH("JPY",E448)),0.01,IF(ISNUMBER(SEARCH("XAU",E448)),0.01,IF(OR(ISNUMBER(SEARCH("30",E448)),ISNUMBER(SEARCH("500",E448)),ISNUMBER(SEARCH("100",E448))),1,0.0001))),0))</f>
        <v/>
      </c>
      <c r="Q448" s="27" t="str">
        <f aca="false">IF(K448="","",SETTINGS!$B$6*O448)</f>
        <v/>
      </c>
      <c r="R448" s="24" t="str">
        <f aca="false">IF(K448="","",IFERROR(Q448/(P448*IF(ISNUMBER(SEARCH("JPY",E448)),9.09,IF(ISNUMBER(SEARCH("XAU",E448)),1,IF(OR(ISNUMBER(SEARCH("30",E448)),ISNUMBER(SEARCH("500",E448)),ISNUMBER(SEARCH("100",E448))),1,10)))),0))</f>
        <v/>
      </c>
      <c r="S448" s="10"/>
      <c r="T448" s="28"/>
      <c r="U448" s="27" t="str">
        <f aca="false">IF(OR(S448="",T448=0),"",IFERROR((S448-K448)*IF(F448="Sell",-1,1)*R448*T448*IF(ISNUMBER(SEARCH("JPY",E448)),1000,IF(ISNUMBER(SEARCH("XAU",E448)),100,IF(OR(ISNUMBER(SEARCH("30",E448)),ISNUMBER(SEARCH("500",E448)),ISNUMBER(SEARCH("100",E448))),100,100000))),0))</f>
        <v/>
      </c>
      <c r="V448" s="10"/>
      <c r="W448" s="28"/>
      <c r="X448" s="27" t="str">
        <f aca="false">IF(OR(V448="",W448=0),"",IFERROR((V448-K448)*IF(F448="Sell",-1,1)*R448*W448*IF(ISNUMBER(SEARCH("JPY",E448)),1000,IF(ISNUMBER(SEARCH("XAU",E448)),100,IF(OR(ISNUMBER(SEARCH("30",E448)),ISNUMBER(SEARCH("500",E448)),ISNUMBER(SEARCH("100",E448))),100,100000))),0))</f>
        <v/>
      </c>
      <c r="Y448" s="10"/>
      <c r="Z448" s="28"/>
      <c r="AA448" s="27" t="str">
        <f aca="false">IF(OR(Y448="",Z448=0),"",IFERROR((Y448-K448)*IF(F448="Sell",-1,1)*R448*Z448*IF(ISNUMBER(SEARCH("JPY",E448)),1000,IF(ISNUMBER(SEARCH("XAU",E448)),100,IF(OR(ISNUMBER(SEARCH("30",E448)),ISNUMBER(SEARCH("500",E448)),ISNUMBER(SEARCH("100",E448))),100,100000))),0))</f>
        <v/>
      </c>
      <c r="AB448" s="10"/>
      <c r="AC448" s="29" t="str">
        <f aca="false">IF(K448="","",1-IFERROR(T448,0)-IFERROR(W448,0)-IFERROR(Z448,0))</f>
        <v/>
      </c>
      <c r="AD448" s="30" t="str">
        <f aca="false">IF(AB448="","",IFERROR((IFERROR(S448*T448,0)+IFERROR(V448*W448,0)+IFERROR(Y448*Z448,0)+AB448*AC448)/(IFERROR(T448,0)+IFERROR(W448,0)+IFERROR(Z448,0)+AC448),AB448))</f>
        <v/>
      </c>
      <c r="AE448" s="27" t="str">
        <f aca="false">IF(AB448="","",IF(U448="",0,U448)+IF(X448="",0,X448)+IF(AA448="",0,AA448)+IFERROR((AB448-K448)*IF(F448="Sell",-1,1)*R448*AC448*IF(ISNUMBER(SEARCH("JPY",E448)),1000,IF(ISNUMBER(SEARCH("XAU",E448)),100,IF(OR(ISNUMBER(SEARCH("30",E448)),ISNUMBER(SEARCH("500",E448)),ISNUMBER(SEARCH("100",E448))),100,100000))),0))</f>
        <v/>
      </c>
      <c r="AF448" s="31" t="str">
        <f aca="false">IF(OR(K448="",M448="",L448=""),"",IFERROR(ABS(M448-K448)/ABS(K448-L448),0))</f>
        <v/>
      </c>
      <c r="AG448" s="31" t="str">
        <f aca="false">IF(OR(AE448="",AE448=0,Q448=0,Q448=""),"",IFERROR(AE448/Q448,0))</f>
        <v/>
      </c>
      <c r="AH448" s="32" t="str">
        <f aca="false">IF(AB448="","Open",IF(AG448="","Open",IF(AG448&gt;0.1,"Win",IF(AG448&lt;-0.1,"Loss","Breakeven"))))</f>
        <v>Open</v>
      </c>
      <c r="AI448" s="33" t="str">
        <f aca="false">IF(OR(B448="",D448=""),"",D448-B448)</f>
        <v/>
      </c>
      <c r="AJ448" s="24" t="str">
        <f aca="false">IF(AD448="","",IFERROR((AD448-K448)*IF(F448="Sell",-1,1)/IF(ISNUMBER(SEARCH("JPY",E448)),0.01,IF(ISNUMBER(SEARCH("XAU",E448)),0.01,IF(OR(ISNUMBER(SEARCH("30",E448)),ISNUMBER(SEARCH("500",E448)),ISNUMBER(SEARCH("100",E448))),1,0.0001))),0))</f>
        <v/>
      </c>
      <c r="AK448" s="10"/>
      <c r="AL448" s="10"/>
      <c r="AM448" s="10"/>
      <c r="AN448" s="10"/>
      <c r="AO448" s="27" t="str">
        <f aca="false">IF(AE448="","",IFERROR(IF(AO447="",SETTINGS!$B$6,AO447),SETTINGS!$B$6)+IF(AE448="",0,AE448))</f>
        <v/>
      </c>
      <c r="AP448" s="2"/>
    </row>
    <row r="449" customFormat="false" ht="15" hidden="false" customHeight="false" outlineLevel="0" collapsed="false">
      <c r="A449" s="24" t="str">
        <f aca="false">IF(B449="","",ROW()-3)</f>
        <v/>
      </c>
      <c r="B449" s="34"/>
      <c r="C449" s="12"/>
      <c r="D449" s="34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35"/>
      <c r="P449" s="24" t="str">
        <f aca="false">IF(K449="","",IFERROR(ABS(K449-L449)/IF(ISNUMBER(SEARCH("JPY",E449)),0.01,IF(ISNUMBER(SEARCH("XAU",E449)),0.01,IF(OR(ISNUMBER(SEARCH("30",E449)),ISNUMBER(SEARCH("500",E449)),ISNUMBER(SEARCH("100",E449))),1,0.0001))),0))</f>
        <v/>
      </c>
      <c r="Q449" s="27" t="str">
        <f aca="false">IF(K449="","",SETTINGS!$B$6*O449)</f>
        <v/>
      </c>
      <c r="R449" s="24" t="str">
        <f aca="false">IF(K449="","",IFERROR(Q449/(P449*IF(ISNUMBER(SEARCH("JPY",E449)),9.09,IF(ISNUMBER(SEARCH("XAU",E449)),1,IF(OR(ISNUMBER(SEARCH("30",E449)),ISNUMBER(SEARCH("500",E449)),ISNUMBER(SEARCH("100",E449))),1,10)))),0))</f>
        <v/>
      </c>
      <c r="S449" s="12"/>
      <c r="T449" s="36"/>
      <c r="U449" s="27" t="str">
        <f aca="false">IF(OR(S449="",T449=0),"",IFERROR((S449-K449)*IF(F449="Sell",-1,1)*R449*T449*IF(ISNUMBER(SEARCH("JPY",E449)),1000,IF(ISNUMBER(SEARCH("XAU",E449)),100,IF(OR(ISNUMBER(SEARCH("30",E449)),ISNUMBER(SEARCH("500",E449)),ISNUMBER(SEARCH("100",E449))),100,100000))),0))</f>
        <v/>
      </c>
      <c r="V449" s="12"/>
      <c r="W449" s="36"/>
      <c r="X449" s="27" t="str">
        <f aca="false">IF(OR(V449="",W449=0),"",IFERROR((V449-K449)*IF(F449="Sell",-1,1)*R449*W449*IF(ISNUMBER(SEARCH("JPY",E449)),1000,IF(ISNUMBER(SEARCH("XAU",E449)),100,IF(OR(ISNUMBER(SEARCH("30",E449)),ISNUMBER(SEARCH("500",E449)),ISNUMBER(SEARCH("100",E449))),100,100000))),0))</f>
        <v/>
      </c>
      <c r="Y449" s="12"/>
      <c r="Z449" s="36"/>
      <c r="AA449" s="27" t="str">
        <f aca="false">IF(OR(Y449="",Z449=0),"",IFERROR((Y449-K449)*IF(F449="Sell",-1,1)*R449*Z449*IF(ISNUMBER(SEARCH("JPY",E449)),1000,IF(ISNUMBER(SEARCH("XAU",E449)),100,IF(OR(ISNUMBER(SEARCH("30",E449)),ISNUMBER(SEARCH("500",E449)),ISNUMBER(SEARCH("100",E449))),100,100000))),0))</f>
        <v/>
      </c>
      <c r="AB449" s="12"/>
      <c r="AC449" s="29" t="str">
        <f aca="false">IF(K449="","",1-IFERROR(T449,0)-IFERROR(W449,0)-IFERROR(Z449,0))</f>
        <v/>
      </c>
      <c r="AD449" s="30" t="str">
        <f aca="false">IF(AB449="","",IFERROR((IFERROR(S449*T449,0)+IFERROR(V449*W449,0)+IFERROR(Y449*Z449,0)+AB449*AC449)/(IFERROR(T449,0)+IFERROR(W449,0)+IFERROR(Z449,0)+AC449),AB449))</f>
        <v/>
      </c>
      <c r="AE449" s="27" t="str">
        <f aca="false">IF(AB449="","",IF(U449="",0,U449)+IF(X449="",0,X449)+IF(AA449="",0,AA449)+IFERROR((AB449-K449)*IF(F449="Sell",-1,1)*R449*AC449*IF(ISNUMBER(SEARCH("JPY",E449)),1000,IF(ISNUMBER(SEARCH("XAU",E449)),100,IF(OR(ISNUMBER(SEARCH("30",E449)),ISNUMBER(SEARCH("500",E449)),ISNUMBER(SEARCH("100",E449))),100,100000))),0))</f>
        <v/>
      </c>
      <c r="AF449" s="31" t="str">
        <f aca="false">IF(OR(K449="",M449="",L449=""),"",IFERROR(ABS(M449-K449)/ABS(K449-L449),0))</f>
        <v/>
      </c>
      <c r="AG449" s="31" t="str">
        <f aca="false">IF(OR(AE449="",AE449=0,Q449=0,Q449=""),"",IFERROR(AE449/Q449,0))</f>
        <v/>
      </c>
      <c r="AH449" s="32" t="str">
        <f aca="false">IF(AB449="","Open",IF(AG449="","Open",IF(AG449&gt;0.1,"Win",IF(AG449&lt;-0.1,"Loss","Breakeven"))))</f>
        <v>Open</v>
      </c>
      <c r="AI449" s="33" t="str">
        <f aca="false">IF(OR(B449="",D449=""),"",D449-B449)</f>
        <v/>
      </c>
      <c r="AJ449" s="24" t="str">
        <f aca="false">IF(AD449="","",IFERROR((AD449-K449)*IF(F449="Sell",-1,1)/IF(ISNUMBER(SEARCH("JPY",E449)),0.01,IF(ISNUMBER(SEARCH("XAU",E449)),0.01,IF(OR(ISNUMBER(SEARCH("30",E449)),ISNUMBER(SEARCH("500",E449)),ISNUMBER(SEARCH("100",E449))),1,0.0001))),0))</f>
        <v/>
      </c>
      <c r="AK449" s="12"/>
      <c r="AL449" s="12"/>
      <c r="AM449" s="12"/>
      <c r="AN449" s="12"/>
      <c r="AO449" s="27" t="str">
        <f aca="false">IF(AE449="","",IFERROR(IF(AO448="",SETTINGS!$B$6,AO448),SETTINGS!$B$6)+IF(AE449="",0,AE449))</f>
        <v/>
      </c>
      <c r="AP449" s="2"/>
    </row>
    <row r="450" customFormat="false" ht="15" hidden="false" customHeight="false" outlineLevel="0" collapsed="false">
      <c r="A450" s="24" t="str">
        <f aca="false">IF(B450="","",ROW()-3)</f>
        <v/>
      </c>
      <c r="B450" s="25"/>
      <c r="C450" s="10"/>
      <c r="D450" s="25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26"/>
      <c r="P450" s="24" t="str">
        <f aca="false">IF(K450="","",IFERROR(ABS(K450-L450)/IF(ISNUMBER(SEARCH("JPY",E450)),0.01,IF(ISNUMBER(SEARCH("XAU",E450)),0.01,IF(OR(ISNUMBER(SEARCH("30",E450)),ISNUMBER(SEARCH("500",E450)),ISNUMBER(SEARCH("100",E450))),1,0.0001))),0))</f>
        <v/>
      </c>
      <c r="Q450" s="27" t="str">
        <f aca="false">IF(K450="","",SETTINGS!$B$6*O450)</f>
        <v/>
      </c>
      <c r="R450" s="24" t="str">
        <f aca="false">IF(K450="","",IFERROR(Q450/(P450*IF(ISNUMBER(SEARCH("JPY",E450)),9.09,IF(ISNUMBER(SEARCH("XAU",E450)),1,IF(OR(ISNUMBER(SEARCH("30",E450)),ISNUMBER(SEARCH("500",E450)),ISNUMBER(SEARCH("100",E450))),1,10)))),0))</f>
        <v/>
      </c>
      <c r="S450" s="10"/>
      <c r="T450" s="28"/>
      <c r="U450" s="27" t="str">
        <f aca="false">IF(OR(S450="",T450=0),"",IFERROR((S450-K450)*IF(F450="Sell",-1,1)*R450*T450*IF(ISNUMBER(SEARCH("JPY",E450)),1000,IF(ISNUMBER(SEARCH("XAU",E450)),100,IF(OR(ISNUMBER(SEARCH("30",E450)),ISNUMBER(SEARCH("500",E450)),ISNUMBER(SEARCH("100",E450))),100,100000))),0))</f>
        <v/>
      </c>
      <c r="V450" s="10"/>
      <c r="W450" s="28"/>
      <c r="X450" s="27" t="str">
        <f aca="false">IF(OR(V450="",W450=0),"",IFERROR((V450-K450)*IF(F450="Sell",-1,1)*R450*W450*IF(ISNUMBER(SEARCH("JPY",E450)),1000,IF(ISNUMBER(SEARCH("XAU",E450)),100,IF(OR(ISNUMBER(SEARCH("30",E450)),ISNUMBER(SEARCH("500",E450)),ISNUMBER(SEARCH("100",E450))),100,100000))),0))</f>
        <v/>
      </c>
      <c r="Y450" s="10"/>
      <c r="Z450" s="28"/>
      <c r="AA450" s="27" t="str">
        <f aca="false">IF(OR(Y450="",Z450=0),"",IFERROR((Y450-K450)*IF(F450="Sell",-1,1)*R450*Z450*IF(ISNUMBER(SEARCH("JPY",E450)),1000,IF(ISNUMBER(SEARCH("XAU",E450)),100,IF(OR(ISNUMBER(SEARCH("30",E450)),ISNUMBER(SEARCH("500",E450)),ISNUMBER(SEARCH("100",E450))),100,100000))),0))</f>
        <v/>
      </c>
      <c r="AB450" s="10"/>
      <c r="AC450" s="29" t="str">
        <f aca="false">IF(K450="","",1-IFERROR(T450,0)-IFERROR(W450,0)-IFERROR(Z450,0))</f>
        <v/>
      </c>
      <c r="AD450" s="30" t="str">
        <f aca="false">IF(AB450="","",IFERROR((IFERROR(S450*T450,0)+IFERROR(V450*W450,0)+IFERROR(Y450*Z450,0)+AB450*AC450)/(IFERROR(T450,0)+IFERROR(W450,0)+IFERROR(Z450,0)+AC450),AB450))</f>
        <v/>
      </c>
      <c r="AE450" s="27" t="str">
        <f aca="false">IF(AB450="","",IF(U450="",0,U450)+IF(X450="",0,X450)+IF(AA450="",0,AA450)+IFERROR((AB450-K450)*IF(F450="Sell",-1,1)*R450*AC450*IF(ISNUMBER(SEARCH("JPY",E450)),1000,IF(ISNUMBER(SEARCH("XAU",E450)),100,IF(OR(ISNUMBER(SEARCH("30",E450)),ISNUMBER(SEARCH("500",E450)),ISNUMBER(SEARCH("100",E450))),100,100000))),0))</f>
        <v/>
      </c>
      <c r="AF450" s="31" t="str">
        <f aca="false">IF(OR(K450="",M450="",L450=""),"",IFERROR(ABS(M450-K450)/ABS(K450-L450),0))</f>
        <v/>
      </c>
      <c r="AG450" s="31" t="str">
        <f aca="false">IF(OR(AE450="",AE450=0,Q450=0,Q450=""),"",IFERROR(AE450/Q450,0))</f>
        <v/>
      </c>
      <c r="AH450" s="32" t="str">
        <f aca="false">IF(AB450="","Open",IF(AG450="","Open",IF(AG450&gt;0.1,"Win",IF(AG450&lt;-0.1,"Loss","Breakeven"))))</f>
        <v>Open</v>
      </c>
      <c r="AI450" s="33" t="str">
        <f aca="false">IF(OR(B450="",D450=""),"",D450-B450)</f>
        <v/>
      </c>
      <c r="AJ450" s="24" t="str">
        <f aca="false">IF(AD450="","",IFERROR((AD450-K450)*IF(F450="Sell",-1,1)/IF(ISNUMBER(SEARCH("JPY",E450)),0.01,IF(ISNUMBER(SEARCH("XAU",E450)),0.01,IF(OR(ISNUMBER(SEARCH("30",E450)),ISNUMBER(SEARCH("500",E450)),ISNUMBER(SEARCH("100",E450))),1,0.0001))),0))</f>
        <v/>
      </c>
      <c r="AK450" s="10"/>
      <c r="AL450" s="10"/>
      <c r="AM450" s="10"/>
      <c r="AN450" s="10"/>
      <c r="AO450" s="27" t="str">
        <f aca="false">IF(AE450="","",IFERROR(IF(AO449="",SETTINGS!$B$6,AO449),SETTINGS!$B$6)+IF(AE450="",0,AE450))</f>
        <v/>
      </c>
      <c r="AP450" s="2"/>
    </row>
    <row r="451" customFormat="false" ht="15" hidden="false" customHeight="false" outlineLevel="0" collapsed="false">
      <c r="A451" s="24" t="str">
        <f aca="false">IF(B451="","",ROW()-3)</f>
        <v/>
      </c>
      <c r="B451" s="34"/>
      <c r="C451" s="12"/>
      <c r="D451" s="34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35"/>
      <c r="P451" s="24" t="str">
        <f aca="false">IF(K451="","",IFERROR(ABS(K451-L451)/IF(ISNUMBER(SEARCH("JPY",E451)),0.01,IF(ISNUMBER(SEARCH("XAU",E451)),0.01,IF(OR(ISNUMBER(SEARCH("30",E451)),ISNUMBER(SEARCH("500",E451)),ISNUMBER(SEARCH("100",E451))),1,0.0001))),0))</f>
        <v/>
      </c>
      <c r="Q451" s="27" t="str">
        <f aca="false">IF(K451="","",SETTINGS!$B$6*O451)</f>
        <v/>
      </c>
      <c r="R451" s="24" t="str">
        <f aca="false">IF(K451="","",IFERROR(Q451/(P451*IF(ISNUMBER(SEARCH("JPY",E451)),9.09,IF(ISNUMBER(SEARCH("XAU",E451)),1,IF(OR(ISNUMBER(SEARCH("30",E451)),ISNUMBER(SEARCH("500",E451)),ISNUMBER(SEARCH("100",E451))),1,10)))),0))</f>
        <v/>
      </c>
      <c r="S451" s="12"/>
      <c r="T451" s="36"/>
      <c r="U451" s="27" t="str">
        <f aca="false">IF(OR(S451="",T451=0),"",IFERROR((S451-K451)*IF(F451="Sell",-1,1)*R451*T451*IF(ISNUMBER(SEARCH("JPY",E451)),1000,IF(ISNUMBER(SEARCH("XAU",E451)),100,IF(OR(ISNUMBER(SEARCH("30",E451)),ISNUMBER(SEARCH("500",E451)),ISNUMBER(SEARCH("100",E451))),100,100000))),0))</f>
        <v/>
      </c>
      <c r="V451" s="12"/>
      <c r="W451" s="36"/>
      <c r="X451" s="27" t="str">
        <f aca="false">IF(OR(V451="",W451=0),"",IFERROR((V451-K451)*IF(F451="Sell",-1,1)*R451*W451*IF(ISNUMBER(SEARCH("JPY",E451)),1000,IF(ISNUMBER(SEARCH("XAU",E451)),100,IF(OR(ISNUMBER(SEARCH("30",E451)),ISNUMBER(SEARCH("500",E451)),ISNUMBER(SEARCH("100",E451))),100,100000))),0))</f>
        <v/>
      </c>
      <c r="Y451" s="12"/>
      <c r="Z451" s="36"/>
      <c r="AA451" s="27" t="str">
        <f aca="false">IF(OR(Y451="",Z451=0),"",IFERROR((Y451-K451)*IF(F451="Sell",-1,1)*R451*Z451*IF(ISNUMBER(SEARCH("JPY",E451)),1000,IF(ISNUMBER(SEARCH("XAU",E451)),100,IF(OR(ISNUMBER(SEARCH("30",E451)),ISNUMBER(SEARCH("500",E451)),ISNUMBER(SEARCH("100",E451))),100,100000))),0))</f>
        <v/>
      </c>
      <c r="AB451" s="12"/>
      <c r="AC451" s="29" t="str">
        <f aca="false">IF(K451="","",1-IFERROR(T451,0)-IFERROR(W451,0)-IFERROR(Z451,0))</f>
        <v/>
      </c>
      <c r="AD451" s="30" t="str">
        <f aca="false">IF(AB451="","",IFERROR((IFERROR(S451*T451,0)+IFERROR(V451*W451,0)+IFERROR(Y451*Z451,0)+AB451*AC451)/(IFERROR(T451,0)+IFERROR(W451,0)+IFERROR(Z451,0)+AC451),AB451))</f>
        <v/>
      </c>
      <c r="AE451" s="27" t="str">
        <f aca="false">IF(AB451="","",IF(U451="",0,U451)+IF(X451="",0,X451)+IF(AA451="",0,AA451)+IFERROR((AB451-K451)*IF(F451="Sell",-1,1)*R451*AC451*IF(ISNUMBER(SEARCH("JPY",E451)),1000,IF(ISNUMBER(SEARCH("XAU",E451)),100,IF(OR(ISNUMBER(SEARCH("30",E451)),ISNUMBER(SEARCH("500",E451)),ISNUMBER(SEARCH("100",E451))),100,100000))),0))</f>
        <v/>
      </c>
      <c r="AF451" s="31" t="str">
        <f aca="false">IF(OR(K451="",M451="",L451=""),"",IFERROR(ABS(M451-K451)/ABS(K451-L451),0))</f>
        <v/>
      </c>
      <c r="AG451" s="31" t="str">
        <f aca="false">IF(OR(AE451="",AE451=0,Q451=0,Q451=""),"",IFERROR(AE451/Q451,0))</f>
        <v/>
      </c>
      <c r="AH451" s="32" t="str">
        <f aca="false">IF(AB451="","Open",IF(AG451="","Open",IF(AG451&gt;0.1,"Win",IF(AG451&lt;-0.1,"Loss","Breakeven"))))</f>
        <v>Open</v>
      </c>
      <c r="AI451" s="33" t="str">
        <f aca="false">IF(OR(B451="",D451=""),"",D451-B451)</f>
        <v/>
      </c>
      <c r="AJ451" s="24" t="str">
        <f aca="false">IF(AD451="","",IFERROR((AD451-K451)*IF(F451="Sell",-1,1)/IF(ISNUMBER(SEARCH("JPY",E451)),0.01,IF(ISNUMBER(SEARCH("XAU",E451)),0.01,IF(OR(ISNUMBER(SEARCH("30",E451)),ISNUMBER(SEARCH("500",E451)),ISNUMBER(SEARCH("100",E451))),1,0.0001))),0))</f>
        <v/>
      </c>
      <c r="AK451" s="12"/>
      <c r="AL451" s="12"/>
      <c r="AM451" s="12"/>
      <c r="AN451" s="12"/>
      <c r="AO451" s="27" t="str">
        <f aca="false">IF(AE451="","",IFERROR(IF(AO450="",SETTINGS!$B$6,AO450),SETTINGS!$B$6)+IF(AE451="",0,AE451))</f>
        <v/>
      </c>
      <c r="AP451" s="2"/>
    </row>
    <row r="452" customFormat="false" ht="15" hidden="false" customHeight="false" outlineLevel="0" collapsed="false">
      <c r="A452" s="24" t="str">
        <f aca="false">IF(B452="","",ROW()-3)</f>
        <v/>
      </c>
      <c r="B452" s="25"/>
      <c r="C452" s="10"/>
      <c r="D452" s="25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26"/>
      <c r="P452" s="24" t="str">
        <f aca="false">IF(K452="","",IFERROR(ABS(K452-L452)/IF(ISNUMBER(SEARCH("JPY",E452)),0.01,IF(ISNUMBER(SEARCH("XAU",E452)),0.01,IF(OR(ISNUMBER(SEARCH("30",E452)),ISNUMBER(SEARCH("500",E452)),ISNUMBER(SEARCH("100",E452))),1,0.0001))),0))</f>
        <v/>
      </c>
      <c r="Q452" s="27" t="str">
        <f aca="false">IF(K452="","",SETTINGS!$B$6*O452)</f>
        <v/>
      </c>
      <c r="R452" s="24" t="str">
        <f aca="false">IF(K452="","",IFERROR(Q452/(P452*IF(ISNUMBER(SEARCH("JPY",E452)),9.09,IF(ISNUMBER(SEARCH("XAU",E452)),1,IF(OR(ISNUMBER(SEARCH("30",E452)),ISNUMBER(SEARCH("500",E452)),ISNUMBER(SEARCH("100",E452))),1,10)))),0))</f>
        <v/>
      </c>
      <c r="S452" s="10"/>
      <c r="T452" s="28"/>
      <c r="U452" s="27" t="str">
        <f aca="false">IF(OR(S452="",T452=0),"",IFERROR((S452-K452)*IF(F452="Sell",-1,1)*R452*T452*IF(ISNUMBER(SEARCH("JPY",E452)),1000,IF(ISNUMBER(SEARCH("XAU",E452)),100,IF(OR(ISNUMBER(SEARCH("30",E452)),ISNUMBER(SEARCH("500",E452)),ISNUMBER(SEARCH("100",E452))),100,100000))),0))</f>
        <v/>
      </c>
      <c r="V452" s="10"/>
      <c r="W452" s="28"/>
      <c r="X452" s="27" t="str">
        <f aca="false">IF(OR(V452="",W452=0),"",IFERROR((V452-K452)*IF(F452="Sell",-1,1)*R452*W452*IF(ISNUMBER(SEARCH("JPY",E452)),1000,IF(ISNUMBER(SEARCH("XAU",E452)),100,IF(OR(ISNUMBER(SEARCH("30",E452)),ISNUMBER(SEARCH("500",E452)),ISNUMBER(SEARCH("100",E452))),100,100000))),0))</f>
        <v/>
      </c>
      <c r="Y452" s="10"/>
      <c r="Z452" s="28"/>
      <c r="AA452" s="27" t="str">
        <f aca="false">IF(OR(Y452="",Z452=0),"",IFERROR((Y452-K452)*IF(F452="Sell",-1,1)*R452*Z452*IF(ISNUMBER(SEARCH("JPY",E452)),1000,IF(ISNUMBER(SEARCH("XAU",E452)),100,IF(OR(ISNUMBER(SEARCH("30",E452)),ISNUMBER(SEARCH("500",E452)),ISNUMBER(SEARCH("100",E452))),100,100000))),0))</f>
        <v/>
      </c>
      <c r="AB452" s="10"/>
      <c r="AC452" s="29" t="str">
        <f aca="false">IF(K452="","",1-IFERROR(T452,0)-IFERROR(W452,0)-IFERROR(Z452,0))</f>
        <v/>
      </c>
      <c r="AD452" s="30" t="str">
        <f aca="false">IF(AB452="","",IFERROR((IFERROR(S452*T452,0)+IFERROR(V452*W452,0)+IFERROR(Y452*Z452,0)+AB452*AC452)/(IFERROR(T452,0)+IFERROR(W452,0)+IFERROR(Z452,0)+AC452),AB452))</f>
        <v/>
      </c>
      <c r="AE452" s="27" t="str">
        <f aca="false">IF(AB452="","",IF(U452="",0,U452)+IF(X452="",0,X452)+IF(AA452="",0,AA452)+IFERROR((AB452-K452)*IF(F452="Sell",-1,1)*R452*AC452*IF(ISNUMBER(SEARCH("JPY",E452)),1000,IF(ISNUMBER(SEARCH("XAU",E452)),100,IF(OR(ISNUMBER(SEARCH("30",E452)),ISNUMBER(SEARCH("500",E452)),ISNUMBER(SEARCH("100",E452))),100,100000))),0))</f>
        <v/>
      </c>
      <c r="AF452" s="31" t="str">
        <f aca="false">IF(OR(K452="",M452="",L452=""),"",IFERROR(ABS(M452-K452)/ABS(K452-L452),0))</f>
        <v/>
      </c>
      <c r="AG452" s="31" t="str">
        <f aca="false">IF(OR(AE452="",AE452=0,Q452=0,Q452=""),"",IFERROR(AE452/Q452,0))</f>
        <v/>
      </c>
      <c r="AH452" s="32" t="str">
        <f aca="false">IF(AB452="","Open",IF(AG452="","Open",IF(AG452&gt;0.1,"Win",IF(AG452&lt;-0.1,"Loss","Breakeven"))))</f>
        <v>Open</v>
      </c>
      <c r="AI452" s="33" t="str">
        <f aca="false">IF(OR(B452="",D452=""),"",D452-B452)</f>
        <v/>
      </c>
      <c r="AJ452" s="24" t="str">
        <f aca="false">IF(AD452="","",IFERROR((AD452-K452)*IF(F452="Sell",-1,1)/IF(ISNUMBER(SEARCH("JPY",E452)),0.01,IF(ISNUMBER(SEARCH("XAU",E452)),0.01,IF(OR(ISNUMBER(SEARCH("30",E452)),ISNUMBER(SEARCH("500",E452)),ISNUMBER(SEARCH("100",E452))),1,0.0001))),0))</f>
        <v/>
      </c>
      <c r="AK452" s="10"/>
      <c r="AL452" s="10"/>
      <c r="AM452" s="10"/>
      <c r="AN452" s="10"/>
      <c r="AO452" s="27" t="str">
        <f aca="false">IF(AE452="","",IFERROR(IF(AO451="",SETTINGS!$B$6,AO451),SETTINGS!$B$6)+IF(AE452="",0,AE452))</f>
        <v/>
      </c>
      <c r="AP452" s="2"/>
    </row>
    <row r="453" customFormat="false" ht="15" hidden="false" customHeight="false" outlineLevel="0" collapsed="false">
      <c r="A453" s="24" t="str">
        <f aca="false">IF(B453="","",ROW()-3)</f>
        <v/>
      </c>
      <c r="B453" s="34"/>
      <c r="C453" s="12"/>
      <c r="D453" s="34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35"/>
      <c r="P453" s="24" t="str">
        <f aca="false">IF(K453="","",IFERROR(ABS(K453-L453)/IF(ISNUMBER(SEARCH("JPY",E453)),0.01,IF(ISNUMBER(SEARCH("XAU",E453)),0.01,IF(OR(ISNUMBER(SEARCH("30",E453)),ISNUMBER(SEARCH("500",E453)),ISNUMBER(SEARCH("100",E453))),1,0.0001))),0))</f>
        <v/>
      </c>
      <c r="Q453" s="27" t="str">
        <f aca="false">IF(K453="","",SETTINGS!$B$6*O453)</f>
        <v/>
      </c>
      <c r="R453" s="24" t="str">
        <f aca="false">IF(K453="","",IFERROR(Q453/(P453*IF(ISNUMBER(SEARCH("JPY",E453)),9.09,IF(ISNUMBER(SEARCH("XAU",E453)),1,IF(OR(ISNUMBER(SEARCH("30",E453)),ISNUMBER(SEARCH("500",E453)),ISNUMBER(SEARCH("100",E453))),1,10)))),0))</f>
        <v/>
      </c>
      <c r="S453" s="12"/>
      <c r="T453" s="36"/>
      <c r="U453" s="27" t="str">
        <f aca="false">IF(OR(S453="",T453=0),"",IFERROR((S453-K453)*IF(F453="Sell",-1,1)*R453*T453*IF(ISNUMBER(SEARCH("JPY",E453)),1000,IF(ISNUMBER(SEARCH("XAU",E453)),100,IF(OR(ISNUMBER(SEARCH("30",E453)),ISNUMBER(SEARCH("500",E453)),ISNUMBER(SEARCH("100",E453))),100,100000))),0))</f>
        <v/>
      </c>
      <c r="V453" s="12"/>
      <c r="W453" s="36"/>
      <c r="X453" s="27" t="str">
        <f aca="false">IF(OR(V453="",W453=0),"",IFERROR((V453-K453)*IF(F453="Sell",-1,1)*R453*W453*IF(ISNUMBER(SEARCH("JPY",E453)),1000,IF(ISNUMBER(SEARCH("XAU",E453)),100,IF(OR(ISNUMBER(SEARCH("30",E453)),ISNUMBER(SEARCH("500",E453)),ISNUMBER(SEARCH("100",E453))),100,100000))),0))</f>
        <v/>
      </c>
      <c r="Y453" s="12"/>
      <c r="Z453" s="36"/>
      <c r="AA453" s="27" t="str">
        <f aca="false">IF(OR(Y453="",Z453=0),"",IFERROR((Y453-K453)*IF(F453="Sell",-1,1)*R453*Z453*IF(ISNUMBER(SEARCH("JPY",E453)),1000,IF(ISNUMBER(SEARCH("XAU",E453)),100,IF(OR(ISNUMBER(SEARCH("30",E453)),ISNUMBER(SEARCH("500",E453)),ISNUMBER(SEARCH("100",E453))),100,100000))),0))</f>
        <v/>
      </c>
      <c r="AB453" s="12"/>
      <c r="AC453" s="29" t="str">
        <f aca="false">IF(K453="","",1-IFERROR(T453,0)-IFERROR(W453,0)-IFERROR(Z453,0))</f>
        <v/>
      </c>
      <c r="AD453" s="30" t="str">
        <f aca="false">IF(AB453="","",IFERROR((IFERROR(S453*T453,0)+IFERROR(V453*W453,0)+IFERROR(Y453*Z453,0)+AB453*AC453)/(IFERROR(T453,0)+IFERROR(W453,0)+IFERROR(Z453,0)+AC453),AB453))</f>
        <v/>
      </c>
      <c r="AE453" s="27" t="str">
        <f aca="false">IF(AB453="","",IF(U453="",0,U453)+IF(X453="",0,X453)+IF(AA453="",0,AA453)+IFERROR((AB453-K453)*IF(F453="Sell",-1,1)*R453*AC453*IF(ISNUMBER(SEARCH("JPY",E453)),1000,IF(ISNUMBER(SEARCH("XAU",E453)),100,IF(OR(ISNUMBER(SEARCH("30",E453)),ISNUMBER(SEARCH("500",E453)),ISNUMBER(SEARCH("100",E453))),100,100000))),0))</f>
        <v/>
      </c>
      <c r="AF453" s="31" t="str">
        <f aca="false">IF(OR(K453="",M453="",L453=""),"",IFERROR(ABS(M453-K453)/ABS(K453-L453),0))</f>
        <v/>
      </c>
      <c r="AG453" s="31" t="str">
        <f aca="false">IF(OR(AE453="",AE453=0,Q453=0,Q453=""),"",IFERROR(AE453/Q453,0))</f>
        <v/>
      </c>
      <c r="AH453" s="32" t="str">
        <f aca="false">IF(AB453="","Open",IF(AG453="","Open",IF(AG453&gt;0.1,"Win",IF(AG453&lt;-0.1,"Loss","Breakeven"))))</f>
        <v>Open</v>
      </c>
      <c r="AI453" s="33" t="str">
        <f aca="false">IF(OR(B453="",D453=""),"",D453-B453)</f>
        <v/>
      </c>
      <c r="AJ453" s="24" t="str">
        <f aca="false">IF(AD453="","",IFERROR((AD453-K453)*IF(F453="Sell",-1,1)/IF(ISNUMBER(SEARCH("JPY",E453)),0.01,IF(ISNUMBER(SEARCH("XAU",E453)),0.01,IF(OR(ISNUMBER(SEARCH("30",E453)),ISNUMBER(SEARCH("500",E453)),ISNUMBER(SEARCH("100",E453))),1,0.0001))),0))</f>
        <v/>
      </c>
      <c r="AK453" s="12"/>
      <c r="AL453" s="12"/>
      <c r="AM453" s="12"/>
      <c r="AN453" s="12"/>
      <c r="AO453" s="27" t="str">
        <f aca="false">IF(AE453="","",IFERROR(IF(AO452="",SETTINGS!$B$6,AO452),SETTINGS!$B$6)+IF(AE453="",0,AE453))</f>
        <v/>
      </c>
      <c r="AP453" s="2"/>
    </row>
    <row r="454" customFormat="false" ht="15" hidden="false" customHeight="false" outlineLevel="0" collapsed="false">
      <c r="A454" s="24" t="str">
        <f aca="false">IF(B454="","",ROW()-3)</f>
        <v/>
      </c>
      <c r="B454" s="25"/>
      <c r="C454" s="10"/>
      <c r="D454" s="25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26"/>
      <c r="P454" s="24" t="str">
        <f aca="false">IF(K454="","",IFERROR(ABS(K454-L454)/IF(ISNUMBER(SEARCH("JPY",E454)),0.01,IF(ISNUMBER(SEARCH("XAU",E454)),0.01,IF(OR(ISNUMBER(SEARCH("30",E454)),ISNUMBER(SEARCH("500",E454)),ISNUMBER(SEARCH("100",E454))),1,0.0001))),0))</f>
        <v/>
      </c>
      <c r="Q454" s="27" t="str">
        <f aca="false">IF(K454="","",SETTINGS!$B$6*O454)</f>
        <v/>
      </c>
      <c r="R454" s="24" t="str">
        <f aca="false">IF(K454="","",IFERROR(Q454/(P454*IF(ISNUMBER(SEARCH("JPY",E454)),9.09,IF(ISNUMBER(SEARCH("XAU",E454)),1,IF(OR(ISNUMBER(SEARCH("30",E454)),ISNUMBER(SEARCH("500",E454)),ISNUMBER(SEARCH("100",E454))),1,10)))),0))</f>
        <v/>
      </c>
      <c r="S454" s="10"/>
      <c r="T454" s="28"/>
      <c r="U454" s="27" t="str">
        <f aca="false">IF(OR(S454="",T454=0),"",IFERROR((S454-K454)*IF(F454="Sell",-1,1)*R454*T454*IF(ISNUMBER(SEARCH("JPY",E454)),1000,IF(ISNUMBER(SEARCH("XAU",E454)),100,IF(OR(ISNUMBER(SEARCH("30",E454)),ISNUMBER(SEARCH("500",E454)),ISNUMBER(SEARCH("100",E454))),100,100000))),0))</f>
        <v/>
      </c>
      <c r="V454" s="10"/>
      <c r="W454" s="28"/>
      <c r="X454" s="27" t="str">
        <f aca="false">IF(OR(V454="",W454=0),"",IFERROR((V454-K454)*IF(F454="Sell",-1,1)*R454*W454*IF(ISNUMBER(SEARCH("JPY",E454)),1000,IF(ISNUMBER(SEARCH("XAU",E454)),100,IF(OR(ISNUMBER(SEARCH("30",E454)),ISNUMBER(SEARCH("500",E454)),ISNUMBER(SEARCH("100",E454))),100,100000))),0))</f>
        <v/>
      </c>
      <c r="Y454" s="10"/>
      <c r="Z454" s="28"/>
      <c r="AA454" s="27" t="str">
        <f aca="false">IF(OR(Y454="",Z454=0),"",IFERROR((Y454-K454)*IF(F454="Sell",-1,1)*R454*Z454*IF(ISNUMBER(SEARCH("JPY",E454)),1000,IF(ISNUMBER(SEARCH("XAU",E454)),100,IF(OR(ISNUMBER(SEARCH("30",E454)),ISNUMBER(SEARCH("500",E454)),ISNUMBER(SEARCH("100",E454))),100,100000))),0))</f>
        <v/>
      </c>
      <c r="AB454" s="10"/>
      <c r="AC454" s="29" t="str">
        <f aca="false">IF(K454="","",1-IFERROR(T454,0)-IFERROR(W454,0)-IFERROR(Z454,0))</f>
        <v/>
      </c>
      <c r="AD454" s="30" t="str">
        <f aca="false">IF(AB454="","",IFERROR((IFERROR(S454*T454,0)+IFERROR(V454*W454,0)+IFERROR(Y454*Z454,0)+AB454*AC454)/(IFERROR(T454,0)+IFERROR(W454,0)+IFERROR(Z454,0)+AC454),AB454))</f>
        <v/>
      </c>
      <c r="AE454" s="27" t="str">
        <f aca="false">IF(AB454="","",IF(U454="",0,U454)+IF(X454="",0,X454)+IF(AA454="",0,AA454)+IFERROR((AB454-K454)*IF(F454="Sell",-1,1)*R454*AC454*IF(ISNUMBER(SEARCH("JPY",E454)),1000,IF(ISNUMBER(SEARCH("XAU",E454)),100,IF(OR(ISNUMBER(SEARCH("30",E454)),ISNUMBER(SEARCH("500",E454)),ISNUMBER(SEARCH("100",E454))),100,100000))),0))</f>
        <v/>
      </c>
      <c r="AF454" s="31" t="str">
        <f aca="false">IF(OR(K454="",M454="",L454=""),"",IFERROR(ABS(M454-K454)/ABS(K454-L454),0))</f>
        <v/>
      </c>
      <c r="AG454" s="31" t="str">
        <f aca="false">IF(OR(AE454="",AE454=0,Q454=0,Q454=""),"",IFERROR(AE454/Q454,0))</f>
        <v/>
      </c>
      <c r="AH454" s="32" t="str">
        <f aca="false">IF(AB454="","Open",IF(AG454="","Open",IF(AG454&gt;0.1,"Win",IF(AG454&lt;-0.1,"Loss","Breakeven"))))</f>
        <v>Open</v>
      </c>
      <c r="AI454" s="33" t="str">
        <f aca="false">IF(OR(B454="",D454=""),"",D454-B454)</f>
        <v/>
      </c>
      <c r="AJ454" s="24" t="str">
        <f aca="false">IF(AD454="","",IFERROR((AD454-K454)*IF(F454="Sell",-1,1)/IF(ISNUMBER(SEARCH("JPY",E454)),0.01,IF(ISNUMBER(SEARCH("XAU",E454)),0.01,IF(OR(ISNUMBER(SEARCH("30",E454)),ISNUMBER(SEARCH("500",E454)),ISNUMBER(SEARCH("100",E454))),1,0.0001))),0))</f>
        <v/>
      </c>
      <c r="AK454" s="10"/>
      <c r="AL454" s="10"/>
      <c r="AM454" s="10"/>
      <c r="AN454" s="10"/>
      <c r="AO454" s="27" t="str">
        <f aca="false">IF(AE454="","",IFERROR(IF(AO453="",SETTINGS!$B$6,AO453),SETTINGS!$B$6)+IF(AE454="",0,AE454))</f>
        <v/>
      </c>
      <c r="AP454" s="2"/>
    </row>
    <row r="455" customFormat="false" ht="15" hidden="false" customHeight="false" outlineLevel="0" collapsed="false">
      <c r="A455" s="24" t="str">
        <f aca="false">IF(B455="","",ROW()-3)</f>
        <v/>
      </c>
      <c r="B455" s="34"/>
      <c r="C455" s="12"/>
      <c r="D455" s="34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35"/>
      <c r="P455" s="24" t="str">
        <f aca="false">IF(K455="","",IFERROR(ABS(K455-L455)/IF(ISNUMBER(SEARCH("JPY",E455)),0.01,IF(ISNUMBER(SEARCH("XAU",E455)),0.01,IF(OR(ISNUMBER(SEARCH("30",E455)),ISNUMBER(SEARCH("500",E455)),ISNUMBER(SEARCH("100",E455))),1,0.0001))),0))</f>
        <v/>
      </c>
      <c r="Q455" s="27" t="str">
        <f aca="false">IF(K455="","",SETTINGS!$B$6*O455)</f>
        <v/>
      </c>
      <c r="R455" s="24" t="str">
        <f aca="false">IF(K455="","",IFERROR(Q455/(P455*IF(ISNUMBER(SEARCH("JPY",E455)),9.09,IF(ISNUMBER(SEARCH("XAU",E455)),1,IF(OR(ISNUMBER(SEARCH("30",E455)),ISNUMBER(SEARCH("500",E455)),ISNUMBER(SEARCH("100",E455))),1,10)))),0))</f>
        <v/>
      </c>
      <c r="S455" s="12"/>
      <c r="T455" s="36"/>
      <c r="U455" s="27" t="str">
        <f aca="false">IF(OR(S455="",T455=0),"",IFERROR((S455-K455)*IF(F455="Sell",-1,1)*R455*T455*IF(ISNUMBER(SEARCH("JPY",E455)),1000,IF(ISNUMBER(SEARCH("XAU",E455)),100,IF(OR(ISNUMBER(SEARCH("30",E455)),ISNUMBER(SEARCH("500",E455)),ISNUMBER(SEARCH("100",E455))),100,100000))),0))</f>
        <v/>
      </c>
      <c r="V455" s="12"/>
      <c r="W455" s="36"/>
      <c r="X455" s="27" t="str">
        <f aca="false">IF(OR(V455="",W455=0),"",IFERROR((V455-K455)*IF(F455="Sell",-1,1)*R455*W455*IF(ISNUMBER(SEARCH("JPY",E455)),1000,IF(ISNUMBER(SEARCH("XAU",E455)),100,IF(OR(ISNUMBER(SEARCH("30",E455)),ISNUMBER(SEARCH("500",E455)),ISNUMBER(SEARCH("100",E455))),100,100000))),0))</f>
        <v/>
      </c>
      <c r="Y455" s="12"/>
      <c r="Z455" s="36"/>
      <c r="AA455" s="27" t="str">
        <f aca="false">IF(OR(Y455="",Z455=0),"",IFERROR((Y455-K455)*IF(F455="Sell",-1,1)*R455*Z455*IF(ISNUMBER(SEARCH("JPY",E455)),1000,IF(ISNUMBER(SEARCH("XAU",E455)),100,IF(OR(ISNUMBER(SEARCH("30",E455)),ISNUMBER(SEARCH("500",E455)),ISNUMBER(SEARCH("100",E455))),100,100000))),0))</f>
        <v/>
      </c>
      <c r="AB455" s="12"/>
      <c r="AC455" s="29" t="str">
        <f aca="false">IF(K455="","",1-IFERROR(T455,0)-IFERROR(W455,0)-IFERROR(Z455,0))</f>
        <v/>
      </c>
      <c r="AD455" s="30" t="str">
        <f aca="false">IF(AB455="","",IFERROR((IFERROR(S455*T455,0)+IFERROR(V455*W455,0)+IFERROR(Y455*Z455,0)+AB455*AC455)/(IFERROR(T455,0)+IFERROR(W455,0)+IFERROR(Z455,0)+AC455),AB455))</f>
        <v/>
      </c>
      <c r="AE455" s="27" t="str">
        <f aca="false">IF(AB455="","",IF(U455="",0,U455)+IF(X455="",0,X455)+IF(AA455="",0,AA455)+IFERROR((AB455-K455)*IF(F455="Sell",-1,1)*R455*AC455*IF(ISNUMBER(SEARCH("JPY",E455)),1000,IF(ISNUMBER(SEARCH("XAU",E455)),100,IF(OR(ISNUMBER(SEARCH("30",E455)),ISNUMBER(SEARCH("500",E455)),ISNUMBER(SEARCH("100",E455))),100,100000))),0))</f>
        <v/>
      </c>
      <c r="AF455" s="31" t="str">
        <f aca="false">IF(OR(K455="",M455="",L455=""),"",IFERROR(ABS(M455-K455)/ABS(K455-L455),0))</f>
        <v/>
      </c>
      <c r="AG455" s="31" t="str">
        <f aca="false">IF(OR(AE455="",AE455=0,Q455=0,Q455=""),"",IFERROR(AE455/Q455,0))</f>
        <v/>
      </c>
      <c r="AH455" s="32" t="str">
        <f aca="false">IF(AB455="","Open",IF(AG455="","Open",IF(AG455&gt;0.1,"Win",IF(AG455&lt;-0.1,"Loss","Breakeven"))))</f>
        <v>Open</v>
      </c>
      <c r="AI455" s="33" t="str">
        <f aca="false">IF(OR(B455="",D455=""),"",D455-B455)</f>
        <v/>
      </c>
      <c r="AJ455" s="24" t="str">
        <f aca="false">IF(AD455="","",IFERROR((AD455-K455)*IF(F455="Sell",-1,1)/IF(ISNUMBER(SEARCH("JPY",E455)),0.01,IF(ISNUMBER(SEARCH("XAU",E455)),0.01,IF(OR(ISNUMBER(SEARCH("30",E455)),ISNUMBER(SEARCH("500",E455)),ISNUMBER(SEARCH("100",E455))),1,0.0001))),0))</f>
        <v/>
      </c>
      <c r="AK455" s="12"/>
      <c r="AL455" s="12"/>
      <c r="AM455" s="12"/>
      <c r="AN455" s="12"/>
      <c r="AO455" s="27" t="str">
        <f aca="false">IF(AE455="","",IFERROR(IF(AO454="",SETTINGS!$B$6,AO454),SETTINGS!$B$6)+IF(AE455="",0,AE455))</f>
        <v/>
      </c>
      <c r="AP455" s="2"/>
    </row>
    <row r="456" customFormat="false" ht="15" hidden="false" customHeight="false" outlineLevel="0" collapsed="false">
      <c r="A456" s="24" t="str">
        <f aca="false">IF(B456="","",ROW()-3)</f>
        <v/>
      </c>
      <c r="B456" s="25"/>
      <c r="C456" s="10"/>
      <c r="D456" s="25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26"/>
      <c r="P456" s="24" t="str">
        <f aca="false">IF(K456="","",IFERROR(ABS(K456-L456)/IF(ISNUMBER(SEARCH("JPY",E456)),0.01,IF(ISNUMBER(SEARCH("XAU",E456)),0.01,IF(OR(ISNUMBER(SEARCH("30",E456)),ISNUMBER(SEARCH("500",E456)),ISNUMBER(SEARCH("100",E456))),1,0.0001))),0))</f>
        <v/>
      </c>
      <c r="Q456" s="27" t="str">
        <f aca="false">IF(K456="","",SETTINGS!$B$6*O456)</f>
        <v/>
      </c>
      <c r="R456" s="24" t="str">
        <f aca="false">IF(K456="","",IFERROR(Q456/(P456*IF(ISNUMBER(SEARCH("JPY",E456)),9.09,IF(ISNUMBER(SEARCH("XAU",E456)),1,IF(OR(ISNUMBER(SEARCH("30",E456)),ISNUMBER(SEARCH("500",E456)),ISNUMBER(SEARCH("100",E456))),1,10)))),0))</f>
        <v/>
      </c>
      <c r="S456" s="10"/>
      <c r="T456" s="28"/>
      <c r="U456" s="27" t="str">
        <f aca="false">IF(OR(S456="",T456=0),"",IFERROR((S456-K456)*IF(F456="Sell",-1,1)*R456*T456*IF(ISNUMBER(SEARCH("JPY",E456)),1000,IF(ISNUMBER(SEARCH("XAU",E456)),100,IF(OR(ISNUMBER(SEARCH("30",E456)),ISNUMBER(SEARCH("500",E456)),ISNUMBER(SEARCH("100",E456))),100,100000))),0))</f>
        <v/>
      </c>
      <c r="V456" s="10"/>
      <c r="W456" s="28"/>
      <c r="X456" s="27" t="str">
        <f aca="false">IF(OR(V456="",W456=0),"",IFERROR((V456-K456)*IF(F456="Sell",-1,1)*R456*W456*IF(ISNUMBER(SEARCH("JPY",E456)),1000,IF(ISNUMBER(SEARCH("XAU",E456)),100,IF(OR(ISNUMBER(SEARCH("30",E456)),ISNUMBER(SEARCH("500",E456)),ISNUMBER(SEARCH("100",E456))),100,100000))),0))</f>
        <v/>
      </c>
      <c r="Y456" s="10"/>
      <c r="Z456" s="28"/>
      <c r="AA456" s="27" t="str">
        <f aca="false">IF(OR(Y456="",Z456=0),"",IFERROR((Y456-K456)*IF(F456="Sell",-1,1)*R456*Z456*IF(ISNUMBER(SEARCH("JPY",E456)),1000,IF(ISNUMBER(SEARCH("XAU",E456)),100,IF(OR(ISNUMBER(SEARCH("30",E456)),ISNUMBER(SEARCH("500",E456)),ISNUMBER(SEARCH("100",E456))),100,100000))),0))</f>
        <v/>
      </c>
      <c r="AB456" s="10"/>
      <c r="AC456" s="29" t="str">
        <f aca="false">IF(K456="","",1-IFERROR(T456,0)-IFERROR(W456,0)-IFERROR(Z456,0))</f>
        <v/>
      </c>
      <c r="AD456" s="30" t="str">
        <f aca="false">IF(AB456="","",IFERROR((IFERROR(S456*T456,0)+IFERROR(V456*W456,0)+IFERROR(Y456*Z456,0)+AB456*AC456)/(IFERROR(T456,0)+IFERROR(W456,0)+IFERROR(Z456,0)+AC456),AB456))</f>
        <v/>
      </c>
      <c r="AE456" s="27" t="str">
        <f aca="false">IF(AB456="","",IF(U456="",0,U456)+IF(X456="",0,X456)+IF(AA456="",0,AA456)+IFERROR((AB456-K456)*IF(F456="Sell",-1,1)*R456*AC456*IF(ISNUMBER(SEARCH("JPY",E456)),1000,IF(ISNUMBER(SEARCH("XAU",E456)),100,IF(OR(ISNUMBER(SEARCH("30",E456)),ISNUMBER(SEARCH("500",E456)),ISNUMBER(SEARCH("100",E456))),100,100000))),0))</f>
        <v/>
      </c>
      <c r="AF456" s="31" t="str">
        <f aca="false">IF(OR(K456="",M456="",L456=""),"",IFERROR(ABS(M456-K456)/ABS(K456-L456),0))</f>
        <v/>
      </c>
      <c r="AG456" s="31" t="str">
        <f aca="false">IF(OR(AE456="",AE456=0,Q456=0,Q456=""),"",IFERROR(AE456/Q456,0))</f>
        <v/>
      </c>
      <c r="AH456" s="32" t="str">
        <f aca="false">IF(AB456="","Open",IF(AG456="","Open",IF(AG456&gt;0.1,"Win",IF(AG456&lt;-0.1,"Loss","Breakeven"))))</f>
        <v>Open</v>
      </c>
      <c r="AI456" s="33" t="str">
        <f aca="false">IF(OR(B456="",D456=""),"",D456-B456)</f>
        <v/>
      </c>
      <c r="AJ456" s="24" t="str">
        <f aca="false">IF(AD456="","",IFERROR((AD456-K456)*IF(F456="Sell",-1,1)/IF(ISNUMBER(SEARCH("JPY",E456)),0.01,IF(ISNUMBER(SEARCH("XAU",E456)),0.01,IF(OR(ISNUMBER(SEARCH("30",E456)),ISNUMBER(SEARCH("500",E456)),ISNUMBER(SEARCH("100",E456))),1,0.0001))),0))</f>
        <v/>
      </c>
      <c r="AK456" s="10"/>
      <c r="AL456" s="10"/>
      <c r="AM456" s="10"/>
      <c r="AN456" s="10"/>
      <c r="AO456" s="27" t="str">
        <f aca="false">IF(AE456="","",IFERROR(IF(AO455="",SETTINGS!$B$6,AO455),SETTINGS!$B$6)+IF(AE456="",0,AE456))</f>
        <v/>
      </c>
      <c r="AP456" s="2"/>
    </row>
    <row r="457" customFormat="false" ht="15" hidden="false" customHeight="false" outlineLevel="0" collapsed="false">
      <c r="A457" s="24" t="str">
        <f aca="false">IF(B457="","",ROW()-3)</f>
        <v/>
      </c>
      <c r="B457" s="34"/>
      <c r="C457" s="12"/>
      <c r="D457" s="34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35"/>
      <c r="P457" s="24" t="str">
        <f aca="false">IF(K457="","",IFERROR(ABS(K457-L457)/IF(ISNUMBER(SEARCH("JPY",E457)),0.01,IF(ISNUMBER(SEARCH("XAU",E457)),0.01,IF(OR(ISNUMBER(SEARCH("30",E457)),ISNUMBER(SEARCH("500",E457)),ISNUMBER(SEARCH("100",E457))),1,0.0001))),0))</f>
        <v/>
      </c>
      <c r="Q457" s="27" t="str">
        <f aca="false">IF(K457="","",SETTINGS!$B$6*O457)</f>
        <v/>
      </c>
      <c r="R457" s="24" t="str">
        <f aca="false">IF(K457="","",IFERROR(Q457/(P457*IF(ISNUMBER(SEARCH("JPY",E457)),9.09,IF(ISNUMBER(SEARCH("XAU",E457)),1,IF(OR(ISNUMBER(SEARCH("30",E457)),ISNUMBER(SEARCH("500",E457)),ISNUMBER(SEARCH("100",E457))),1,10)))),0))</f>
        <v/>
      </c>
      <c r="S457" s="12"/>
      <c r="T457" s="36"/>
      <c r="U457" s="27" t="str">
        <f aca="false">IF(OR(S457="",T457=0),"",IFERROR((S457-K457)*IF(F457="Sell",-1,1)*R457*T457*IF(ISNUMBER(SEARCH("JPY",E457)),1000,IF(ISNUMBER(SEARCH("XAU",E457)),100,IF(OR(ISNUMBER(SEARCH("30",E457)),ISNUMBER(SEARCH("500",E457)),ISNUMBER(SEARCH("100",E457))),100,100000))),0))</f>
        <v/>
      </c>
      <c r="V457" s="12"/>
      <c r="W457" s="36"/>
      <c r="X457" s="27" t="str">
        <f aca="false">IF(OR(V457="",W457=0),"",IFERROR((V457-K457)*IF(F457="Sell",-1,1)*R457*W457*IF(ISNUMBER(SEARCH("JPY",E457)),1000,IF(ISNUMBER(SEARCH("XAU",E457)),100,IF(OR(ISNUMBER(SEARCH("30",E457)),ISNUMBER(SEARCH("500",E457)),ISNUMBER(SEARCH("100",E457))),100,100000))),0))</f>
        <v/>
      </c>
      <c r="Y457" s="12"/>
      <c r="Z457" s="36"/>
      <c r="AA457" s="27" t="str">
        <f aca="false">IF(OR(Y457="",Z457=0),"",IFERROR((Y457-K457)*IF(F457="Sell",-1,1)*R457*Z457*IF(ISNUMBER(SEARCH("JPY",E457)),1000,IF(ISNUMBER(SEARCH("XAU",E457)),100,IF(OR(ISNUMBER(SEARCH("30",E457)),ISNUMBER(SEARCH("500",E457)),ISNUMBER(SEARCH("100",E457))),100,100000))),0))</f>
        <v/>
      </c>
      <c r="AB457" s="12"/>
      <c r="AC457" s="29" t="str">
        <f aca="false">IF(K457="","",1-IFERROR(T457,0)-IFERROR(W457,0)-IFERROR(Z457,0))</f>
        <v/>
      </c>
      <c r="AD457" s="30" t="str">
        <f aca="false">IF(AB457="","",IFERROR((IFERROR(S457*T457,0)+IFERROR(V457*W457,0)+IFERROR(Y457*Z457,0)+AB457*AC457)/(IFERROR(T457,0)+IFERROR(W457,0)+IFERROR(Z457,0)+AC457),AB457))</f>
        <v/>
      </c>
      <c r="AE457" s="27" t="str">
        <f aca="false">IF(AB457="","",IF(U457="",0,U457)+IF(X457="",0,X457)+IF(AA457="",0,AA457)+IFERROR((AB457-K457)*IF(F457="Sell",-1,1)*R457*AC457*IF(ISNUMBER(SEARCH("JPY",E457)),1000,IF(ISNUMBER(SEARCH("XAU",E457)),100,IF(OR(ISNUMBER(SEARCH("30",E457)),ISNUMBER(SEARCH("500",E457)),ISNUMBER(SEARCH("100",E457))),100,100000))),0))</f>
        <v/>
      </c>
      <c r="AF457" s="31" t="str">
        <f aca="false">IF(OR(K457="",M457="",L457=""),"",IFERROR(ABS(M457-K457)/ABS(K457-L457),0))</f>
        <v/>
      </c>
      <c r="AG457" s="31" t="str">
        <f aca="false">IF(OR(AE457="",AE457=0,Q457=0,Q457=""),"",IFERROR(AE457/Q457,0))</f>
        <v/>
      </c>
      <c r="AH457" s="32" t="str">
        <f aca="false">IF(AB457="","Open",IF(AG457="","Open",IF(AG457&gt;0.1,"Win",IF(AG457&lt;-0.1,"Loss","Breakeven"))))</f>
        <v>Open</v>
      </c>
      <c r="AI457" s="33" t="str">
        <f aca="false">IF(OR(B457="",D457=""),"",D457-B457)</f>
        <v/>
      </c>
      <c r="AJ457" s="24" t="str">
        <f aca="false">IF(AD457="","",IFERROR((AD457-K457)*IF(F457="Sell",-1,1)/IF(ISNUMBER(SEARCH("JPY",E457)),0.01,IF(ISNUMBER(SEARCH("XAU",E457)),0.01,IF(OR(ISNUMBER(SEARCH("30",E457)),ISNUMBER(SEARCH("500",E457)),ISNUMBER(SEARCH("100",E457))),1,0.0001))),0))</f>
        <v/>
      </c>
      <c r="AK457" s="12"/>
      <c r="AL457" s="12"/>
      <c r="AM457" s="12"/>
      <c r="AN457" s="12"/>
      <c r="AO457" s="27" t="str">
        <f aca="false">IF(AE457="","",IFERROR(IF(AO456="",SETTINGS!$B$6,AO456),SETTINGS!$B$6)+IF(AE457="",0,AE457))</f>
        <v/>
      </c>
      <c r="AP457" s="2"/>
    </row>
    <row r="458" customFormat="false" ht="15" hidden="false" customHeight="false" outlineLevel="0" collapsed="false">
      <c r="A458" s="24" t="str">
        <f aca="false">IF(B458="","",ROW()-3)</f>
        <v/>
      </c>
      <c r="B458" s="25"/>
      <c r="C458" s="10"/>
      <c r="D458" s="25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26"/>
      <c r="P458" s="24" t="str">
        <f aca="false">IF(K458="","",IFERROR(ABS(K458-L458)/IF(ISNUMBER(SEARCH("JPY",E458)),0.01,IF(ISNUMBER(SEARCH("XAU",E458)),0.01,IF(OR(ISNUMBER(SEARCH("30",E458)),ISNUMBER(SEARCH("500",E458)),ISNUMBER(SEARCH("100",E458))),1,0.0001))),0))</f>
        <v/>
      </c>
      <c r="Q458" s="27" t="str">
        <f aca="false">IF(K458="","",SETTINGS!$B$6*O458)</f>
        <v/>
      </c>
      <c r="R458" s="24" t="str">
        <f aca="false">IF(K458="","",IFERROR(Q458/(P458*IF(ISNUMBER(SEARCH("JPY",E458)),9.09,IF(ISNUMBER(SEARCH("XAU",E458)),1,IF(OR(ISNUMBER(SEARCH("30",E458)),ISNUMBER(SEARCH("500",E458)),ISNUMBER(SEARCH("100",E458))),1,10)))),0))</f>
        <v/>
      </c>
      <c r="S458" s="10"/>
      <c r="T458" s="28"/>
      <c r="U458" s="27" t="str">
        <f aca="false">IF(OR(S458="",T458=0),"",IFERROR((S458-K458)*IF(F458="Sell",-1,1)*R458*T458*IF(ISNUMBER(SEARCH("JPY",E458)),1000,IF(ISNUMBER(SEARCH("XAU",E458)),100,IF(OR(ISNUMBER(SEARCH("30",E458)),ISNUMBER(SEARCH("500",E458)),ISNUMBER(SEARCH("100",E458))),100,100000))),0))</f>
        <v/>
      </c>
      <c r="V458" s="10"/>
      <c r="W458" s="28"/>
      <c r="X458" s="27" t="str">
        <f aca="false">IF(OR(V458="",W458=0),"",IFERROR((V458-K458)*IF(F458="Sell",-1,1)*R458*W458*IF(ISNUMBER(SEARCH("JPY",E458)),1000,IF(ISNUMBER(SEARCH("XAU",E458)),100,IF(OR(ISNUMBER(SEARCH("30",E458)),ISNUMBER(SEARCH("500",E458)),ISNUMBER(SEARCH("100",E458))),100,100000))),0))</f>
        <v/>
      </c>
      <c r="Y458" s="10"/>
      <c r="Z458" s="28"/>
      <c r="AA458" s="27" t="str">
        <f aca="false">IF(OR(Y458="",Z458=0),"",IFERROR((Y458-K458)*IF(F458="Sell",-1,1)*R458*Z458*IF(ISNUMBER(SEARCH("JPY",E458)),1000,IF(ISNUMBER(SEARCH("XAU",E458)),100,IF(OR(ISNUMBER(SEARCH("30",E458)),ISNUMBER(SEARCH("500",E458)),ISNUMBER(SEARCH("100",E458))),100,100000))),0))</f>
        <v/>
      </c>
      <c r="AB458" s="10"/>
      <c r="AC458" s="29" t="str">
        <f aca="false">IF(K458="","",1-IFERROR(T458,0)-IFERROR(W458,0)-IFERROR(Z458,0))</f>
        <v/>
      </c>
      <c r="AD458" s="30" t="str">
        <f aca="false">IF(AB458="","",IFERROR((IFERROR(S458*T458,0)+IFERROR(V458*W458,0)+IFERROR(Y458*Z458,0)+AB458*AC458)/(IFERROR(T458,0)+IFERROR(W458,0)+IFERROR(Z458,0)+AC458),AB458))</f>
        <v/>
      </c>
      <c r="AE458" s="27" t="str">
        <f aca="false">IF(AB458="","",IF(U458="",0,U458)+IF(X458="",0,X458)+IF(AA458="",0,AA458)+IFERROR((AB458-K458)*IF(F458="Sell",-1,1)*R458*AC458*IF(ISNUMBER(SEARCH("JPY",E458)),1000,IF(ISNUMBER(SEARCH("XAU",E458)),100,IF(OR(ISNUMBER(SEARCH("30",E458)),ISNUMBER(SEARCH("500",E458)),ISNUMBER(SEARCH("100",E458))),100,100000))),0))</f>
        <v/>
      </c>
      <c r="AF458" s="31" t="str">
        <f aca="false">IF(OR(K458="",M458="",L458=""),"",IFERROR(ABS(M458-K458)/ABS(K458-L458),0))</f>
        <v/>
      </c>
      <c r="AG458" s="31" t="str">
        <f aca="false">IF(OR(AE458="",AE458=0,Q458=0,Q458=""),"",IFERROR(AE458/Q458,0))</f>
        <v/>
      </c>
      <c r="AH458" s="32" t="str">
        <f aca="false">IF(AB458="","Open",IF(AG458="","Open",IF(AG458&gt;0.1,"Win",IF(AG458&lt;-0.1,"Loss","Breakeven"))))</f>
        <v>Open</v>
      </c>
      <c r="AI458" s="33" t="str">
        <f aca="false">IF(OR(B458="",D458=""),"",D458-B458)</f>
        <v/>
      </c>
      <c r="AJ458" s="24" t="str">
        <f aca="false">IF(AD458="","",IFERROR((AD458-K458)*IF(F458="Sell",-1,1)/IF(ISNUMBER(SEARCH("JPY",E458)),0.01,IF(ISNUMBER(SEARCH("XAU",E458)),0.01,IF(OR(ISNUMBER(SEARCH("30",E458)),ISNUMBER(SEARCH("500",E458)),ISNUMBER(SEARCH("100",E458))),1,0.0001))),0))</f>
        <v/>
      </c>
      <c r="AK458" s="10"/>
      <c r="AL458" s="10"/>
      <c r="AM458" s="10"/>
      <c r="AN458" s="10"/>
      <c r="AO458" s="27" t="str">
        <f aca="false">IF(AE458="","",IFERROR(IF(AO457="",SETTINGS!$B$6,AO457),SETTINGS!$B$6)+IF(AE458="",0,AE458))</f>
        <v/>
      </c>
      <c r="AP458" s="2"/>
    </row>
    <row r="459" customFormat="false" ht="15" hidden="false" customHeight="false" outlineLevel="0" collapsed="false">
      <c r="A459" s="24" t="str">
        <f aca="false">IF(B459="","",ROW()-3)</f>
        <v/>
      </c>
      <c r="B459" s="34"/>
      <c r="C459" s="12"/>
      <c r="D459" s="34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35"/>
      <c r="P459" s="24" t="str">
        <f aca="false">IF(K459="","",IFERROR(ABS(K459-L459)/IF(ISNUMBER(SEARCH("JPY",E459)),0.01,IF(ISNUMBER(SEARCH("XAU",E459)),0.01,IF(OR(ISNUMBER(SEARCH("30",E459)),ISNUMBER(SEARCH("500",E459)),ISNUMBER(SEARCH("100",E459))),1,0.0001))),0))</f>
        <v/>
      </c>
      <c r="Q459" s="27" t="str">
        <f aca="false">IF(K459="","",SETTINGS!$B$6*O459)</f>
        <v/>
      </c>
      <c r="R459" s="24" t="str">
        <f aca="false">IF(K459="","",IFERROR(Q459/(P459*IF(ISNUMBER(SEARCH("JPY",E459)),9.09,IF(ISNUMBER(SEARCH("XAU",E459)),1,IF(OR(ISNUMBER(SEARCH("30",E459)),ISNUMBER(SEARCH("500",E459)),ISNUMBER(SEARCH("100",E459))),1,10)))),0))</f>
        <v/>
      </c>
      <c r="S459" s="12"/>
      <c r="T459" s="36"/>
      <c r="U459" s="27" t="str">
        <f aca="false">IF(OR(S459="",T459=0),"",IFERROR((S459-K459)*IF(F459="Sell",-1,1)*R459*T459*IF(ISNUMBER(SEARCH("JPY",E459)),1000,IF(ISNUMBER(SEARCH("XAU",E459)),100,IF(OR(ISNUMBER(SEARCH("30",E459)),ISNUMBER(SEARCH("500",E459)),ISNUMBER(SEARCH("100",E459))),100,100000))),0))</f>
        <v/>
      </c>
      <c r="V459" s="12"/>
      <c r="W459" s="36"/>
      <c r="X459" s="27" t="str">
        <f aca="false">IF(OR(V459="",W459=0),"",IFERROR((V459-K459)*IF(F459="Sell",-1,1)*R459*W459*IF(ISNUMBER(SEARCH("JPY",E459)),1000,IF(ISNUMBER(SEARCH("XAU",E459)),100,IF(OR(ISNUMBER(SEARCH("30",E459)),ISNUMBER(SEARCH("500",E459)),ISNUMBER(SEARCH("100",E459))),100,100000))),0))</f>
        <v/>
      </c>
      <c r="Y459" s="12"/>
      <c r="Z459" s="36"/>
      <c r="AA459" s="27" t="str">
        <f aca="false">IF(OR(Y459="",Z459=0),"",IFERROR((Y459-K459)*IF(F459="Sell",-1,1)*R459*Z459*IF(ISNUMBER(SEARCH("JPY",E459)),1000,IF(ISNUMBER(SEARCH("XAU",E459)),100,IF(OR(ISNUMBER(SEARCH("30",E459)),ISNUMBER(SEARCH("500",E459)),ISNUMBER(SEARCH("100",E459))),100,100000))),0))</f>
        <v/>
      </c>
      <c r="AB459" s="12"/>
      <c r="AC459" s="29" t="str">
        <f aca="false">IF(K459="","",1-IFERROR(T459,0)-IFERROR(W459,0)-IFERROR(Z459,0))</f>
        <v/>
      </c>
      <c r="AD459" s="30" t="str">
        <f aca="false">IF(AB459="","",IFERROR((IFERROR(S459*T459,0)+IFERROR(V459*W459,0)+IFERROR(Y459*Z459,0)+AB459*AC459)/(IFERROR(T459,0)+IFERROR(W459,0)+IFERROR(Z459,0)+AC459),AB459))</f>
        <v/>
      </c>
      <c r="AE459" s="27" t="str">
        <f aca="false">IF(AB459="","",IF(U459="",0,U459)+IF(X459="",0,X459)+IF(AA459="",0,AA459)+IFERROR((AB459-K459)*IF(F459="Sell",-1,1)*R459*AC459*IF(ISNUMBER(SEARCH("JPY",E459)),1000,IF(ISNUMBER(SEARCH("XAU",E459)),100,IF(OR(ISNUMBER(SEARCH("30",E459)),ISNUMBER(SEARCH("500",E459)),ISNUMBER(SEARCH("100",E459))),100,100000))),0))</f>
        <v/>
      </c>
      <c r="AF459" s="31" t="str">
        <f aca="false">IF(OR(K459="",M459="",L459=""),"",IFERROR(ABS(M459-K459)/ABS(K459-L459),0))</f>
        <v/>
      </c>
      <c r="AG459" s="31" t="str">
        <f aca="false">IF(OR(AE459="",AE459=0,Q459=0,Q459=""),"",IFERROR(AE459/Q459,0))</f>
        <v/>
      </c>
      <c r="AH459" s="32" t="str">
        <f aca="false">IF(AB459="","Open",IF(AG459="","Open",IF(AG459&gt;0.1,"Win",IF(AG459&lt;-0.1,"Loss","Breakeven"))))</f>
        <v>Open</v>
      </c>
      <c r="AI459" s="33" t="str">
        <f aca="false">IF(OR(B459="",D459=""),"",D459-B459)</f>
        <v/>
      </c>
      <c r="AJ459" s="24" t="str">
        <f aca="false">IF(AD459="","",IFERROR((AD459-K459)*IF(F459="Sell",-1,1)/IF(ISNUMBER(SEARCH("JPY",E459)),0.01,IF(ISNUMBER(SEARCH("XAU",E459)),0.01,IF(OR(ISNUMBER(SEARCH("30",E459)),ISNUMBER(SEARCH("500",E459)),ISNUMBER(SEARCH("100",E459))),1,0.0001))),0))</f>
        <v/>
      </c>
      <c r="AK459" s="12"/>
      <c r="AL459" s="12"/>
      <c r="AM459" s="12"/>
      <c r="AN459" s="12"/>
      <c r="AO459" s="27" t="str">
        <f aca="false">IF(AE459="","",IFERROR(IF(AO458="",SETTINGS!$B$6,AO458),SETTINGS!$B$6)+IF(AE459="",0,AE459))</f>
        <v/>
      </c>
      <c r="AP459" s="2"/>
    </row>
    <row r="460" customFormat="false" ht="15" hidden="false" customHeight="false" outlineLevel="0" collapsed="false">
      <c r="A460" s="24" t="str">
        <f aca="false">IF(B460="","",ROW()-3)</f>
        <v/>
      </c>
      <c r="B460" s="25"/>
      <c r="C460" s="10"/>
      <c r="D460" s="25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26"/>
      <c r="P460" s="24" t="str">
        <f aca="false">IF(K460="","",IFERROR(ABS(K460-L460)/IF(ISNUMBER(SEARCH("JPY",E460)),0.01,IF(ISNUMBER(SEARCH("XAU",E460)),0.01,IF(OR(ISNUMBER(SEARCH("30",E460)),ISNUMBER(SEARCH("500",E460)),ISNUMBER(SEARCH("100",E460))),1,0.0001))),0))</f>
        <v/>
      </c>
      <c r="Q460" s="27" t="str">
        <f aca="false">IF(K460="","",SETTINGS!$B$6*O460)</f>
        <v/>
      </c>
      <c r="R460" s="24" t="str">
        <f aca="false">IF(K460="","",IFERROR(Q460/(P460*IF(ISNUMBER(SEARCH("JPY",E460)),9.09,IF(ISNUMBER(SEARCH("XAU",E460)),1,IF(OR(ISNUMBER(SEARCH("30",E460)),ISNUMBER(SEARCH("500",E460)),ISNUMBER(SEARCH("100",E460))),1,10)))),0))</f>
        <v/>
      </c>
      <c r="S460" s="10"/>
      <c r="T460" s="28"/>
      <c r="U460" s="27" t="str">
        <f aca="false">IF(OR(S460="",T460=0),"",IFERROR((S460-K460)*IF(F460="Sell",-1,1)*R460*T460*IF(ISNUMBER(SEARCH("JPY",E460)),1000,IF(ISNUMBER(SEARCH("XAU",E460)),100,IF(OR(ISNUMBER(SEARCH("30",E460)),ISNUMBER(SEARCH("500",E460)),ISNUMBER(SEARCH("100",E460))),100,100000))),0))</f>
        <v/>
      </c>
      <c r="V460" s="10"/>
      <c r="W460" s="28"/>
      <c r="X460" s="27" t="str">
        <f aca="false">IF(OR(V460="",W460=0),"",IFERROR((V460-K460)*IF(F460="Sell",-1,1)*R460*W460*IF(ISNUMBER(SEARCH("JPY",E460)),1000,IF(ISNUMBER(SEARCH("XAU",E460)),100,IF(OR(ISNUMBER(SEARCH("30",E460)),ISNUMBER(SEARCH("500",E460)),ISNUMBER(SEARCH("100",E460))),100,100000))),0))</f>
        <v/>
      </c>
      <c r="Y460" s="10"/>
      <c r="Z460" s="28"/>
      <c r="AA460" s="27" t="str">
        <f aca="false">IF(OR(Y460="",Z460=0),"",IFERROR((Y460-K460)*IF(F460="Sell",-1,1)*R460*Z460*IF(ISNUMBER(SEARCH("JPY",E460)),1000,IF(ISNUMBER(SEARCH("XAU",E460)),100,IF(OR(ISNUMBER(SEARCH("30",E460)),ISNUMBER(SEARCH("500",E460)),ISNUMBER(SEARCH("100",E460))),100,100000))),0))</f>
        <v/>
      </c>
      <c r="AB460" s="10"/>
      <c r="AC460" s="29" t="str">
        <f aca="false">IF(K460="","",1-IFERROR(T460,0)-IFERROR(W460,0)-IFERROR(Z460,0))</f>
        <v/>
      </c>
      <c r="AD460" s="30" t="str">
        <f aca="false">IF(AB460="","",IFERROR((IFERROR(S460*T460,0)+IFERROR(V460*W460,0)+IFERROR(Y460*Z460,0)+AB460*AC460)/(IFERROR(T460,0)+IFERROR(W460,0)+IFERROR(Z460,0)+AC460),AB460))</f>
        <v/>
      </c>
      <c r="AE460" s="27" t="str">
        <f aca="false">IF(AB460="","",IF(U460="",0,U460)+IF(X460="",0,X460)+IF(AA460="",0,AA460)+IFERROR((AB460-K460)*IF(F460="Sell",-1,1)*R460*AC460*IF(ISNUMBER(SEARCH("JPY",E460)),1000,IF(ISNUMBER(SEARCH("XAU",E460)),100,IF(OR(ISNUMBER(SEARCH("30",E460)),ISNUMBER(SEARCH("500",E460)),ISNUMBER(SEARCH("100",E460))),100,100000))),0))</f>
        <v/>
      </c>
      <c r="AF460" s="31" t="str">
        <f aca="false">IF(OR(K460="",M460="",L460=""),"",IFERROR(ABS(M460-K460)/ABS(K460-L460),0))</f>
        <v/>
      </c>
      <c r="AG460" s="31" t="str">
        <f aca="false">IF(OR(AE460="",AE460=0,Q460=0,Q460=""),"",IFERROR(AE460/Q460,0))</f>
        <v/>
      </c>
      <c r="AH460" s="32" t="str">
        <f aca="false">IF(AB460="","Open",IF(AG460="","Open",IF(AG460&gt;0.1,"Win",IF(AG460&lt;-0.1,"Loss","Breakeven"))))</f>
        <v>Open</v>
      </c>
      <c r="AI460" s="33" t="str">
        <f aca="false">IF(OR(B460="",D460=""),"",D460-B460)</f>
        <v/>
      </c>
      <c r="AJ460" s="24" t="str">
        <f aca="false">IF(AD460="","",IFERROR((AD460-K460)*IF(F460="Sell",-1,1)/IF(ISNUMBER(SEARCH("JPY",E460)),0.01,IF(ISNUMBER(SEARCH("XAU",E460)),0.01,IF(OR(ISNUMBER(SEARCH("30",E460)),ISNUMBER(SEARCH("500",E460)),ISNUMBER(SEARCH("100",E460))),1,0.0001))),0))</f>
        <v/>
      </c>
      <c r="AK460" s="10"/>
      <c r="AL460" s="10"/>
      <c r="AM460" s="10"/>
      <c r="AN460" s="10"/>
      <c r="AO460" s="27" t="str">
        <f aca="false">IF(AE460="","",IFERROR(IF(AO459="",SETTINGS!$B$6,AO459),SETTINGS!$B$6)+IF(AE460="",0,AE460))</f>
        <v/>
      </c>
      <c r="AP460" s="2"/>
    </row>
    <row r="461" customFormat="false" ht="15" hidden="false" customHeight="false" outlineLevel="0" collapsed="false">
      <c r="A461" s="24" t="str">
        <f aca="false">IF(B461="","",ROW()-3)</f>
        <v/>
      </c>
      <c r="B461" s="34"/>
      <c r="C461" s="12"/>
      <c r="D461" s="34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35"/>
      <c r="P461" s="24" t="str">
        <f aca="false">IF(K461="","",IFERROR(ABS(K461-L461)/IF(ISNUMBER(SEARCH("JPY",E461)),0.01,IF(ISNUMBER(SEARCH("XAU",E461)),0.01,IF(OR(ISNUMBER(SEARCH("30",E461)),ISNUMBER(SEARCH("500",E461)),ISNUMBER(SEARCH("100",E461))),1,0.0001))),0))</f>
        <v/>
      </c>
      <c r="Q461" s="27" t="str">
        <f aca="false">IF(K461="","",SETTINGS!$B$6*O461)</f>
        <v/>
      </c>
      <c r="R461" s="24" t="str">
        <f aca="false">IF(K461="","",IFERROR(Q461/(P461*IF(ISNUMBER(SEARCH("JPY",E461)),9.09,IF(ISNUMBER(SEARCH("XAU",E461)),1,IF(OR(ISNUMBER(SEARCH("30",E461)),ISNUMBER(SEARCH("500",E461)),ISNUMBER(SEARCH("100",E461))),1,10)))),0))</f>
        <v/>
      </c>
      <c r="S461" s="12"/>
      <c r="T461" s="36"/>
      <c r="U461" s="27" t="str">
        <f aca="false">IF(OR(S461="",T461=0),"",IFERROR((S461-K461)*IF(F461="Sell",-1,1)*R461*T461*IF(ISNUMBER(SEARCH("JPY",E461)),1000,IF(ISNUMBER(SEARCH("XAU",E461)),100,IF(OR(ISNUMBER(SEARCH("30",E461)),ISNUMBER(SEARCH("500",E461)),ISNUMBER(SEARCH("100",E461))),100,100000))),0))</f>
        <v/>
      </c>
      <c r="V461" s="12"/>
      <c r="W461" s="36"/>
      <c r="X461" s="27" t="str">
        <f aca="false">IF(OR(V461="",W461=0),"",IFERROR((V461-K461)*IF(F461="Sell",-1,1)*R461*W461*IF(ISNUMBER(SEARCH("JPY",E461)),1000,IF(ISNUMBER(SEARCH("XAU",E461)),100,IF(OR(ISNUMBER(SEARCH("30",E461)),ISNUMBER(SEARCH("500",E461)),ISNUMBER(SEARCH("100",E461))),100,100000))),0))</f>
        <v/>
      </c>
      <c r="Y461" s="12"/>
      <c r="Z461" s="36"/>
      <c r="AA461" s="27" t="str">
        <f aca="false">IF(OR(Y461="",Z461=0),"",IFERROR((Y461-K461)*IF(F461="Sell",-1,1)*R461*Z461*IF(ISNUMBER(SEARCH("JPY",E461)),1000,IF(ISNUMBER(SEARCH("XAU",E461)),100,IF(OR(ISNUMBER(SEARCH("30",E461)),ISNUMBER(SEARCH("500",E461)),ISNUMBER(SEARCH("100",E461))),100,100000))),0))</f>
        <v/>
      </c>
      <c r="AB461" s="12"/>
      <c r="AC461" s="29" t="str">
        <f aca="false">IF(K461="","",1-IFERROR(T461,0)-IFERROR(W461,0)-IFERROR(Z461,0))</f>
        <v/>
      </c>
      <c r="AD461" s="30" t="str">
        <f aca="false">IF(AB461="","",IFERROR((IFERROR(S461*T461,0)+IFERROR(V461*W461,0)+IFERROR(Y461*Z461,0)+AB461*AC461)/(IFERROR(T461,0)+IFERROR(W461,0)+IFERROR(Z461,0)+AC461),AB461))</f>
        <v/>
      </c>
      <c r="AE461" s="27" t="str">
        <f aca="false">IF(AB461="","",IF(U461="",0,U461)+IF(X461="",0,X461)+IF(AA461="",0,AA461)+IFERROR((AB461-K461)*IF(F461="Sell",-1,1)*R461*AC461*IF(ISNUMBER(SEARCH("JPY",E461)),1000,IF(ISNUMBER(SEARCH("XAU",E461)),100,IF(OR(ISNUMBER(SEARCH("30",E461)),ISNUMBER(SEARCH("500",E461)),ISNUMBER(SEARCH("100",E461))),100,100000))),0))</f>
        <v/>
      </c>
      <c r="AF461" s="31" t="str">
        <f aca="false">IF(OR(K461="",M461="",L461=""),"",IFERROR(ABS(M461-K461)/ABS(K461-L461),0))</f>
        <v/>
      </c>
      <c r="AG461" s="31" t="str">
        <f aca="false">IF(OR(AE461="",AE461=0,Q461=0,Q461=""),"",IFERROR(AE461/Q461,0))</f>
        <v/>
      </c>
      <c r="AH461" s="32" t="str">
        <f aca="false">IF(AB461="","Open",IF(AG461="","Open",IF(AG461&gt;0.1,"Win",IF(AG461&lt;-0.1,"Loss","Breakeven"))))</f>
        <v>Open</v>
      </c>
      <c r="AI461" s="33" t="str">
        <f aca="false">IF(OR(B461="",D461=""),"",D461-B461)</f>
        <v/>
      </c>
      <c r="AJ461" s="24" t="str">
        <f aca="false">IF(AD461="","",IFERROR((AD461-K461)*IF(F461="Sell",-1,1)/IF(ISNUMBER(SEARCH("JPY",E461)),0.01,IF(ISNUMBER(SEARCH("XAU",E461)),0.01,IF(OR(ISNUMBER(SEARCH("30",E461)),ISNUMBER(SEARCH("500",E461)),ISNUMBER(SEARCH("100",E461))),1,0.0001))),0))</f>
        <v/>
      </c>
      <c r="AK461" s="12"/>
      <c r="AL461" s="12"/>
      <c r="AM461" s="12"/>
      <c r="AN461" s="12"/>
      <c r="AO461" s="27" t="str">
        <f aca="false">IF(AE461="","",IFERROR(IF(AO460="",SETTINGS!$B$6,AO460),SETTINGS!$B$6)+IF(AE461="",0,AE461))</f>
        <v/>
      </c>
      <c r="AP461" s="2"/>
    </row>
    <row r="462" customFormat="false" ht="15" hidden="false" customHeight="false" outlineLevel="0" collapsed="false">
      <c r="A462" s="24" t="str">
        <f aca="false">IF(B462="","",ROW()-3)</f>
        <v/>
      </c>
      <c r="B462" s="25"/>
      <c r="C462" s="10"/>
      <c r="D462" s="25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26"/>
      <c r="P462" s="24" t="str">
        <f aca="false">IF(K462="","",IFERROR(ABS(K462-L462)/IF(ISNUMBER(SEARCH("JPY",E462)),0.01,IF(ISNUMBER(SEARCH("XAU",E462)),0.01,IF(OR(ISNUMBER(SEARCH("30",E462)),ISNUMBER(SEARCH("500",E462)),ISNUMBER(SEARCH("100",E462))),1,0.0001))),0))</f>
        <v/>
      </c>
      <c r="Q462" s="27" t="str">
        <f aca="false">IF(K462="","",SETTINGS!$B$6*O462)</f>
        <v/>
      </c>
      <c r="R462" s="24" t="str">
        <f aca="false">IF(K462="","",IFERROR(Q462/(P462*IF(ISNUMBER(SEARCH("JPY",E462)),9.09,IF(ISNUMBER(SEARCH("XAU",E462)),1,IF(OR(ISNUMBER(SEARCH("30",E462)),ISNUMBER(SEARCH("500",E462)),ISNUMBER(SEARCH("100",E462))),1,10)))),0))</f>
        <v/>
      </c>
      <c r="S462" s="10"/>
      <c r="T462" s="28"/>
      <c r="U462" s="27" t="str">
        <f aca="false">IF(OR(S462="",T462=0),"",IFERROR((S462-K462)*IF(F462="Sell",-1,1)*R462*T462*IF(ISNUMBER(SEARCH("JPY",E462)),1000,IF(ISNUMBER(SEARCH("XAU",E462)),100,IF(OR(ISNUMBER(SEARCH("30",E462)),ISNUMBER(SEARCH("500",E462)),ISNUMBER(SEARCH("100",E462))),100,100000))),0))</f>
        <v/>
      </c>
      <c r="V462" s="10"/>
      <c r="W462" s="28"/>
      <c r="X462" s="27" t="str">
        <f aca="false">IF(OR(V462="",W462=0),"",IFERROR((V462-K462)*IF(F462="Sell",-1,1)*R462*W462*IF(ISNUMBER(SEARCH("JPY",E462)),1000,IF(ISNUMBER(SEARCH("XAU",E462)),100,IF(OR(ISNUMBER(SEARCH("30",E462)),ISNUMBER(SEARCH("500",E462)),ISNUMBER(SEARCH("100",E462))),100,100000))),0))</f>
        <v/>
      </c>
      <c r="Y462" s="10"/>
      <c r="Z462" s="28"/>
      <c r="AA462" s="27" t="str">
        <f aca="false">IF(OR(Y462="",Z462=0),"",IFERROR((Y462-K462)*IF(F462="Sell",-1,1)*R462*Z462*IF(ISNUMBER(SEARCH("JPY",E462)),1000,IF(ISNUMBER(SEARCH("XAU",E462)),100,IF(OR(ISNUMBER(SEARCH("30",E462)),ISNUMBER(SEARCH("500",E462)),ISNUMBER(SEARCH("100",E462))),100,100000))),0))</f>
        <v/>
      </c>
      <c r="AB462" s="10"/>
      <c r="AC462" s="29" t="str">
        <f aca="false">IF(K462="","",1-IFERROR(T462,0)-IFERROR(W462,0)-IFERROR(Z462,0))</f>
        <v/>
      </c>
      <c r="AD462" s="30" t="str">
        <f aca="false">IF(AB462="","",IFERROR((IFERROR(S462*T462,0)+IFERROR(V462*W462,0)+IFERROR(Y462*Z462,0)+AB462*AC462)/(IFERROR(T462,0)+IFERROR(W462,0)+IFERROR(Z462,0)+AC462),AB462))</f>
        <v/>
      </c>
      <c r="AE462" s="27" t="str">
        <f aca="false">IF(AB462="","",IF(U462="",0,U462)+IF(X462="",0,X462)+IF(AA462="",0,AA462)+IFERROR((AB462-K462)*IF(F462="Sell",-1,1)*R462*AC462*IF(ISNUMBER(SEARCH("JPY",E462)),1000,IF(ISNUMBER(SEARCH("XAU",E462)),100,IF(OR(ISNUMBER(SEARCH("30",E462)),ISNUMBER(SEARCH("500",E462)),ISNUMBER(SEARCH("100",E462))),100,100000))),0))</f>
        <v/>
      </c>
      <c r="AF462" s="31" t="str">
        <f aca="false">IF(OR(K462="",M462="",L462=""),"",IFERROR(ABS(M462-K462)/ABS(K462-L462),0))</f>
        <v/>
      </c>
      <c r="AG462" s="31" t="str">
        <f aca="false">IF(OR(AE462="",AE462=0,Q462=0,Q462=""),"",IFERROR(AE462/Q462,0))</f>
        <v/>
      </c>
      <c r="AH462" s="32" t="str">
        <f aca="false">IF(AB462="","Open",IF(AG462="","Open",IF(AG462&gt;0.1,"Win",IF(AG462&lt;-0.1,"Loss","Breakeven"))))</f>
        <v>Open</v>
      </c>
      <c r="AI462" s="33" t="str">
        <f aca="false">IF(OR(B462="",D462=""),"",D462-B462)</f>
        <v/>
      </c>
      <c r="AJ462" s="24" t="str">
        <f aca="false">IF(AD462="","",IFERROR((AD462-K462)*IF(F462="Sell",-1,1)/IF(ISNUMBER(SEARCH("JPY",E462)),0.01,IF(ISNUMBER(SEARCH("XAU",E462)),0.01,IF(OR(ISNUMBER(SEARCH("30",E462)),ISNUMBER(SEARCH("500",E462)),ISNUMBER(SEARCH("100",E462))),1,0.0001))),0))</f>
        <v/>
      </c>
      <c r="AK462" s="10"/>
      <c r="AL462" s="10"/>
      <c r="AM462" s="10"/>
      <c r="AN462" s="10"/>
      <c r="AO462" s="27" t="str">
        <f aca="false">IF(AE462="","",IFERROR(IF(AO461="",SETTINGS!$B$6,AO461),SETTINGS!$B$6)+IF(AE462="",0,AE462))</f>
        <v/>
      </c>
      <c r="AP462" s="2"/>
    </row>
    <row r="463" customFormat="false" ht="15" hidden="false" customHeight="false" outlineLevel="0" collapsed="false">
      <c r="A463" s="24" t="str">
        <f aca="false">IF(B463="","",ROW()-3)</f>
        <v/>
      </c>
      <c r="B463" s="34"/>
      <c r="C463" s="12"/>
      <c r="D463" s="34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35"/>
      <c r="P463" s="24" t="str">
        <f aca="false">IF(K463="","",IFERROR(ABS(K463-L463)/IF(ISNUMBER(SEARCH("JPY",E463)),0.01,IF(ISNUMBER(SEARCH("XAU",E463)),0.01,IF(OR(ISNUMBER(SEARCH("30",E463)),ISNUMBER(SEARCH("500",E463)),ISNUMBER(SEARCH("100",E463))),1,0.0001))),0))</f>
        <v/>
      </c>
      <c r="Q463" s="27" t="str">
        <f aca="false">IF(K463="","",SETTINGS!$B$6*O463)</f>
        <v/>
      </c>
      <c r="R463" s="24" t="str">
        <f aca="false">IF(K463="","",IFERROR(Q463/(P463*IF(ISNUMBER(SEARCH("JPY",E463)),9.09,IF(ISNUMBER(SEARCH("XAU",E463)),1,IF(OR(ISNUMBER(SEARCH("30",E463)),ISNUMBER(SEARCH("500",E463)),ISNUMBER(SEARCH("100",E463))),1,10)))),0))</f>
        <v/>
      </c>
      <c r="S463" s="12"/>
      <c r="T463" s="36"/>
      <c r="U463" s="27" t="str">
        <f aca="false">IF(OR(S463="",T463=0),"",IFERROR((S463-K463)*IF(F463="Sell",-1,1)*R463*T463*IF(ISNUMBER(SEARCH("JPY",E463)),1000,IF(ISNUMBER(SEARCH("XAU",E463)),100,IF(OR(ISNUMBER(SEARCH("30",E463)),ISNUMBER(SEARCH("500",E463)),ISNUMBER(SEARCH("100",E463))),100,100000))),0))</f>
        <v/>
      </c>
      <c r="V463" s="12"/>
      <c r="W463" s="36"/>
      <c r="X463" s="27" t="str">
        <f aca="false">IF(OR(V463="",W463=0),"",IFERROR((V463-K463)*IF(F463="Sell",-1,1)*R463*W463*IF(ISNUMBER(SEARCH("JPY",E463)),1000,IF(ISNUMBER(SEARCH("XAU",E463)),100,IF(OR(ISNUMBER(SEARCH("30",E463)),ISNUMBER(SEARCH("500",E463)),ISNUMBER(SEARCH("100",E463))),100,100000))),0))</f>
        <v/>
      </c>
      <c r="Y463" s="12"/>
      <c r="Z463" s="36"/>
      <c r="AA463" s="27" t="str">
        <f aca="false">IF(OR(Y463="",Z463=0),"",IFERROR((Y463-K463)*IF(F463="Sell",-1,1)*R463*Z463*IF(ISNUMBER(SEARCH("JPY",E463)),1000,IF(ISNUMBER(SEARCH("XAU",E463)),100,IF(OR(ISNUMBER(SEARCH("30",E463)),ISNUMBER(SEARCH("500",E463)),ISNUMBER(SEARCH("100",E463))),100,100000))),0))</f>
        <v/>
      </c>
      <c r="AB463" s="12"/>
      <c r="AC463" s="29" t="str">
        <f aca="false">IF(K463="","",1-IFERROR(T463,0)-IFERROR(W463,0)-IFERROR(Z463,0))</f>
        <v/>
      </c>
      <c r="AD463" s="30" t="str">
        <f aca="false">IF(AB463="","",IFERROR((IFERROR(S463*T463,0)+IFERROR(V463*W463,0)+IFERROR(Y463*Z463,0)+AB463*AC463)/(IFERROR(T463,0)+IFERROR(W463,0)+IFERROR(Z463,0)+AC463),AB463))</f>
        <v/>
      </c>
      <c r="AE463" s="27" t="str">
        <f aca="false">IF(AB463="","",IF(U463="",0,U463)+IF(X463="",0,X463)+IF(AA463="",0,AA463)+IFERROR((AB463-K463)*IF(F463="Sell",-1,1)*R463*AC463*IF(ISNUMBER(SEARCH("JPY",E463)),1000,IF(ISNUMBER(SEARCH("XAU",E463)),100,IF(OR(ISNUMBER(SEARCH("30",E463)),ISNUMBER(SEARCH("500",E463)),ISNUMBER(SEARCH("100",E463))),100,100000))),0))</f>
        <v/>
      </c>
      <c r="AF463" s="31" t="str">
        <f aca="false">IF(OR(K463="",M463="",L463=""),"",IFERROR(ABS(M463-K463)/ABS(K463-L463),0))</f>
        <v/>
      </c>
      <c r="AG463" s="31" t="str">
        <f aca="false">IF(OR(AE463="",AE463=0,Q463=0,Q463=""),"",IFERROR(AE463/Q463,0))</f>
        <v/>
      </c>
      <c r="AH463" s="32" t="str">
        <f aca="false">IF(AB463="","Open",IF(AG463="","Open",IF(AG463&gt;0.1,"Win",IF(AG463&lt;-0.1,"Loss","Breakeven"))))</f>
        <v>Open</v>
      </c>
      <c r="AI463" s="33" t="str">
        <f aca="false">IF(OR(B463="",D463=""),"",D463-B463)</f>
        <v/>
      </c>
      <c r="AJ463" s="24" t="str">
        <f aca="false">IF(AD463="","",IFERROR((AD463-K463)*IF(F463="Sell",-1,1)/IF(ISNUMBER(SEARCH("JPY",E463)),0.01,IF(ISNUMBER(SEARCH("XAU",E463)),0.01,IF(OR(ISNUMBER(SEARCH("30",E463)),ISNUMBER(SEARCH("500",E463)),ISNUMBER(SEARCH("100",E463))),1,0.0001))),0))</f>
        <v/>
      </c>
      <c r="AK463" s="12"/>
      <c r="AL463" s="12"/>
      <c r="AM463" s="12"/>
      <c r="AN463" s="12"/>
      <c r="AO463" s="27" t="str">
        <f aca="false">IF(AE463="","",IFERROR(IF(AO462="",SETTINGS!$B$6,AO462),SETTINGS!$B$6)+IF(AE463="",0,AE463))</f>
        <v/>
      </c>
      <c r="AP463" s="2"/>
    </row>
    <row r="464" customFormat="false" ht="15" hidden="false" customHeight="false" outlineLevel="0" collapsed="false">
      <c r="A464" s="24" t="str">
        <f aca="false">IF(B464="","",ROW()-3)</f>
        <v/>
      </c>
      <c r="B464" s="25"/>
      <c r="C464" s="10"/>
      <c r="D464" s="25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26"/>
      <c r="P464" s="24" t="str">
        <f aca="false">IF(K464="","",IFERROR(ABS(K464-L464)/IF(ISNUMBER(SEARCH("JPY",E464)),0.01,IF(ISNUMBER(SEARCH("XAU",E464)),0.01,IF(OR(ISNUMBER(SEARCH("30",E464)),ISNUMBER(SEARCH("500",E464)),ISNUMBER(SEARCH("100",E464))),1,0.0001))),0))</f>
        <v/>
      </c>
      <c r="Q464" s="27" t="str">
        <f aca="false">IF(K464="","",SETTINGS!$B$6*O464)</f>
        <v/>
      </c>
      <c r="R464" s="24" t="str">
        <f aca="false">IF(K464="","",IFERROR(Q464/(P464*IF(ISNUMBER(SEARCH("JPY",E464)),9.09,IF(ISNUMBER(SEARCH("XAU",E464)),1,IF(OR(ISNUMBER(SEARCH("30",E464)),ISNUMBER(SEARCH("500",E464)),ISNUMBER(SEARCH("100",E464))),1,10)))),0))</f>
        <v/>
      </c>
      <c r="S464" s="10"/>
      <c r="T464" s="28"/>
      <c r="U464" s="27" t="str">
        <f aca="false">IF(OR(S464="",T464=0),"",IFERROR((S464-K464)*IF(F464="Sell",-1,1)*R464*T464*IF(ISNUMBER(SEARCH("JPY",E464)),1000,IF(ISNUMBER(SEARCH("XAU",E464)),100,IF(OR(ISNUMBER(SEARCH("30",E464)),ISNUMBER(SEARCH("500",E464)),ISNUMBER(SEARCH("100",E464))),100,100000))),0))</f>
        <v/>
      </c>
      <c r="V464" s="10"/>
      <c r="W464" s="28"/>
      <c r="X464" s="27" t="str">
        <f aca="false">IF(OR(V464="",W464=0),"",IFERROR((V464-K464)*IF(F464="Sell",-1,1)*R464*W464*IF(ISNUMBER(SEARCH("JPY",E464)),1000,IF(ISNUMBER(SEARCH("XAU",E464)),100,IF(OR(ISNUMBER(SEARCH("30",E464)),ISNUMBER(SEARCH("500",E464)),ISNUMBER(SEARCH("100",E464))),100,100000))),0))</f>
        <v/>
      </c>
      <c r="Y464" s="10"/>
      <c r="Z464" s="28"/>
      <c r="AA464" s="27" t="str">
        <f aca="false">IF(OR(Y464="",Z464=0),"",IFERROR((Y464-K464)*IF(F464="Sell",-1,1)*R464*Z464*IF(ISNUMBER(SEARCH("JPY",E464)),1000,IF(ISNUMBER(SEARCH("XAU",E464)),100,IF(OR(ISNUMBER(SEARCH("30",E464)),ISNUMBER(SEARCH("500",E464)),ISNUMBER(SEARCH("100",E464))),100,100000))),0))</f>
        <v/>
      </c>
      <c r="AB464" s="10"/>
      <c r="AC464" s="29" t="str">
        <f aca="false">IF(K464="","",1-IFERROR(T464,0)-IFERROR(W464,0)-IFERROR(Z464,0))</f>
        <v/>
      </c>
      <c r="AD464" s="30" t="str">
        <f aca="false">IF(AB464="","",IFERROR((IFERROR(S464*T464,0)+IFERROR(V464*W464,0)+IFERROR(Y464*Z464,0)+AB464*AC464)/(IFERROR(T464,0)+IFERROR(W464,0)+IFERROR(Z464,0)+AC464),AB464))</f>
        <v/>
      </c>
      <c r="AE464" s="27" t="str">
        <f aca="false">IF(AB464="","",IF(U464="",0,U464)+IF(X464="",0,X464)+IF(AA464="",0,AA464)+IFERROR((AB464-K464)*IF(F464="Sell",-1,1)*R464*AC464*IF(ISNUMBER(SEARCH("JPY",E464)),1000,IF(ISNUMBER(SEARCH("XAU",E464)),100,IF(OR(ISNUMBER(SEARCH("30",E464)),ISNUMBER(SEARCH("500",E464)),ISNUMBER(SEARCH("100",E464))),100,100000))),0))</f>
        <v/>
      </c>
      <c r="AF464" s="31" t="str">
        <f aca="false">IF(OR(K464="",M464="",L464=""),"",IFERROR(ABS(M464-K464)/ABS(K464-L464),0))</f>
        <v/>
      </c>
      <c r="AG464" s="31" t="str">
        <f aca="false">IF(OR(AE464="",AE464=0,Q464=0,Q464=""),"",IFERROR(AE464/Q464,0))</f>
        <v/>
      </c>
      <c r="AH464" s="32" t="str">
        <f aca="false">IF(AB464="","Open",IF(AG464="","Open",IF(AG464&gt;0.1,"Win",IF(AG464&lt;-0.1,"Loss","Breakeven"))))</f>
        <v>Open</v>
      </c>
      <c r="AI464" s="33" t="str">
        <f aca="false">IF(OR(B464="",D464=""),"",D464-B464)</f>
        <v/>
      </c>
      <c r="AJ464" s="24" t="str">
        <f aca="false">IF(AD464="","",IFERROR((AD464-K464)*IF(F464="Sell",-1,1)/IF(ISNUMBER(SEARCH("JPY",E464)),0.01,IF(ISNUMBER(SEARCH("XAU",E464)),0.01,IF(OR(ISNUMBER(SEARCH("30",E464)),ISNUMBER(SEARCH("500",E464)),ISNUMBER(SEARCH("100",E464))),1,0.0001))),0))</f>
        <v/>
      </c>
      <c r="AK464" s="10"/>
      <c r="AL464" s="10"/>
      <c r="AM464" s="10"/>
      <c r="AN464" s="10"/>
      <c r="AO464" s="27" t="str">
        <f aca="false">IF(AE464="","",IFERROR(IF(AO463="",SETTINGS!$B$6,AO463),SETTINGS!$B$6)+IF(AE464="",0,AE464))</f>
        <v/>
      </c>
      <c r="AP464" s="2"/>
    </row>
    <row r="465" customFormat="false" ht="15" hidden="false" customHeight="false" outlineLevel="0" collapsed="false">
      <c r="A465" s="24" t="str">
        <f aca="false">IF(B465="","",ROW()-3)</f>
        <v/>
      </c>
      <c r="B465" s="34"/>
      <c r="C465" s="12"/>
      <c r="D465" s="34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35"/>
      <c r="P465" s="24" t="str">
        <f aca="false">IF(K465="","",IFERROR(ABS(K465-L465)/IF(ISNUMBER(SEARCH("JPY",E465)),0.01,IF(ISNUMBER(SEARCH("XAU",E465)),0.01,IF(OR(ISNUMBER(SEARCH("30",E465)),ISNUMBER(SEARCH("500",E465)),ISNUMBER(SEARCH("100",E465))),1,0.0001))),0))</f>
        <v/>
      </c>
      <c r="Q465" s="27" t="str">
        <f aca="false">IF(K465="","",SETTINGS!$B$6*O465)</f>
        <v/>
      </c>
      <c r="R465" s="24" t="str">
        <f aca="false">IF(K465="","",IFERROR(Q465/(P465*IF(ISNUMBER(SEARCH("JPY",E465)),9.09,IF(ISNUMBER(SEARCH("XAU",E465)),1,IF(OR(ISNUMBER(SEARCH("30",E465)),ISNUMBER(SEARCH("500",E465)),ISNUMBER(SEARCH("100",E465))),1,10)))),0))</f>
        <v/>
      </c>
      <c r="S465" s="12"/>
      <c r="T465" s="36"/>
      <c r="U465" s="27" t="str">
        <f aca="false">IF(OR(S465="",T465=0),"",IFERROR((S465-K465)*IF(F465="Sell",-1,1)*R465*T465*IF(ISNUMBER(SEARCH("JPY",E465)),1000,IF(ISNUMBER(SEARCH("XAU",E465)),100,IF(OR(ISNUMBER(SEARCH("30",E465)),ISNUMBER(SEARCH("500",E465)),ISNUMBER(SEARCH("100",E465))),100,100000))),0))</f>
        <v/>
      </c>
      <c r="V465" s="12"/>
      <c r="W465" s="36"/>
      <c r="X465" s="27" t="str">
        <f aca="false">IF(OR(V465="",W465=0),"",IFERROR((V465-K465)*IF(F465="Sell",-1,1)*R465*W465*IF(ISNUMBER(SEARCH("JPY",E465)),1000,IF(ISNUMBER(SEARCH("XAU",E465)),100,IF(OR(ISNUMBER(SEARCH("30",E465)),ISNUMBER(SEARCH("500",E465)),ISNUMBER(SEARCH("100",E465))),100,100000))),0))</f>
        <v/>
      </c>
      <c r="Y465" s="12"/>
      <c r="Z465" s="36"/>
      <c r="AA465" s="27" t="str">
        <f aca="false">IF(OR(Y465="",Z465=0),"",IFERROR((Y465-K465)*IF(F465="Sell",-1,1)*R465*Z465*IF(ISNUMBER(SEARCH("JPY",E465)),1000,IF(ISNUMBER(SEARCH("XAU",E465)),100,IF(OR(ISNUMBER(SEARCH("30",E465)),ISNUMBER(SEARCH("500",E465)),ISNUMBER(SEARCH("100",E465))),100,100000))),0))</f>
        <v/>
      </c>
      <c r="AB465" s="12"/>
      <c r="AC465" s="29" t="str">
        <f aca="false">IF(K465="","",1-IFERROR(T465,0)-IFERROR(W465,0)-IFERROR(Z465,0))</f>
        <v/>
      </c>
      <c r="AD465" s="30" t="str">
        <f aca="false">IF(AB465="","",IFERROR((IFERROR(S465*T465,0)+IFERROR(V465*W465,0)+IFERROR(Y465*Z465,0)+AB465*AC465)/(IFERROR(T465,0)+IFERROR(W465,0)+IFERROR(Z465,0)+AC465),AB465))</f>
        <v/>
      </c>
      <c r="AE465" s="27" t="str">
        <f aca="false">IF(AB465="","",IF(U465="",0,U465)+IF(X465="",0,X465)+IF(AA465="",0,AA465)+IFERROR((AB465-K465)*IF(F465="Sell",-1,1)*R465*AC465*IF(ISNUMBER(SEARCH("JPY",E465)),1000,IF(ISNUMBER(SEARCH("XAU",E465)),100,IF(OR(ISNUMBER(SEARCH("30",E465)),ISNUMBER(SEARCH("500",E465)),ISNUMBER(SEARCH("100",E465))),100,100000))),0))</f>
        <v/>
      </c>
      <c r="AF465" s="31" t="str">
        <f aca="false">IF(OR(K465="",M465="",L465=""),"",IFERROR(ABS(M465-K465)/ABS(K465-L465),0))</f>
        <v/>
      </c>
      <c r="AG465" s="31" t="str">
        <f aca="false">IF(OR(AE465="",AE465=0,Q465=0,Q465=""),"",IFERROR(AE465/Q465,0))</f>
        <v/>
      </c>
      <c r="AH465" s="32" t="str">
        <f aca="false">IF(AB465="","Open",IF(AG465="","Open",IF(AG465&gt;0.1,"Win",IF(AG465&lt;-0.1,"Loss","Breakeven"))))</f>
        <v>Open</v>
      </c>
      <c r="AI465" s="33" t="str">
        <f aca="false">IF(OR(B465="",D465=""),"",D465-B465)</f>
        <v/>
      </c>
      <c r="AJ465" s="24" t="str">
        <f aca="false">IF(AD465="","",IFERROR((AD465-K465)*IF(F465="Sell",-1,1)/IF(ISNUMBER(SEARCH("JPY",E465)),0.01,IF(ISNUMBER(SEARCH("XAU",E465)),0.01,IF(OR(ISNUMBER(SEARCH("30",E465)),ISNUMBER(SEARCH("500",E465)),ISNUMBER(SEARCH("100",E465))),1,0.0001))),0))</f>
        <v/>
      </c>
      <c r="AK465" s="12"/>
      <c r="AL465" s="12"/>
      <c r="AM465" s="12"/>
      <c r="AN465" s="12"/>
      <c r="AO465" s="27" t="str">
        <f aca="false">IF(AE465="","",IFERROR(IF(AO464="",SETTINGS!$B$6,AO464),SETTINGS!$B$6)+IF(AE465="",0,AE465))</f>
        <v/>
      </c>
      <c r="AP465" s="2"/>
    </row>
    <row r="466" customFormat="false" ht="15" hidden="false" customHeight="false" outlineLevel="0" collapsed="false">
      <c r="A466" s="24" t="str">
        <f aca="false">IF(B466="","",ROW()-3)</f>
        <v/>
      </c>
      <c r="B466" s="25"/>
      <c r="C466" s="10"/>
      <c r="D466" s="25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26"/>
      <c r="P466" s="24" t="str">
        <f aca="false">IF(K466="","",IFERROR(ABS(K466-L466)/IF(ISNUMBER(SEARCH("JPY",E466)),0.01,IF(ISNUMBER(SEARCH("XAU",E466)),0.01,IF(OR(ISNUMBER(SEARCH("30",E466)),ISNUMBER(SEARCH("500",E466)),ISNUMBER(SEARCH("100",E466))),1,0.0001))),0))</f>
        <v/>
      </c>
      <c r="Q466" s="27" t="str">
        <f aca="false">IF(K466="","",SETTINGS!$B$6*O466)</f>
        <v/>
      </c>
      <c r="R466" s="24" t="str">
        <f aca="false">IF(K466="","",IFERROR(Q466/(P466*IF(ISNUMBER(SEARCH("JPY",E466)),9.09,IF(ISNUMBER(SEARCH("XAU",E466)),1,IF(OR(ISNUMBER(SEARCH("30",E466)),ISNUMBER(SEARCH("500",E466)),ISNUMBER(SEARCH("100",E466))),1,10)))),0))</f>
        <v/>
      </c>
      <c r="S466" s="10"/>
      <c r="T466" s="28"/>
      <c r="U466" s="27" t="str">
        <f aca="false">IF(OR(S466="",T466=0),"",IFERROR((S466-K466)*IF(F466="Sell",-1,1)*R466*T466*IF(ISNUMBER(SEARCH("JPY",E466)),1000,IF(ISNUMBER(SEARCH("XAU",E466)),100,IF(OR(ISNUMBER(SEARCH("30",E466)),ISNUMBER(SEARCH("500",E466)),ISNUMBER(SEARCH("100",E466))),100,100000))),0))</f>
        <v/>
      </c>
      <c r="V466" s="10"/>
      <c r="W466" s="28"/>
      <c r="X466" s="27" t="str">
        <f aca="false">IF(OR(V466="",W466=0),"",IFERROR((V466-K466)*IF(F466="Sell",-1,1)*R466*W466*IF(ISNUMBER(SEARCH("JPY",E466)),1000,IF(ISNUMBER(SEARCH("XAU",E466)),100,IF(OR(ISNUMBER(SEARCH("30",E466)),ISNUMBER(SEARCH("500",E466)),ISNUMBER(SEARCH("100",E466))),100,100000))),0))</f>
        <v/>
      </c>
      <c r="Y466" s="10"/>
      <c r="Z466" s="28"/>
      <c r="AA466" s="27" t="str">
        <f aca="false">IF(OR(Y466="",Z466=0),"",IFERROR((Y466-K466)*IF(F466="Sell",-1,1)*R466*Z466*IF(ISNUMBER(SEARCH("JPY",E466)),1000,IF(ISNUMBER(SEARCH("XAU",E466)),100,IF(OR(ISNUMBER(SEARCH("30",E466)),ISNUMBER(SEARCH("500",E466)),ISNUMBER(SEARCH("100",E466))),100,100000))),0))</f>
        <v/>
      </c>
      <c r="AB466" s="10"/>
      <c r="AC466" s="29" t="str">
        <f aca="false">IF(K466="","",1-IFERROR(T466,0)-IFERROR(W466,0)-IFERROR(Z466,0))</f>
        <v/>
      </c>
      <c r="AD466" s="30" t="str">
        <f aca="false">IF(AB466="","",IFERROR((IFERROR(S466*T466,0)+IFERROR(V466*W466,0)+IFERROR(Y466*Z466,0)+AB466*AC466)/(IFERROR(T466,0)+IFERROR(W466,0)+IFERROR(Z466,0)+AC466),AB466))</f>
        <v/>
      </c>
      <c r="AE466" s="27" t="str">
        <f aca="false">IF(AB466="","",IF(U466="",0,U466)+IF(X466="",0,X466)+IF(AA466="",0,AA466)+IFERROR((AB466-K466)*IF(F466="Sell",-1,1)*R466*AC466*IF(ISNUMBER(SEARCH("JPY",E466)),1000,IF(ISNUMBER(SEARCH("XAU",E466)),100,IF(OR(ISNUMBER(SEARCH("30",E466)),ISNUMBER(SEARCH("500",E466)),ISNUMBER(SEARCH("100",E466))),100,100000))),0))</f>
        <v/>
      </c>
      <c r="AF466" s="31" t="str">
        <f aca="false">IF(OR(K466="",M466="",L466=""),"",IFERROR(ABS(M466-K466)/ABS(K466-L466),0))</f>
        <v/>
      </c>
      <c r="AG466" s="31" t="str">
        <f aca="false">IF(OR(AE466="",AE466=0,Q466=0,Q466=""),"",IFERROR(AE466/Q466,0))</f>
        <v/>
      </c>
      <c r="AH466" s="32" t="str">
        <f aca="false">IF(AB466="","Open",IF(AG466="","Open",IF(AG466&gt;0.1,"Win",IF(AG466&lt;-0.1,"Loss","Breakeven"))))</f>
        <v>Open</v>
      </c>
      <c r="AI466" s="33" t="str">
        <f aca="false">IF(OR(B466="",D466=""),"",D466-B466)</f>
        <v/>
      </c>
      <c r="AJ466" s="24" t="str">
        <f aca="false">IF(AD466="","",IFERROR((AD466-K466)*IF(F466="Sell",-1,1)/IF(ISNUMBER(SEARCH("JPY",E466)),0.01,IF(ISNUMBER(SEARCH("XAU",E466)),0.01,IF(OR(ISNUMBER(SEARCH("30",E466)),ISNUMBER(SEARCH("500",E466)),ISNUMBER(SEARCH("100",E466))),1,0.0001))),0))</f>
        <v/>
      </c>
      <c r="AK466" s="10"/>
      <c r="AL466" s="10"/>
      <c r="AM466" s="10"/>
      <c r="AN466" s="10"/>
      <c r="AO466" s="27" t="str">
        <f aca="false">IF(AE466="","",IFERROR(IF(AO465="",SETTINGS!$B$6,AO465),SETTINGS!$B$6)+IF(AE466="",0,AE466))</f>
        <v/>
      </c>
      <c r="AP466" s="2"/>
    </row>
    <row r="467" customFormat="false" ht="15" hidden="false" customHeight="false" outlineLevel="0" collapsed="false">
      <c r="A467" s="24" t="str">
        <f aca="false">IF(B467="","",ROW()-3)</f>
        <v/>
      </c>
      <c r="B467" s="34"/>
      <c r="C467" s="12"/>
      <c r="D467" s="34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35"/>
      <c r="P467" s="24" t="str">
        <f aca="false">IF(K467="","",IFERROR(ABS(K467-L467)/IF(ISNUMBER(SEARCH("JPY",E467)),0.01,IF(ISNUMBER(SEARCH("XAU",E467)),0.01,IF(OR(ISNUMBER(SEARCH("30",E467)),ISNUMBER(SEARCH("500",E467)),ISNUMBER(SEARCH("100",E467))),1,0.0001))),0))</f>
        <v/>
      </c>
      <c r="Q467" s="27" t="str">
        <f aca="false">IF(K467="","",SETTINGS!$B$6*O467)</f>
        <v/>
      </c>
      <c r="R467" s="24" t="str">
        <f aca="false">IF(K467="","",IFERROR(Q467/(P467*IF(ISNUMBER(SEARCH("JPY",E467)),9.09,IF(ISNUMBER(SEARCH("XAU",E467)),1,IF(OR(ISNUMBER(SEARCH("30",E467)),ISNUMBER(SEARCH("500",E467)),ISNUMBER(SEARCH("100",E467))),1,10)))),0))</f>
        <v/>
      </c>
      <c r="S467" s="12"/>
      <c r="T467" s="36"/>
      <c r="U467" s="27" t="str">
        <f aca="false">IF(OR(S467="",T467=0),"",IFERROR((S467-K467)*IF(F467="Sell",-1,1)*R467*T467*IF(ISNUMBER(SEARCH("JPY",E467)),1000,IF(ISNUMBER(SEARCH("XAU",E467)),100,IF(OR(ISNUMBER(SEARCH("30",E467)),ISNUMBER(SEARCH("500",E467)),ISNUMBER(SEARCH("100",E467))),100,100000))),0))</f>
        <v/>
      </c>
      <c r="V467" s="12"/>
      <c r="W467" s="36"/>
      <c r="X467" s="27" t="str">
        <f aca="false">IF(OR(V467="",W467=0),"",IFERROR((V467-K467)*IF(F467="Sell",-1,1)*R467*W467*IF(ISNUMBER(SEARCH("JPY",E467)),1000,IF(ISNUMBER(SEARCH("XAU",E467)),100,IF(OR(ISNUMBER(SEARCH("30",E467)),ISNUMBER(SEARCH("500",E467)),ISNUMBER(SEARCH("100",E467))),100,100000))),0))</f>
        <v/>
      </c>
      <c r="Y467" s="12"/>
      <c r="Z467" s="36"/>
      <c r="AA467" s="27" t="str">
        <f aca="false">IF(OR(Y467="",Z467=0),"",IFERROR((Y467-K467)*IF(F467="Sell",-1,1)*R467*Z467*IF(ISNUMBER(SEARCH("JPY",E467)),1000,IF(ISNUMBER(SEARCH("XAU",E467)),100,IF(OR(ISNUMBER(SEARCH("30",E467)),ISNUMBER(SEARCH("500",E467)),ISNUMBER(SEARCH("100",E467))),100,100000))),0))</f>
        <v/>
      </c>
      <c r="AB467" s="12"/>
      <c r="AC467" s="29" t="str">
        <f aca="false">IF(K467="","",1-IFERROR(T467,0)-IFERROR(W467,0)-IFERROR(Z467,0))</f>
        <v/>
      </c>
      <c r="AD467" s="30" t="str">
        <f aca="false">IF(AB467="","",IFERROR((IFERROR(S467*T467,0)+IFERROR(V467*W467,0)+IFERROR(Y467*Z467,0)+AB467*AC467)/(IFERROR(T467,0)+IFERROR(W467,0)+IFERROR(Z467,0)+AC467),AB467))</f>
        <v/>
      </c>
      <c r="AE467" s="27" t="str">
        <f aca="false">IF(AB467="","",IF(U467="",0,U467)+IF(X467="",0,X467)+IF(AA467="",0,AA467)+IFERROR((AB467-K467)*IF(F467="Sell",-1,1)*R467*AC467*IF(ISNUMBER(SEARCH("JPY",E467)),1000,IF(ISNUMBER(SEARCH("XAU",E467)),100,IF(OR(ISNUMBER(SEARCH("30",E467)),ISNUMBER(SEARCH("500",E467)),ISNUMBER(SEARCH("100",E467))),100,100000))),0))</f>
        <v/>
      </c>
      <c r="AF467" s="31" t="str">
        <f aca="false">IF(OR(K467="",M467="",L467=""),"",IFERROR(ABS(M467-K467)/ABS(K467-L467),0))</f>
        <v/>
      </c>
      <c r="AG467" s="31" t="str">
        <f aca="false">IF(OR(AE467="",AE467=0,Q467=0,Q467=""),"",IFERROR(AE467/Q467,0))</f>
        <v/>
      </c>
      <c r="AH467" s="32" t="str">
        <f aca="false">IF(AB467="","Open",IF(AG467="","Open",IF(AG467&gt;0.1,"Win",IF(AG467&lt;-0.1,"Loss","Breakeven"))))</f>
        <v>Open</v>
      </c>
      <c r="AI467" s="33" t="str">
        <f aca="false">IF(OR(B467="",D467=""),"",D467-B467)</f>
        <v/>
      </c>
      <c r="AJ467" s="24" t="str">
        <f aca="false">IF(AD467="","",IFERROR((AD467-K467)*IF(F467="Sell",-1,1)/IF(ISNUMBER(SEARCH("JPY",E467)),0.01,IF(ISNUMBER(SEARCH("XAU",E467)),0.01,IF(OR(ISNUMBER(SEARCH("30",E467)),ISNUMBER(SEARCH("500",E467)),ISNUMBER(SEARCH("100",E467))),1,0.0001))),0))</f>
        <v/>
      </c>
      <c r="AK467" s="12"/>
      <c r="AL467" s="12"/>
      <c r="AM467" s="12"/>
      <c r="AN467" s="12"/>
      <c r="AO467" s="27" t="str">
        <f aca="false">IF(AE467="","",IFERROR(IF(AO466="",SETTINGS!$B$6,AO466),SETTINGS!$B$6)+IF(AE467="",0,AE467))</f>
        <v/>
      </c>
      <c r="AP467" s="2"/>
    </row>
    <row r="468" customFormat="false" ht="15" hidden="false" customHeight="false" outlineLevel="0" collapsed="false">
      <c r="A468" s="24" t="str">
        <f aca="false">IF(B468="","",ROW()-3)</f>
        <v/>
      </c>
      <c r="B468" s="25"/>
      <c r="C468" s="10"/>
      <c r="D468" s="25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26"/>
      <c r="P468" s="24" t="str">
        <f aca="false">IF(K468="","",IFERROR(ABS(K468-L468)/IF(ISNUMBER(SEARCH("JPY",E468)),0.01,IF(ISNUMBER(SEARCH("XAU",E468)),0.01,IF(OR(ISNUMBER(SEARCH("30",E468)),ISNUMBER(SEARCH("500",E468)),ISNUMBER(SEARCH("100",E468))),1,0.0001))),0))</f>
        <v/>
      </c>
      <c r="Q468" s="27" t="str">
        <f aca="false">IF(K468="","",SETTINGS!$B$6*O468)</f>
        <v/>
      </c>
      <c r="R468" s="24" t="str">
        <f aca="false">IF(K468="","",IFERROR(Q468/(P468*IF(ISNUMBER(SEARCH("JPY",E468)),9.09,IF(ISNUMBER(SEARCH("XAU",E468)),1,IF(OR(ISNUMBER(SEARCH("30",E468)),ISNUMBER(SEARCH("500",E468)),ISNUMBER(SEARCH("100",E468))),1,10)))),0))</f>
        <v/>
      </c>
      <c r="S468" s="10"/>
      <c r="T468" s="28"/>
      <c r="U468" s="27" t="str">
        <f aca="false">IF(OR(S468="",T468=0),"",IFERROR((S468-K468)*IF(F468="Sell",-1,1)*R468*T468*IF(ISNUMBER(SEARCH("JPY",E468)),1000,IF(ISNUMBER(SEARCH("XAU",E468)),100,IF(OR(ISNUMBER(SEARCH("30",E468)),ISNUMBER(SEARCH("500",E468)),ISNUMBER(SEARCH("100",E468))),100,100000))),0))</f>
        <v/>
      </c>
      <c r="V468" s="10"/>
      <c r="W468" s="28"/>
      <c r="X468" s="27" t="str">
        <f aca="false">IF(OR(V468="",W468=0),"",IFERROR((V468-K468)*IF(F468="Sell",-1,1)*R468*W468*IF(ISNUMBER(SEARCH("JPY",E468)),1000,IF(ISNUMBER(SEARCH("XAU",E468)),100,IF(OR(ISNUMBER(SEARCH("30",E468)),ISNUMBER(SEARCH("500",E468)),ISNUMBER(SEARCH("100",E468))),100,100000))),0))</f>
        <v/>
      </c>
      <c r="Y468" s="10"/>
      <c r="Z468" s="28"/>
      <c r="AA468" s="27" t="str">
        <f aca="false">IF(OR(Y468="",Z468=0),"",IFERROR((Y468-K468)*IF(F468="Sell",-1,1)*R468*Z468*IF(ISNUMBER(SEARCH("JPY",E468)),1000,IF(ISNUMBER(SEARCH("XAU",E468)),100,IF(OR(ISNUMBER(SEARCH("30",E468)),ISNUMBER(SEARCH("500",E468)),ISNUMBER(SEARCH("100",E468))),100,100000))),0))</f>
        <v/>
      </c>
      <c r="AB468" s="10"/>
      <c r="AC468" s="29" t="str">
        <f aca="false">IF(K468="","",1-IFERROR(T468,0)-IFERROR(W468,0)-IFERROR(Z468,0))</f>
        <v/>
      </c>
      <c r="AD468" s="30" t="str">
        <f aca="false">IF(AB468="","",IFERROR((IFERROR(S468*T468,0)+IFERROR(V468*W468,0)+IFERROR(Y468*Z468,0)+AB468*AC468)/(IFERROR(T468,0)+IFERROR(W468,0)+IFERROR(Z468,0)+AC468),AB468))</f>
        <v/>
      </c>
      <c r="AE468" s="27" t="str">
        <f aca="false">IF(AB468="","",IF(U468="",0,U468)+IF(X468="",0,X468)+IF(AA468="",0,AA468)+IFERROR((AB468-K468)*IF(F468="Sell",-1,1)*R468*AC468*IF(ISNUMBER(SEARCH("JPY",E468)),1000,IF(ISNUMBER(SEARCH("XAU",E468)),100,IF(OR(ISNUMBER(SEARCH("30",E468)),ISNUMBER(SEARCH("500",E468)),ISNUMBER(SEARCH("100",E468))),100,100000))),0))</f>
        <v/>
      </c>
      <c r="AF468" s="31" t="str">
        <f aca="false">IF(OR(K468="",M468="",L468=""),"",IFERROR(ABS(M468-K468)/ABS(K468-L468),0))</f>
        <v/>
      </c>
      <c r="AG468" s="31" t="str">
        <f aca="false">IF(OR(AE468="",AE468=0,Q468=0,Q468=""),"",IFERROR(AE468/Q468,0))</f>
        <v/>
      </c>
      <c r="AH468" s="32" t="str">
        <f aca="false">IF(AB468="","Open",IF(AG468="","Open",IF(AG468&gt;0.1,"Win",IF(AG468&lt;-0.1,"Loss","Breakeven"))))</f>
        <v>Open</v>
      </c>
      <c r="AI468" s="33" t="str">
        <f aca="false">IF(OR(B468="",D468=""),"",D468-B468)</f>
        <v/>
      </c>
      <c r="AJ468" s="24" t="str">
        <f aca="false">IF(AD468="","",IFERROR((AD468-K468)*IF(F468="Sell",-1,1)/IF(ISNUMBER(SEARCH("JPY",E468)),0.01,IF(ISNUMBER(SEARCH("XAU",E468)),0.01,IF(OR(ISNUMBER(SEARCH("30",E468)),ISNUMBER(SEARCH("500",E468)),ISNUMBER(SEARCH("100",E468))),1,0.0001))),0))</f>
        <v/>
      </c>
      <c r="AK468" s="10"/>
      <c r="AL468" s="10"/>
      <c r="AM468" s="10"/>
      <c r="AN468" s="10"/>
      <c r="AO468" s="27" t="str">
        <f aca="false">IF(AE468="","",IFERROR(IF(AO467="",SETTINGS!$B$6,AO467),SETTINGS!$B$6)+IF(AE468="",0,AE468))</f>
        <v/>
      </c>
      <c r="AP468" s="2"/>
    </row>
    <row r="469" customFormat="false" ht="15" hidden="false" customHeight="false" outlineLevel="0" collapsed="false">
      <c r="A469" s="24" t="str">
        <f aca="false">IF(B469="","",ROW()-3)</f>
        <v/>
      </c>
      <c r="B469" s="34"/>
      <c r="C469" s="12"/>
      <c r="D469" s="34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35"/>
      <c r="P469" s="24" t="str">
        <f aca="false">IF(K469="","",IFERROR(ABS(K469-L469)/IF(ISNUMBER(SEARCH("JPY",E469)),0.01,IF(ISNUMBER(SEARCH("XAU",E469)),0.01,IF(OR(ISNUMBER(SEARCH("30",E469)),ISNUMBER(SEARCH("500",E469)),ISNUMBER(SEARCH("100",E469))),1,0.0001))),0))</f>
        <v/>
      </c>
      <c r="Q469" s="27" t="str">
        <f aca="false">IF(K469="","",SETTINGS!$B$6*O469)</f>
        <v/>
      </c>
      <c r="R469" s="24" t="str">
        <f aca="false">IF(K469="","",IFERROR(Q469/(P469*IF(ISNUMBER(SEARCH("JPY",E469)),9.09,IF(ISNUMBER(SEARCH("XAU",E469)),1,IF(OR(ISNUMBER(SEARCH("30",E469)),ISNUMBER(SEARCH("500",E469)),ISNUMBER(SEARCH("100",E469))),1,10)))),0))</f>
        <v/>
      </c>
      <c r="S469" s="12"/>
      <c r="T469" s="36"/>
      <c r="U469" s="27" t="str">
        <f aca="false">IF(OR(S469="",T469=0),"",IFERROR((S469-K469)*IF(F469="Sell",-1,1)*R469*T469*IF(ISNUMBER(SEARCH("JPY",E469)),1000,IF(ISNUMBER(SEARCH("XAU",E469)),100,IF(OR(ISNUMBER(SEARCH("30",E469)),ISNUMBER(SEARCH("500",E469)),ISNUMBER(SEARCH("100",E469))),100,100000))),0))</f>
        <v/>
      </c>
      <c r="V469" s="12"/>
      <c r="W469" s="36"/>
      <c r="X469" s="27" t="str">
        <f aca="false">IF(OR(V469="",W469=0),"",IFERROR((V469-K469)*IF(F469="Sell",-1,1)*R469*W469*IF(ISNUMBER(SEARCH("JPY",E469)),1000,IF(ISNUMBER(SEARCH("XAU",E469)),100,IF(OR(ISNUMBER(SEARCH("30",E469)),ISNUMBER(SEARCH("500",E469)),ISNUMBER(SEARCH("100",E469))),100,100000))),0))</f>
        <v/>
      </c>
      <c r="Y469" s="12"/>
      <c r="Z469" s="36"/>
      <c r="AA469" s="27" t="str">
        <f aca="false">IF(OR(Y469="",Z469=0),"",IFERROR((Y469-K469)*IF(F469="Sell",-1,1)*R469*Z469*IF(ISNUMBER(SEARCH("JPY",E469)),1000,IF(ISNUMBER(SEARCH("XAU",E469)),100,IF(OR(ISNUMBER(SEARCH("30",E469)),ISNUMBER(SEARCH("500",E469)),ISNUMBER(SEARCH("100",E469))),100,100000))),0))</f>
        <v/>
      </c>
      <c r="AB469" s="12"/>
      <c r="AC469" s="29" t="str">
        <f aca="false">IF(K469="","",1-IFERROR(T469,0)-IFERROR(W469,0)-IFERROR(Z469,0))</f>
        <v/>
      </c>
      <c r="AD469" s="30" t="str">
        <f aca="false">IF(AB469="","",IFERROR((IFERROR(S469*T469,0)+IFERROR(V469*W469,0)+IFERROR(Y469*Z469,0)+AB469*AC469)/(IFERROR(T469,0)+IFERROR(W469,0)+IFERROR(Z469,0)+AC469),AB469))</f>
        <v/>
      </c>
      <c r="AE469" s="27" t="str">
        <f aca="false">IF(AB469="","",IF(U469="",0,U469)+IF(X469="",0,X469)+IF(AA469="",0,AA469)+IFERROR((AB469-K469)*IF(F469="Sell",-1,1)*R469*AC469*IF(ISNUMBER(SEARCH("JPY",E469)),1000,IF(ISNUMBER(SEARCH("XAU",E469)),100,IF(OR(ISNUMBER(SEARCH("30",E469)),ISNUMBER(SEARCH("500",E469)),ISNUMBER(SEARCH("100",E469))),100,100000))),0))</f>
        <v/>
      </c>
      <c r="AF469" s="31" t="str">
        <f aca="false">IF(OR(K469="",M469="",L469=""),"",IFERROR(ABS(M469-K469)/ABS(K469-L469),0))</f>
        <v/>
      </c>
      <c r="AG469" s="31" t="str">
        <f aca="false">IF(OR(AE469="",AE469=0,Q469=0,Q469=""),"",IFERROR(AE469/Q469,0))</f>
        <v/>
      </c>
      <c r="AH469" s="32" t="str">
        <f aca="false">IF(AB469="","Open",IF(AG469="","Open",IF(AG469&gt;0.1,"Win",IF(AG469&lt;-0.1,"Loss","Breakeven"))))</f>
        <v>Open</v>
      </c>
      <c r="AI469" s="33" t="str">
        <f aca="false">IF(OR(B469="",D469=""),"",D469-B469)</f>
        <v/>
      </c>
      <c r="AJ469" s="24" t="str">
        <f aca="false">IF(AD469="","",IFERROR((AD469-K469)*IF(F469="Sell",-1,1)/IF(ISNUMBER(SEARCH("JPY",E469)),0.01,IF(ISNUMBER(SEARCH("XAU",E469)),0.01,IF(OR(ISNUMBER(SEARCH("30",E469)),ISNUMBER(SEARCH("500",E469)),ISNUMBER(SEARCH("100",E469))),1,0.0001))),0))</f>
        <v/>
      </c>
      <c r="AK469" s="12"/>
      <c r="AL469" s="12"/>
      <c r="AM469" s="12"/>
      <c r="AN469" s="12"/>
      <c r="AO469" s="27" t="str">
        <f aca="false">IF(AE469="","",IFERROR(IF(AO468="",SETTINGS!$B$6,AO468),SETTINGS!$B$6)+IF(AE469="",0,AE469))</f>
        <v/>
      </c>
      <c r="AP469" s="2"/>
    </row>
    <row r="470" customFormat="false" ht="15" hidden="false" customHeight="false" outlineLevel="0" collapsed="false">
      <c r="A470" s="24" t="str">
        <f aca="false">IF(B470="","",ROW()-3)</f>
        <v/>
      </c>
      <c r="B470" s="25"/>
      <c r="C470" s="10"/>
      <c r="D470" s="25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26"/>
      <c r="P470" s="24" t="str">
        <f aca="false">IF(K470="","",IFERROR(ABS(K470-L470)/IF(ISNUMBER(SEARCH("JPY",E470)),0.01,IF(ISNUMBER(SEARCH("XAU",E470)),0.01,IF(OR(ISNUMBER(SEARCH("30",E470)),ISNUMBER(SEARCH("500",E470)),ISNUMBER(SEARCH("100",E470))),1,0.0001))),0))</f>
        <v/>
      </c>
      <c r="Q470" s="27" t="str">
        <f aca="false">IF(K470="","",SETTINGS!$B$6*O470)</f>
        <v/>
      </c>
      <c r="R470" s="24" t="str">
        <f aca="false">IF(K470="","",IFERROR(Q470/(P470*IF(ISNUMBER(SEARCH("JPY",E470)),9.09,IF(ISNUMBER(SEARCH("XAU",E470)),1,IF(OR(ISNUMBER(SEARCH("30",E470)),ISNUMBER(SEARCH("500",E470)),ISNUMBER(SEARCH("100",E470))),1,10)))),0))</f>
        <v/>
      </c>
      <c r="S470" s="10"/>
      <c r="T470" s="28"/>
      <c r="U470" s="27" t="str">
        <f aca="false">IF(OR(S470="",T470=0),"",IFERROR((S470-K470)*IF(F470="Sell",-1,1)*R470*T470*IF(ISNUMBER(SEARCH("JPY",E470)),1000,IF(ISNUMBER(SEARCH("XAU",E470)),100,IF(OR(ISNUMBER(SEARCH("30",E470)),ISNUMBER(SEARCH("500",E470)),ISNUMBER(SEARCH("100",E470))),100,100000))),0))</f>
        <v/>
      </c>
      <c r="V470" s="10"/>
      <c r="W470" s="28"/>
      <c r="X470" s="27" t="str">
        <f aca="false">IF(OR(V470="",W470=0),"",IFERROR((V470-K470)*IF(F470="Sell",-1,1)*R470*W470*IF(ISNUMBER(SEARCH("JPY",E470)),1000,IF(ISNUMBER(SEARCH("XAU",E470)),100,IF(OR(ISNUMBER(SEARCH("30",E470)),ISNUMBER(SEARCH("500",E470)),ISNUMBER(SEARCH("100",E470))),100,100000))),0))</f>
        <v/>
      </c>
      <c r="Y470" s="10"/>
      <c r="Z470" s="28"/>
      <c r="AA470" s="27" t="str">
        <f aca="false">IF(OR(Y470="",Z470=0),"",IFERROR((Y470-K470)*IF(F470="Sell",-1,1)*R470*Z470*IF(ISNUMBER(SEARCH("JPY",E470)),1000,IF(ISNUMBER(SEARCH("XAU",E470)),100,IF(OR(ISNUMBER(SEARCH("30",E470)),ISNUMBER(SEARCH("500",E470)),ISNUMBER(SEARCH("100",E470))),100,100000))),0))</f>
        <v/>
      </c>
      <c r="AB470" s="10"/>
      <c r="AC470" s="29" t="str">
        <f aca="false">IF(K470="","",1-IFERROR(T470,0)-IFERROR(W470,0)-IFERROR(Z470,0))</f>
        <v/>
      </c>
      <c r="AD470" s="30" t="str">
        <f aca="false">IF(AB470="","",IFERROR((IFERROR(S470*T470,0)+IFERROR(V470*W470,0)+IFERROR(Y470*Z470,0)+AB470*AC470)/(IFERROR(T470,0)+IFERROR(W470,0)+IFERROR(Z470,0)+AC470),AB470))</f>
        <v/>
      </c>
      <c r="AE470" s="27" t="str">
        <f aca="false">IF(AB470="","",IF(U470="",0,U470)+IF(X470="",0,X470)+IF(AA470="",0,AA470)+IFERROR((AB470-K470)*IF(F470="Sell",-1,1)*R470*AC470*IF(ISNUMBER(SEARCH("JPY",E470)),1000,IF(ISNUMBER(SEARCH("XAU",E470)),100,IF(OR(ISNUMBER(SEARCH("30",E470)),ISNUMBER(SEARCH("500",E470)),ISNUMBER(SEARCH("100",E470))),100,100000))),0))</f>
        <v/>
      </c>
      <c r="AF470" s="31" t="str">
        <f aca="false">IF(OR(K470="",M470="",L470=""),"",IFERROR(ABS(M470-K470)/ABS(K470-L470),0))</f>
        <v/>
      </c>
      <c r="AG470" s="31" t="str">
        <f aca="false">IF(OR(AE470="",AE470=0,Q470=0,Q470=""),"",IFERROR(AE470/Q470,0))</f>
        <v/>
      </c>
      <c r="AH470" s="32" t="str">
        <f aca="false">IF(AB470="","Open",IF(AG470="","Open",IF(AG470&gt;0.1,"Win",IF(AG470&lt;-0.1,"Loss","Breakeven"))))</f>
        <v>Open</v>
      </c>
      <c r="AI470" s="33" t="str">
        <f aca="false">IF(OR(B470="",D470=""),"",D470-B470)</f>
        <v/>
      </c>
      <c r="AJ470" s="24" t="str">
        <f aca="false">IF(AD470="","",IFERROR((AD470-K470)*IF(F470="Sell",-1,1)/IF(ISNUMBER(SEARCH("JPY",E470)),0.01,IF(ISNUMBER(SEARCH("XAU",E470)),0.01,IF(OR(ISNUMBER(SEARCH("30",E470)),ISNUMBER(SEARCH("500",E470)),ISNUMBER(SEARCH("100",E470))),1,0.0001))),0))</f>
        <v/>
      </c>
      <c r="AK470" s="10"/>
      <c r="AL470" s="10"/>
      <c r="AM470" s="10"/>
      <c r="AN470" s="10"/>
      <c r="AO470" s="27" t="str">
        <f aca="false">IF(AE470="","",IFERROR(IF(AO469="",SETTINGS!$B$6,AO469),SETTINGS!$B$6)+IF(AE470="",0,AE470))</f>
        <v/>
      </c>
      <c r="AP470" s="2"/>
    </row>
    <row r="471" customFormat="false" ht="15" hidden="false" customHeight="false" outlineLevel="0" collapsed="false">
      <c r="A471" s="24" t="str">
        <f aca="false">IF(B471="","",ROW()-3)</f>
        <v/>
      </c>
      <c r="B471" s="34"/>
      <c r="C471" s="12"/>
      <c r="D471" s="34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35"/>
      <c r="P471" s="24" t="str">
        <f aca="false">IF(K471="","",IFERROR(ABS(K471-L471)/IF(ISNUMBER(SEARCH("JPY",E471)),0.01,IF(ISNUMBER(SEARCH("XAU",E471)),0.01,IF(OR(ISNUMBER(SEARCH("30",E471)),ISNUMBER(SEARCH("500",E471)),ISNUMBER(SEARCH("100",E471))),1,0.0001))),0))</f>
        <v/>
      </c>
      <c r="Q471" s="27" t="str">
        <f aca="false">IF(K471="","",SETTINGS!$B$6*O471)</f>
        <v/>
      </c>
      <c r="R471" s="24" t="str">
        <f aca="false">IF(K471="","",IFERROR(Q471/(P471*IF(ISNUMBER(SEARCH("JPY",E471)),9.09,IF(ISNUMBER(SEARCH("XAU",E471)),1,IF(OR(ISNUMBER(SEARCH("30",E471)),ISNUMBER(SEARCH("500",E471)),ISNUMBER(SEARCH("100",E471))),1,10)))),0))</f>
        <v/>
      </c>
      <c r="S471" s="12"/>
      <c r="T471" s="36"/>
      <c r="U471" s="27" t="str">
        <f aca="false">IF(OR(S471="",T471=0),"",IFERROR((S471-K471)*IF(F471="Sell",-1,1)*R471*T471*IF(ISNUMBER(SEARCH("JPY",E471)),1000,IF(ISNUMBER(SEARCH("XAU",E471)),100,IF(OR(ISNUMBER(SEARCH("30",E471)),ISNUMBER(SEARCH("500",E471)),ISNUMBER(SEARCH("100",E471))),100,100000))),0))</f>
        <v/>
      </c>
      <c r="V471" s="12"/>
      <c r="W471" s="36"/>
      <c r="X471" s="27" t="str">
        <f aca="false">IF(OR(V471="",W471=0),"",IFERROR((V471-K471)*IF(F471="Sell",-1,1)*R471*W471*IF(ISNUMBER(SEARCH("JPY",E471)),1000,IF(ISNUMBER(SEARCH("XAU",E471)),100,IF(OR(ISNUMBER(SEARCH("30",E471)),ISNUMBER(SEARCH("500",E471)),ISNUMBER(SEARCH("100",E471))),100,100000))),0))</f>
        <v/>
      </c>
      <c r="Y471" s="12"/>
      <c r="Z471" s="36"/>
      <c r="AA471" s="27" t="str">
        <f aca="false">IF(OR(Y471="",Z471=0),"",IFERROR((Y471-K471)*IF(F471="Sell",-1,1)*R471*Z471*IF(ISNUMBER(SEARCH("JPY",E471)),1000,IF(ISNUMBER(SEARCH("XAU",E471)),100,IF(OR(ISNUMBER(SEARCH("30",E471)),ISNUMBER(SEARCH("500",E471)),ISNUMBER(SEARCH("100",E471))),100,100000))),0))</f>
        <v/>
      </c>
      <c r="AB471" s="12"/>
      <c r="AC471" s="29" t="str">
        <f aca="false">IF(K471="","",1-IFERROR(T471,0)-IFERROR(W471,0)-IFERROR(Z471,0))</f>
        <v/>
      </c>
      <c r="AD471" s="30" t="str">
        <f aca="false">IF(AB471="","",IFERROR((IFERROR(S471*T471,0)+IFERROR(V471*W471,0)+IFERROR(Y471*Z471,0)+AB471*AC471)/(IFERROR(T471,0)+IFERROR(W471,0)+IFERROR(Z471,0)+AC471),AB471))</f>
        <v/>
      </c>
      <c r="AE471" s="27" t="str">
        <f aca="false">IF(AB471="","",IF(U471="",0,U471)+IF(X471="",0,X471)+IF(AA471="",0,AA471)+IFERROR((AB471-K471)*IF(F471="Sell",-1,1)*R471*AC471*IF(ISNUMBER(SEARCH("JPY",E471)),1000,IF(ISNUMBER(SEARCH("XAU",E471)),100,IF(OR(ISNUMBER(SEARCH("30",E471)),ISNUMBER(SEARCH("500",E471)),ISNUMBER(SEARCH("100",E471))),100,100000))),0))</f>
        <v/>
      </c>
      <c r="AF471" s="31" t="str">
        <f aca="false">IF(OR(K471="",M471="",L471=""),"",IFERROR(ABS(M471-K471)/ABS(K471-L471),0))</f>
        <v/>
      </c>
      <c r="AG471" s="31" t="str">
        <f aca="false">IF(OR(AE471="",AE471=0,Q471=0,Q471=""),"",IFERROR(AE471/Q471,0))</f>
        <v/>
      </c>
      <c r="AH471" s="32" t="str">
        <f aca="false">IF(AB471="","Open",IF(AG471="","Open",IF(AG471&gt;0.1,"Win",IF(AG471&lt;-0.1,"Loss","Breakeven"))))</f>
        <v>Open</v>
      </c>
      <c r="AI471" s="33" t="str">
        <f aca="false">IF(OR(B471="",D471=""),"",D471-B471)</f>
        <v/>
      </c>
      <c r="AJ471" s="24" t="str">
        <f aca="false">IF(AD471="","",IFERROR((AD471-K471)*IF(F471="Sell",-1,1)/IF(ISNUMBER(SEARCH("JPY",E471)),0.01,IF(ISNUMBER(SEARCH("XAU",E471)),0.01,IF(OR(ISNUMBER(SEARCH("30",E471)),ISNUMBER(SEARCH("500",E471)),ISNUMBER(SEARCH("100",E471))),1,0.0001))),0))</f>
        <v/>
      </c>
      <c r="AK471" s="12"/>
      <c r="AL471" s="12"/>
      <c r="AM471" s="12"/>
      <c r="AN471" s="12"/>
      <c r="AO471" s="27" t="str">
        <f aca="false">IF(AE471="","",IFERROR(IF(AO470="",SETTINGS!$B$6,AO470),SETTINGS!$B$6)+IF(AE471="",0,AE471))</f>
        <v/>
      </c>
      <c r="AP471" s="2"/>
    </row>
    <row r="472" customFormat="false" ht="15" hidden="false" customHeight="false" outlineLevel="0" collapsed="false">
      <c r="A472" s="24" t="str">
        <f aca="false">IF(B472="","",ROW()-3)</f>
        <v/>
      </c>
      <c r="B472" s="25"/>
      <c r="C472" s="10"/>
      <c r="D472" s="25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26"/>
      <c r="P472" s="24" t="str">
        <f aca="false">IF(K472="","",IFERROR(ABS(K472-L472)/IF(ISNUMBER(SEARCH("JPY",E472)),0.01,IF(ISNUMBER(SEARCH("XAU",E472)),0.01,IF(OR(ISNUMBER(SEARCH("30",E472)),ISNUMBER(SEARCH("500",E472)),ISNUMBER(SEARCH("100",E472))),1,0.0001))),0))</f>
        <v/>
      </c>
      <c r="Q472" s="27" t="str">
        <f aca="false">IF(K472="","",SETTINGS!$B$6*O472)</f>
        <v/>
      </c>
      <c r="R472" s="24" t="str">
        <f aca="false">IF(K472="","",IFERROR(Q472/(P472*IF(ISNUMBER(SEARCH("JPY",E472)),9.09,IF(ISNUMBER(SEARCH("XAU",E472)),1,IF(OR(ISNUMBER(SEARCH("30",E472)),ISNUMBER(SEARCH("500",E472)),ISNUMBER(SEARCH("100",E472))),1,10)))),0))</f>
        <v/>
      </c>
      <c r="S472" s="10"/>
      <c r="T472" s="28"/>
      <c r="U472" s="27" t="str">
        <f aca="false">IF(OR(S472="",T472=0),"",IFERROR((S472-K472)*IF(F472="Sell",-1,1)*R472*T472*IF(ISNUMBER(SEARCH("JPY",E472)),1000,IF(ISNUMBER(SEARCH("XAU",E472)),100,IF(OR(ISNUMBER(SEARCH("30",E472)),ISNUMBER(SEARCH("500",E472)),ISNUMBER(SEARCH("100",E472))),100,100000))),0))</f>
        <v/>
      </c>
      <c r="V472" s="10"/>
      <c r="W472" s="28"/>
      <c r="X472" s="27" t="str">
        <f aca="false">IF(OR(V472="",W472=0),"",IFERROR((V472-K472)*IF(F472="Sell",-1,1)*R472*W472*IF(ISNUMBER(SEARCH("JPY",E472)),1000,IF(ISNUMBER(SEARCH("XAU",E472)),100,IF(OR(ISNUMBER(SEARCH("30",E472)),ISNUMBER(SEARCH("500",E472)),ISNUMBER(SEARCH("100",E472))),100,100000))),0))</f>
        <v/>
      </c>
      <c r="Y472" s="10"/>
      <c r="Z472" s="28"/>
      <c r="AA472" s="27" t="str">
        <f aca="false">IF(OR(Y472="",Z472=0),"",IFERROR((Y472-K472)*IF(F472="Sell",-1,1)*R472*Z472*IF(ISNUMBER(SEARCH("JPY",E472)),1000,IF(ISNUMBER(SEARCH("XAU",E472)),100,IF(OR(ISNUMBER(SEARCH("30",E472)),ISNUMBER(SEARCH("500",E472)),ISNUMBER(SEARCH("100",E472))),100,100000))),0))</f>
        <v/>
      </c>
      <c r="AB472" s="10"/>
      <c r="AC472" s="29" t="str">
        <f aca="false">IF(K472="","",1-IFERROR(T472,0)-IFERROR(W472,0)-IFERROR(Z472,0))</f>
        <v/>
      </c>
      <c r="AD472" s="30" t="str">
        <f aca="false">IF(AB472="","",IFERROR((IFERROR(S472*T472,0)+IFERROR(V472*W472,0)+IFERROR(Y472*Z472,0)+AB472*AC472)/(IFERROR(T472,0)+IFERROR(W472,0)+IFERROR(Z472,0)+AC472),AB472))</f>
        <v/>
      </c>
      <c r="AE472" s="27" t="str">
        <f aca="false">IF(AB472="","",IF(U472="",0,U472)+IF(X472="",0,X472)+IF(AA472="",0,AA472)+IFERROR((AB472-K472)*IF(F472="Sell",-1,1)*R472*AC472*IF(ISNUMBER(SEARCH("JPY",E472)),1000,IF(ISNUMBER(SEARCH("XAU",E472)),100,IF(OR(ISNUMBER(SEARCH("30",E472)),ISNUMBER(SEARCH("500",E472)),ISNUMBER(SEARCH("100",E472))),100,100000))),0))</f>
        <v/>
      </c>
      <c r="AF472" s="31" t="str">
        <f aca="false">IF(OR(K472="",M472="",L472=""),"",IFERROR(ABS(M472-K472)/ABS(K472-L472),0))</f>
        <v/>
      </c>
      <c r="AG472" s="31" t="str">
        <f aca="false">IF(OR(AE472="",AE472=0,Q472=0,Q472=""),"",IFERROR(AE472/Q472,0))</f>
        <v/>
      </c>
      <c r="AH472" s="32" t="str">
        <f aca="false">IF(AB472="","Open",IF(AG472="","Open",IF(AG472&gt;0.1,"Win",IF(AG472&lt;-0.1,"Loss","Breakeven"))))</f>
        <v>Open</v>
      </c>
      <c r="AI472" s="33" t="str">
        <f aca="false">IF(OR(B472="",D472=""),"",D472-B472)</f>
        <v/>
      </c>
      <c r="AJ472" s="24" t="str">
        <f aca="false">IF(AD472="","",IFERROR((AD472-K472)*IF(F472="Sell",-1,1)/IF(ISNUMBER(SEARCH("JPY",E472)),0.01,IF(ISNUMBER(SEARCH("XAU",E472)),0.01,IF(OR(ISNUMBER(SEARCH("30",E472)),ISNUMBER(SEARCH("500",E472)),ISNUMBER(SEARCH("100",E472))),1,0.0001))),0))</f>
        <v/>
      </c>
      <c r="AK472" s="10"/>
      <c r="AL472" s="10"/>
      <c r="AM472" s="10"/>
      <c r="AN472" s="10"/>
      <c r="AO472" s="27" t="str">
        <f aca="false">IF(AE472="","",IFERROR(IF(AO471="",SETTINGS!$B$6,AO471),SETTINGS!$B$6)+IF(AE472="",0,AE472))</f>
        <v/>
      </c>
      <c r="AP472" s="2"/>
    </row>
    <row r="473" customFormat="false" ht="15" hidden="false" customHeight="false" outlineLevel="0" collapsed="false">
      <c r="A473" s="24" t="str">
        <f aca="false">IF(B473="","",ROW()-3)</f>
        <v/>
      </c>
      <c r="B473" s="34"/>
      <c r="C473" s="12"/>
      <c r="D473" s="34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35"/>
      <c r="P473" s="24" t="str">
        <f aca="false">IF(K473="","",IFERROR(ABS(K473-L473)/IF(ISNUMBER(SEARCH("JPY",E473)),0.01,IF(ISNUMBER(SEARCH("XAU",E473)),0.01,IF(OR(ISNUMBER(SEARCH("30",E473)),ISNUMBER(SEARCH("500",E473)),ISNUMBER(SEARCH("100",E473))),1,0.0001))),0))</f>
        <v/>
      </c>
      <c r="Q473" s="27" t="str">
        <f aca="false">IF(K473="","",SETTINGS!$B$6*O473)</f>
        <v/>
      </c>
      <c r="R473" s="24" t="str">
        <f aca="false">IF(K473="","",IFERROR(Q473/(P473*IF(ISNUMBER(SEARCH("JPY",E473)),9.09,IF(ISNUMBER(SEARCH("XAU",E473)),1,IF(OR(ISNUMBER(SEARCH("30",E473)),ISNUMBER(SEARCH("500",E473)),ISNUMBER(SEARCH("100",E473))),1,10)))),0))</f>
        <v/>
      </c>
      <c r="S473" s="12"/>
      <c r="T473" s="36"/>
      <c r="U473" s="27" t="str">
        <f aca="false">IF(OR(S473="",T473=0),"",IFERROR((S473-K473)*IF(F473="Sell",-1,1)*R473*T473*IF(ISNUMBER(SEARCH("JPY",E473)),1000,IF(ISNUMBER(SEARCH("XAU",E473)),100,IF(OR(ISNUMBER(SEARCH("30",E473)),ISNUMBER(SEARCH("500",E473)),ISNUMBER(SEARCH("100",E473))),100,100000))),0))</f>
        <v/>
      </c>
      <c r="V473" s="12"/>
      <c r="W473" s="36"/>
      <c r="X473" s="27" t="str">
        <f aca="false">IF(OR(V473="",W473=0),"",IFERROR((V473-K473)*IF(F473="Sell",-1,1)*R473*W473*IF(ISNUMBER(SEARCH("JPY",E473)),1000,IF(ISNUMBER(SEARCH("XAU",E473)),100,IF(OR(ISNUMBER(SEARCH("30",E473)),ISNUMBER(SEARCH("500",E473)),ISNUMBER(SEARCH("100",E473))),100,100000))),0))</f>
        <v/>
      </c>
      <c r="Y473" s="12"/>
      <c r="Z473" s="36"/>
      <c r="AA473" s="27" t="str">
        <f aca="false">IF(OR(Y473="",Z473=0),"",IFERROR((Y473-K473)*IF(F473="Sell",-1,1)*R473*Z473*IF(ISNUMBER(SEARCH("JPY",E473)),1000,IF(ISNUMBER(SEARCH("XAU",E473)),100,IF(OR(ISNUMBER(SEARCH("30",E473)),ISNUMBER(SEARCH("500",E473)),ISNUMBER(SEARCH("100",E473))),100,100000))),0))</f>
        <v/>
      </c>
      <c r="AB473" s="12"/>
      <c r="AC473" s="29" t="str">
        <f aca="false">IF(K473="","",1-IFERROR(T473,0)-IFERROR(W473,0)-IFERROR(Z473,0))</f>
        <v/>
      </c>
      <c r="AD473" s="30" t="str">
        <f aca="false">IF(AB473="","",IFERROR((IFERROR(S473*T473,0)+IFERROR(V473*W473,0)+IFERROR(Y473*Z473,0)+AB473*AC473)/(IFERROR(T473,0)+IFERROR(W473,0)+IFERROR(Z473,0)+AC473),AB473))</f>
        <v/>
      </c>
      <c r="AE473" s="27" t="str">
        <f aca="false">IF(AB473="","",IF(U473="",0,U473)+IF(X473="",0,X473)+IF(AA473="",0,AA473)+IFERROR((AB473-K473)*IF(F473="Sell",-1,1)*R473*AC473*IF(ISNUMBER(SEARCH("JPY",E473)),1000,IF(ISNUMBER(SEARCH("XAU",E473)),100,IF(OR(ISNUMBER(SEARCH("30",E473)),ISNUMBER(SEARCH("500",E473)),ISNUMBER(SEARCH("100",E473))),100,100000))),0))</f>
        <v/>
      </c>
      <c r="AF473" s="31" t="str">
        <f aca="false">IF(OR(K473="",M473="",L473=""),"",IFERROR(ABS(M473-K473)/ABS(K473-L473),0))</f>
        <v/>
      </c>
      <c r="AG473" s="31" t="str">
        <f aca="false">IF(OR(AE473="",AE473=0,Q473=0,Q473=""),"",IFERROR(AE473/Q473,0))</f>
        <v/>
      </c>
      <c r="AH473" s="32" t="str">
        <f aca="false">IF(AB473="","Open",IF(AG473="","Open",IF(AG473&gt;0.1,"Win",IF(AG473&lt;-0.1,"Loss","Breakeven"))))</f>
        <v>Open</v>
      </c>
      <c r="AI473" s="33" t="str">
        <f aca="false">IF(OR(B473="",D473=""),"",D473-B473)</f>
        <v/>
      </c>
      <c r="AJ473" s="24" t="str">
        <f aca="false">IF(AD473="","",IFERROR((AD473-K473)*IF(F473="Sell",-1,1)/IF(ISNUMBER(SEARCH("JPY",E473)),0.01,IF(ISNUMBER(SEARCH("XAU",E473)),0.01,IF(OR(ISNUMBER(SEARCH("30",E473)),ISNUMBER(SEARCH("500",E473)),ISNUMBER(SEARCH("100",E473))),1,0.0001))),0))</f>
        <v/>
      </c>
      <c r="AK473" s="12"/>
      <c r="AL473" s="12"/>
      <c r="AM473" s="12"/>
      <c r="AN473" s="12"/>
      <c r="AO473" s="27" t="str">
        <f aca="false">IF(AE473="","",IFERROR(IF(AO472="",SETTINGS!$B$6,AO472),SETTINGS!$B$6)+IF(AE473="",0,AE473))</f>
        <v/>
      </c>
      <c r="AP473" s="2"/>
    </row>
    <row r="474" customFormat="false" ht="15" hidden="false" customHeight="false" outlineLevel="0" collapsed="false">
      <c r="A474" s="24" t="str">
        <f aca="false">IF(B474="","",ROW()-3)</f>
        <v/>
      </c>
      <c r="B474" s="25"/>
      <c r="C474" s="10"/>
      <c r="D474" s="25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26"/>
      <c r="P474" s="24" t="str">
        <f aca="false">IF(K474="","",IFERROR(ABS(K474-L474)/IF(ISNUMBER(SEARCH("JPY",E474)),0.01,IF(ISNUMBER(SEARCH("XAU",E474)),0.01,IF(OR(ISNUMBER(SEARCH("30",E474)),ISNUMBER(SEARCH("500",E474)),ISNUMBER(SEARCH("100",E474))),1,0.0001))),0))</f>
        <v/>
      </c>
      <c r="Q474" s="27" t="str">
        <f aca="false">IF(K474="","",SETTINGS!$B$6*O474)</f>
        <v/>
      </c>
      <c r="R474" s="24" t="str">
        <f aca="false">IF(K474="","",IFERROR(Q474/(P474*IF(ISNUMBER(SEARCH("JPY",E474)),9.09,IF(ISNUMBER(SEARCH("XAU",E474)),1,IF(OR(ISNUMBER(SEARCH("30",E474)),ISNUMBER(SEARCH("500",E474)),ISNUMBER(SEARCH("100",E474))),1,10)))),0))</f>
        <v/>
      </c>
      <c r="S474" s="10"/>
      <c r="T474" s="28"/>
      <c r="U474" s="27" t="str">
        <f aca="false">IF(OR(S474="",T474=0),"",IFERROR((S474-K474)*IF(F474="Sell",-1,1)*R474*T474*IF(ISNUMBER(SEARCH("JPY",E474)),1000,IF(ISNUMBER(SEARCH("XAU",E474)),100,IF(OR(ISNUMBER(SEARCH("30",E474)),ISNUMBER(SEARCH("500",E474)),ISNUMBER(SEARCH("100",E474))),100,100000))),0))</f>
        <v/>
      </c>
      <c r="V474" s="10"/>
      <c r="W474" s="28"/>
      <c r="X474" s="27" t="str">
        <f aca="false">IF(OR(V474="",W474=0),"",IFERROR((V474-K474)*IF(F474="Sell",-1,1)*R474*W474*IF(ISNUMBER(SEARCH("JPY",E474)),1000,IF(ISNUMBER(SEARCH("XAU",E474)),100,IF(OR(ISNUMBER(SEARCH("30",E474)),ISNUMBER(SEARCH("500",E474)),ISNUMBER(SEARCH("100",E474))),100,100000))),0))</f>
        <v/>
      </c>
      <c r="Y474" s="10"/>
      <c r="Z474" s="28"/>
      <c r="AA474" s="27" t="str">
        <f aca="false">IF(OR(Y474="",Z474=0),"",IFERROR((Y474-K474)*IF(F474="Sell",-1,1)*R474*Z474*IF(ISNUMBER(SEARCH("JPY",E474)),1000,IF(ISNUMBER(SEARCH("XAU",E474)),100,IF(OR(ISNUMBER(SEARCH("30",E474)),ISNUMBER(SEARCH("500",E474)),ISNUMBER(SEARCH("100",E474))),100,100000))),0))</f>
        <v/>
      </c>
      <c r="AB474" s="10"/>
      <c r="AC474" s="29" t="str">
        <f aca="false">IF(K474="","",1-IFERROR(T474,0)-IFERROR(W474,0)-IFERROR(Z474,0))</f>
        <v/>
      </c>
      <c r="AD474" s="30" t="str">
        <f aca="false">IF(AB474="","",IFERROR((IFERROR(S474*T474,0)+IFERROR(V474*W474,0)+IFERROR(Y474*Z474,0)+AB474*AC474)/(IFERROR(T474,0)+IFERROR(W474,0)+IFERROR(Z474,0)+AC474),AB474))</f>
        <v/>
      </c>
      <c r="AE474" s="27" t="str">
        <f aca="false">IF(AB474="","",IF(U474="",0,U474)+IF(X474="",0,X474)+IF(AA474="",0,AA474)+IFERROR((AB474-K474)*IF(F474="Sell",-1,1)*R474*AC474*IF(ISNUMBER(SEARCH("JPY",E474)),1000,IF(ISNUMBER(SEARCH("XAU",E474)),100,IF(OR(ISNUMBER(SEARCH("30",E474)),ISNUMBER(SEARCH("500",E474)),ISNUMBER(SEARCH("100",E474))),100,100000))),0))</f>
        <v/>
      </c>
      <c r="AF474" s="31" t="str">
        <f aca="false">IF(OR(K474="",M474="",L474=""),"",IFERROR(ABS(M474-K474)/ABS(K474-L474),0))</f>
        <v/>
      </c>
      <c r="AG474" s="31" t="str">
        <f aca="false">IF(OR(AE474="",AE474=0,Q474=0,Q474=""),"",IFERROR(AE474/Q474,0))</f>
        <v/>
      </c>
      <c r="AH474" s="32" t="str">
        <f aca="false">IF(AB474="","Open",IF(AG474="","Open",IF(AG474&gt;0.1,"Win",IF(AG474&lt;-0.1,"Loss","Breakeven"))))</f>
        <v>Open</v>
      </c>
      <c r="AI474" s="33" t="str">
        <f aca="false">IF(OR(B474="",D474=""),"",D474-B474)</f>
        <v/>
      </c>
      <c r="AJ474" s="24" t="str">
        <f aca="false">IF(AD474="","",IFERROR((AD474-K474)*IF(F474="Sell",-1,1)/IF(ISNUMBER(SEARCH("JPY",E474)),0.01,IF(ISNUMBER(SEARCH("XAU",E474)),0.01,IF(OR(ISNUMBER(SEARCH("30",E474)),ISNUMBER(SEARCH("500",E474)),ISNUMBER(SEARCH("100",E474))),1,0.0001))),0))</f>
        <v/>
      </c>
      <c r="AK474" s="10"/>
      <c r="AL474" s="10"/>
      <c r="AM474" s="10"/>
      <c r="AN474" s="10"/>
      <c r="AO474" s="27" t="str">
        <f aca="false">IF(AE474="","",IFERROR(IF(AO473="",SETTINGS!$B$6,AO473),SETTINGS!$B$6)+IF(AE474="",0,AE474))</f>
        <v/>
      </c>
      <c r="AP474" s="2"/>
    </row>
    <row r="475" customFormat="false" ht="15" hidden="false" customHeight="false" outlineLevel="0" collapsed="false">
      <c r="A475" s="24" t="str">
        <f aca="false">IF(B475="","",ROW()-3)</f>
        <v/>
      </c>
      <c r="B475" s="34"/>
      <c r="C475" s="12"/>
      <c r="D475" s="34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35"/>
      <c r="P475" s="24" t="str">
        <f aca="false">IF(K475="","",IFERROR(ABS(K475-L475)/IF(ISNUMBER(SEARCH("JPY",E475)),0.01,IF(ISNUMBER(SEARCH("XAU",E475)),0.01,IF(OR(ISNUMBER(SEARCH("30",E475)),ISNUMBER(SEARCH("500",E475)),ISNUMBER(SEARCH("100",E475))),1,0.0001))),0))</f>
        <v/>
      </c>
      <c r="Q475" s="27" t="str">
        <f aca="false">IF(K475="","",SETTINGS!$B$6*O475)</f>
        <v/>
      </c>
      <c r="R475" s="24" t="str">
        <f aca="false">IF(K475="","",IFERROR(Q475/(P475*IF(ISNUMBER(SEARCH("JPY",E475)),9.09,IF(ISNUMBER(SEARCH("XAU",E475)),1,IF(OR(ISNUMBER(SEARCH("30",E475)),ISNUMBER(SEARCH("500",E475)),ISNUMBER(SEARCH("100",E475))),1,10)))),0))</f>
        <v/>
      </c>
      <c r="S475" s="12"/>
      <c r="T475" s="36"/>
      <c r="U475" s="27" t="str">
        <f aca="false">IF(OR(S475="",T475=0),"",IFERROR((S475-K475)*IF(F475="Sell",-1,1)*R475*T475*IF(ISNUMBER(SEARCH("JPY",E475)),1000,IF(ISNUMBER(SEARCH("XAU",E475)),100,IF(OR(ISNUMBER(SEARCH("30",E475)),ISNUMBER(SEARCH("500",E475)),ISNUMBER(SEARCH("100",E475))),100,100000))),0))</f>
        <v/>
      </c>
      <c r="V475" s="12"/>
      <c r="W475" s="36"/>
      <c r="X475" s="27" t="str">
        <f aca="false">IF(OR(V475="",W475=0),"",IFERROR((V475-K475)*IF(F475="Sell",-1,1)*R475*W475*IF(ISNUMBER(SEARCH("JPY",E475)),1000,IF(ISNUMBER(SEARCH("XAU",E475)),100,IF(OR(ISNUMBER(SEARCH("30",E475)),ISNUMBER(SEARCH("500",E475)),ISNUMBER(SEARCH("100",E475))),100,100000))),0))</f>
        <v/>
      </c>
      <c r="Y475" s="12"/>
      <c r="Z475" s="36"/>
      <c r="AA475" s="27" t="str">
        <f aca="false">IF(OR(Y475="",Z475=0),"",IFERROR((Y475-K475)*IF(F475="Sell",-1,1)*R475*Z475*IF(ISNUMBER(SEARCH("JPY",E475)),1000,IF(ISNUMBER(SEARCH("XAU",E475)),100,IF(OR(ISNUMBER(SEARCH("30",E475)),ISNUMBER(SEARCH("500",E475)),ISNUMBER(SEARCH("100",E475))),100,100000))),0))</f>
        <v/>
      </c>
      <c r="AB475" s="12"/>
      <c r="AC475" s="29" t="str">
        <f aca="false">IF(K475="","",1-IFERROR(T475,0)-IFERROR(W475,0)-IFERROR(Z475,0))</f>
        <v/>
      </c>
      <c r="AD475" s="30" t="str">
        <f aca="false">IF(AB475="","",IFERROR((IFERROR(S475*T475,0)+IFERROR(V475*W475,0)+IFERROR(Y475*Z475,0)+AB475*AC475)/(IFERROR(T475,0)+IFERROR(W475,0)+IFERROR(Z475,0)+AC475),AB475))</f>
        <v/>
      </c>
      <c r="AE475" s="27" t="str">
        <f aca="false">IF(AB475="","",IF(U475="",0,U475)+IF(X475="",0,X475)+IF(AA475="",0,AA475)+IFERROR((AB475-K475)*IF(F475="Sell",-1,1)*R475*AC475*IF(ISNUMBER(SEARCH("JPY",E475)),1000,IF(ISNUMBER(SEARCH("XAU",E475)),100,IF(OR(ISNUMBER(SEARCH("30",E475)),ISNUMBER(SEARCH("500",E475)),ISNUMBER(SEARCH("100",E475))),100,100000))),0))</f>
        <v/>
      </c>
      <c r="AF475" s="31" t="str">
        <f aca="false">IF(OR(K475="",M475="",L475=""),"",IFERROR(ABS(M475-K475)/ABS(K475-L475),0))</f>
        <v/>
      </c>
      <c r="AG475" s="31" t="str">
        <f aca="false">IF(OR(AE475="",AE475=0,Q475=0,Q475=""),"",IFERROR(AE475/Q475,0))</f>
        <v/>
      </c>
      <c r="AH475" s="32" t="str">
        <f aca="false">IF(AB475="","Open",IF(AG475="","Open",IF(AG475&gt;0.1,"Win",IF(AG475&lt;-0.1,"Loss","Breakeven"))))</f>
        <v>Open</v>
      </c>
      <c r="AI475" s="33" t="str">
        <f aca="false">IF(OR(B475="",D475=""),"",D475-B475)</f>
        <v/>
      </c>
      <c r="AJ475" s="24" t="str">
        <f aca="false">IF(AD475="","",IFERROR((AD475-K475)*IF(F475="Sell",-1,1)/IF(ISNUMBER(SEARCH("JPY",E475)),0.01,IF(ISNUMBER(SEARCH("XAU",E475)),0.01,IF(OR(ISNUMBER(SEARCH("30",E475)),ISNUMBER(SEARCH("500",E475)),ISNUMBER(SEARCH("100",E475))),1,0.0001))),0))</f>
        <v/>
      </c>
      <c r="AK475" s="12"/>
      <c r="AL475" s="12"/>
      <c r="AM475" s="12"/>
      <c r="AN475" s="12"/>
      <c r="AO475" s="27" t="str">
        <f aca="false">IF(AE475="","",IFERROR(IF(AO474="",SETTINGS!$B$6,AO474),SETTINGS!$B$6)+IF(AE475="",0,AE475))</f>
        <v/>
      </c>
      <c r="AP475" s="2"/>
    </row>
    <row r="476" customFormat="false" ht="15" hidden="false" customHeight="false" outlineLevel="0" collapsed="false">
      <c r="A476" s="24" t="str">
        <f aca="false">IF(B476="","",ROW()-3)</f>
        <v/>
      </c>
      <c r="B476" s="25"/>
      <c r="C476" s="10"/>
      <c r="D476" s="25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26"/>
      <c r="P476" s="24" t="str">
        <f aca="false">IF(K476="","",IFERROR(ABS(K476-L476)/IF(ISNUMBER(SEARCH("JPY",E476)),0.01,IF(ISNUMBER(SEARCH("XAU",E476)),0.01,IF(OR(ISNUMBER(SEARCH("30",E476)),ISNUMBER(SEARCH("500",E476)),ISNUMBER(SEARCH("100",E476))),1,0.0001))),0))</f>
        <v/>
      </c>
      <c r="Q476" s="27" t="str">
        <f aca="false">IF(K476="","",SETTINGS!$B$6*O476)</f>
        <v/>
      </c>
      <c r="R476" s="24" t="str">
        <f aca="false">IF(K476="","",IFERROR(Q476/(P476*IF(ISNUMBER(SEARCH("JPY",E476)),9.09,IF(ISNUMBER(SEARCH("XAU",E476)),1,IF(OR(ISNUMBER(SEARCH("30",E476)),ISNUMBER(SEARCH("500",E476)),ISNUMBER(SEARCH("100",E476))),1,10)))),0))</f>
        <v/>
      </c>
      <c r="S476" s="10"/>
      <c r="T476" s="28"/>
      <c r="U476" s="27" t="str">
        <f aca="false">IF(OR(S476="",T476=0),"",IFERROR((S476-K476)*IF(F476="Sell",-1,1)*R476*T476*IF(ISNUMBER(SEARCH("JPY",E476)),1000,IF(ISNUMBER(SEARCH("XAU",E476)),100,IF(OR(ISNUMBER(SEARCH("30",E476)),ISNUMBER(SEARCH("500",E476)),ISNUMBER(SEARCH("100",E476))),100,100000))),0))</f>
        <v/>
      </c>
      <c r="V476" s="10"/>
      <c r="W476" s="28"/>
      <c r="X476" s="27" t="str">
        <f aca="false">IF(OR(V476="",W476=0),"",IFERROR((V476-K476)*IF(F476="Sell",-1,1)*R476*W476*IF(ISNUMBER(SEARCH("JPY",E476)),1000,IF(ISNUMBER(SEARCH("XAU",E476)),100,IF(OR(ISNUMBER(SEARCH("30",E476)),ISNUMBER(SEARCH("500",E476)),ISNUMBER(SEARCH("100",E476))),100,100000))),0))</f>
        <v/>
      </c>
      <c r="Y476" s="10"/>
      <c r="Z476" s="28"/>
      <c r="AA476" s="27" t="str">
        <f aca="false">IF(OR(Y476="",Z476=0),"",IFERROR((Y476-K476)*IF(F476="Sell",-1,1)*R476*Z476*IF(ISNUMBER(SEARCH("JPY",E476)),1000,IF(ISNUMBER(SEARCH("XAU",E476)),100,IF(OR(ISNUMBER(SEARCH("30",E476)),ISNUMBER(SEARCH("500",E476)),ISNUMBER(SEARCH("100",E476))),100,100000))),0))</f>
        <v/>
      </c>
      <c r="AB476" s="10"/>
      <c r="AC476" s="29" t="str">
        <f aca="false">IF(K476="","",1-IFERROR(T476,0)-IFERROR(W476,0)-IFERROR(Z476,0))</f>
        <v/>
      </c>
      <c r="AD476" s="30" t="str">
        <f aca="false">IF(AB476="","",IFERROR((IFERROR(S476*T476,0)+IFERROR(V476*W476,0)+IFERROR(Y476*Z476,0)+AB476*AC476)/(IFERROR(T476,0)+IFERROR(W476,0)+IFERROR(Z476,0)+AC476),AB476))</f>
        <v/>
      </c>
      <c r="AE476" s="27" t="str">
        <f aca="false">IF(AB476="","",IF(U476="",0,U476)+IF(X476="",0,X476)+IF(AA476="",0,AA476)+IFERROR((AB476-K476)*IF(F476="Sell",-1,1)*R476*AC476*IF(ISNUMBER(SEARCH("JPY",E476)),1000,IF(ISNUMBER(SEARCH("XAU",E476)),100,IF(OR(ISNUMBER(SEARCH("30",E476)),ISNUMBER(SEARCH("500",E476)),ISNUMBER(SEARCH("100",E476))),100,100000))),0))</f>
        <v/>
      </c>
      <c r="AF476" s="31" t="str">
        <f aca="false">IF(OR(K476="",M476="",L476=""),"",IFERROR(ABS(M476-K476)/ABS(K476-L476),0))</f>
        <v/>
      </c>
      <c r="AG476" s="31" t="str">
        <f aca="false">IF(OR(AE476="",AE476=0,Q476=0,Q476=""),"",IFERROR(AE476/Q476,0))</f>
        <v/>
      </c>
      <c r="AH476" s="32" t="str">
        <f aca="false">IF(AB476="","Open",IF(AG476="","Open",IF(AG476&gt;0.1,"Win",IF(AG476&lt;-0.1,"Loss","Breakeven"))))</f>
        <v>Open</v>
      </c>
      <c r="AI476" s="33" t="str">
        <f aca="false">IF(OR(B476="",D476=""),"",D476-B476)</f>
        <v/>
      </c>
      <c r="AJ476" s="24" t="str">
        <f aca="false">IF(AD476="","",IFERROR((AD476-K476)*IF(F476="Sell",-1,1)/IF(ISNUMBER(SEARCH("JPY",E476)),0.01,IF(ISNUMBER(SEARCH("XAU",E476)),0.01,IF(OR(ISNUMBER(SEARCH("30",E476)),ISNUMBER(SEARCH("500",E476)),ISNUMBER(SEARCH("100",E476))),1,0.0001))),0))</f>
        <v/>
      </c>
      <c r="AK476" s="10"/>
      <c r="AL476" s="10"/>
      <c r="AM476" s="10"/>
      <c r="AN476" s="10"/>
      <c r="AO476" s="27" t="str">
        <f aca="false">IF(AE476="","",IFERROR(IF(AO475="",SETTINGS!$B$6,AO475),SETTINGS!$B$6)+IF(AE476="",0,AE476))</f>
        <v/>
      </c>
      <c r="AP476" s="2"/>
    </row>
    <row r="477" customFormat="false" ht="15" hidden="false" customHeight="false" outlineLevel="0" collapsed="false">
      <c r="A477" s="24" t="str">
        <f aca="false">IF(B477="","",ROW()-3)</f>
        <v/>
      </c>
      <c r="B477" s="34"/>
      <c r="C477" s="12"/>
      <c r="D477" s="34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35"/>
      <c r="P477" s="24" t="str">
        <f aca="false">IF(K477="","",IFERROR(ABS(K477-L477)/IF(ISNUMBER(SEARCH("JPY",E477)),0.01,IF(ISNUMBER(SEARCH("XAU",E477)),0.01,IF(OR(ISNUMBER(SEARCH("30",E477)),ISNUMBER(SEARCH("500",E477)),ISNUMBER(SEARCH("100",E477))),1,0.0001))),0))</f>
        <v/>
      </c>
      <c r="Q477" s="27" t="str">
        <f aca="false">IF(K477="","",SETTINGS!$B$6*O477)</f>
        <v/>
      </c>
      <c r="R477" s="24" t="str">
        <f aca="false">IF(K477="","",IFERROR(Q477/(P477*IF(ISNUMBER(SEARCH("JPY",E477)),9.09,IF(ISNUMBER(SEARCH("XAU",E477)),1,IF(OR(ISNUMBER(SEARCH("30",E477)),ISNUMBER(SEARCH("500",E477)),ISNUMBER(SEARCH("100",E477))),1,10)))),0))</f>
        <v/>
      </c>
      <c r="S477" s="12"/>
      <c r="T477" s="36"/>
      <c r="U477" s="27" t="str">
        <f aca="false">IF(OR(S477="",T477=0),"",IFERROR((S477-K477)*IF(F477="Sell",-1,1)*R477*T477*IF(ISNUMBER(SEARCH("JPY",E477)),1000,IF(ISNUMBER(SEARCH("XAU",E477)),100,IF(OR(ISNUMBER(SEARCH("30",E477)),ISNUMBER(SEARCH("500",E477)),ISNUMBER(SEARCH("100",E477))),100,100000))),0))</f>
        <v/>
      </c>
      <c r="V477" s="12"/>
      <c r="W477" s="36"/>
      <c r="X477" s="27" t="str">
        <f aca="false">IF(OR(V477="",W477=0),"",IFERROR((V477-K477)*IF(F477="Sell",-1,1)*R477*W477*IF(ISNUMBER(SEARCH("JPY",E477)),1000,IF(ISNUMBER(SEARCH("XAU",E477)),100,IF(OR(ISNUMBER(SEARCH("30",E477)),ISNUMBER(SEARCH("500",E477)),ISNUMBER(SEARCH("100",E477))),100,100000))),0))</f>
        <v/>
      </c>
      <c r="Y477" s="12"/>
      <c r="Z477" s="36"/>
      <c r="AA477" s="27" t="str">
        <f aca="false">IF(OR(Y477="",Z477=0),"",IFERROR((Y477-K477)*IF(F477="Sell",-1,1)*R477*Z477*IF(ISNUMBER(SEARCH("JPY",E477)),1000,IF(ISNUMBER(SEARCH("XAU",E477)),100,IF(OR(ISNUMBER(SEARCH("30",E477)),ISNUMBER(SEARCH("500",E477)),ISNUMBER(SEARCH("100",E477))),100,100000))),0))</f>
        <v/>
      </c>
      <c r="AB477" s="12"/>
      <c r="AC477" s="29" t="str">
        <f aca="false">IF(K477="","",1-IFERROR(T477,0)-IFERROR(W477,0)-IFERROR(Z477,0))</f>
        <v/>
      </c>
      <c r="AD477" s="30" t="str">
        <f aca="false">IF(AB477="","",IFERROR((IFERROR(S477*T477,0)+IFERROR(V477*W477,0)+IFERROR(Y477*Z477,0)+AB477*AC477)/(IFERROR(T477,0)+IFERROR(W477,0)+IFERROR(Z477,0)+AC477),AB477))</f>
        <v/>
      </c>
      <c r="AE477" s="27" t="str">
        <f aca="false">IF(AB477="","",IF(U477="",0,U477)+IF(X477="",0,X477)+IF(AA477="",0,AA477)+IFERROR((AB477-K477)*IF(F477="Sell",-1,1)*R477*AC477*IF(ISNUMBER(SEARCH("JPY",E477)),1000,IF(ISNUMBER(SEARCH("XAU",E477)),100,IF(OR(ISNUMBER(SEARCH("30",E477)),ISNUMBER(SEARCH("500",E477)),ISNUMBER(SEARCH("100",E477))),100,100000))),0))</f>
        <v/>
      </c>
      <c r="AF477" s="31" t="str">
        <f aca="false">IF(OR(K477="",M477="",L477=""),"",IFERROR(ABS(M477-K477)/ABS(K477-L477),0))</f>
        <v/>
      </c>
      <c r="AG477" s="31" t="str">
        <f aca="false">IF(OR(AE477="",AE477=0,Q477=0,Q477=""),"",IFERROR(AE477/Q477,0))</f>
        <v/>
      </c>
      <c r="AH477" s="32" t="str">
        <f aca="false">IF(AB477="","Open",IF(AG477="","Open",IF(AG477&gt;0.1,"Win",IF(AG477&lt;-0.1,"Loss","Breakeven"))))</f>
        <v>Open</v>
      </c>
      <c r="AI477" s="33" t="str">
        <f aca="false">IF(OR(B477="",D477=""),"",D477-B477)</f>
        <v/>
      </c>
      <c r="AJ477" s="24" t="str">
        <f aca="false">IF(AD477="","",IFERROR((AD477-K477)*IF(F477="Sell",-1,1)/IF(ISNUMBER(SEARCH("JPY",E477)),0.01,IF(ISNUMBER(SEARCH("XAU",E477)),0.01,IF(OR(ISNUMBER(SEARCH("30",E477)),ISNUMBER(SEARCH("500",E477)),ISNUMBER(SEARCH("100",E477))),1,0.0001))),0))</f>
        <v/>
      </c>
      <c r="AK477" s="12"/>
      <c r="AL477" s="12"/>
      <c r="AM477" s="12"/>
      <c r="AN477" s="12"/>
      <c r="AO477" s="27" t="str">
        <f aca="false">IF(AE477="","",IFERROR(IF(AO476="",SETTINGS!$B$6,AO476),SETTINGS!$B$6)+IF(AE477="",0,AE477))</f>
        <v/>
      </c>
      <c r="AP477" s="2"/>
    </row>
    <row r="478" customFormat="false" ht="15" hidden="false" customHeight="false" outlineLevel="0" collapsed="false">
      <c r="A478" s="24" t="str">
        <f aca="false">IF(B478="","",ROW()-3)</f>
        <v/>
      </c>
      <c r="B478" s="25"/>
      <c r="C478" s="10"/>
      <c r="D478" s="25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26"/>
      <c r="P478" s="24" t="str">
        <f aca="false">IF(K478="","",IFERROR(ABS(K478-L478)/IF(ISNUMBER(SEARCH("JPY",E478)),0.01,IF(ISNUMBER(SEARCH("XAU",E478)),0.01,IF(OR(ISNUMBER(SEARCH("30",E478)),ISNUMBER(SEARCH("500",E478)),ISNUMBER(SEARCH("100",E478))),1,0.0001))),0))</f>
        <v/>
      </c>
      <c r="Q478" s="27" t="str">
        <f aca="false">IF(K478="","",SETTINGS!$B$6*O478)</f>
        <v/>
      </c>
      <c r="R478" s="24" t="str">
        <f aca="false">IF(K478="","",IFERROR(Q478/(P478*IF(ISNUMBER(SEARCH("JPY",E478)),9.09,IF(ISNUMBER(SEARCH("XAU",E478)),1,IF(OR(ISNUMBER(SEARCH("30",E478)),ISNUMBER(SEARCH("500",E478)),ISNUMBER(SEARCH("100",E478))),1,10)))),0))</f>
        <v/>
      </c>
      <c r="S478" s="10"/>
      <c r="T478" s="28"/>
      <c r="U478" s="27" t="str">
        <f aca="false">IF(OR(S478="",T478=0),"",IFERROR((S478-K478)*IF(F478="Sell",-1,1)*R478*T478*IF(ISNUMBER(SEARCH("JPY",E478)),1000,IF(ISNUMBER(SEARCH("XAU",E478)),100,IF(OR(ISNUMBER(SEARCH("30",E478)),ISNUMBER(SEARCH("500",E478)),ISNUMBER(SEARCH("100",E478))),100,100000))),0))</f>
        <v/>
      </c>
      <c r="V478" s="10"/>
      <c r="W478" s="28"/>
      <c r="X478" s="27" t="str">
        <f aca="false">IF(OR(V478="",W478=0),"",IFERROR((V478-K478)*IF(F478="Sell",-1,1)*R478*W478*IF(ISNUMBER(SEARCH("JPY",E478)),1000,IF(ISNUMBER(SEARCH("XAU",E478)),100,IF(OR(ISNUMBER(SEARCH("30",E478)),ISNUMBER(SEARCH("500",E478)),ISNUMBER(SEARCH("100",E478))),100,100000))),0))</f>
        <v/>
      </c>
      <c r="Y478" s="10"/>
      <c r="Z478" s="28"/>
      <c r="AA478" s="27" t="str">
        <f aca="false">IF(OR(Y478="",Z478=0),"",IFERROR((Y478-K478)*IF(F478="Sell",-1,1)*R478*Z478*IF(ISNUMBER(SEARCH("JPY",E478)),1000,IF(ISNUMBER(SEARCH("XAU",E478)),100,IF(OR(ISNUMBER(SEARCH("30",E478)),ISNUMBER(SEARCH("500",E478)),ISNUMBER(SEARCH("100",E478))),100,100000))),0))</f>
        <v/>
      </c>
      <c r="AB478" s="10"/>
      <c r="AC478" s="29" t="str">
        <f aca="false">IF(K478="","",1-IFERROR(T478,0)-IFERROR(W478,0)-IFERROR(Z478,0))</f>
        <v/>
      </c>
      <c r="AD478" s="30" t="str">
        <f aca="false">IF(AB478="","",IFERROR((IFERROR(S478*T478,0)+IFERROR(V478*W478,0)+IFERROR(Y478*Z478,0)+AB478*AC478)/(IFERROR(T478,0)+IFERROR(W478,0)+IFERROR(Z478,0)+AC478),AB478))</f>
        <v/>
      </c>
      <c r="AE478" s="27" t="str">
        <f aca="false">IF(AB478="","",IF(U478="",0,U478)+IF(X478="",0,X478)+IF(AA478="",0,AA478)+IFERROR((AB478-K478)*IF(F478="Sell",-1,1)*R478*AC478*IF(ISNUMBER(SEARCH("JPY",E478)),1000,IF(ISNUMBER(SEARCH("XAU",E478)),100,IF(OR(ISNUMBER(SEARCH("30",E478)),ISNUMBER(SEARCH("500",E478)),ISNUMBER(SEARCH("100",E478))),100,100000))),0))</f>
        <v/>
      </c>
      <c r="AF478" s="31" t="str">
        <f aca="false">IF(OR(K478="",M478="",L478=""),"",IFERROR(ABS(M478-K478)/ABS(K478-L478),0))</f>
        <v/>
      </c>
      <c r="AG478" s="31" t="str">
        <f aca="false">IF(OR(AE478="",AE478=0,Q478=0,Q478=""),"",IFERROR(AE478/Q478,0))</f>
        <v/>
      </c>
      <c r="AH478" s="32" t="str">
        <f aca="false">IF(AB478="","Open",IF(AG478="","Open",IF(AG478&gt;0.1,"Win",IF(AG478&lt;-0.1,"Loss","Breakeven"))))</f>
        <v>Open</v>
      </c>
      <c r="AI478" s="33" t="str">
        <f aca="false">IF(OR(B478="",D478=""),"",D478-B478)</f>
        <v/>
      </c>
      <c r="AJ478" s="24" t="str">
        <f aca="false">IF(AD478="","",IFERROR((AD478-K478)*IF(F478="Sell",-1,1)/IF(ISNUMBER(SEARCH("JPY",E478)),0.01,IF(ISNUMBER(SEARCH("XAU",E478)),0.01,IF(OR(ISNUMBER(SEARCH("30",E478)),ISNUMBER(SEARCH("500",E478)),ISNUMBER(SEARCH("100",E478))),1,0.0001))),0))</f>
        <v/>
      </c>
      <c r="AK478" s="10"/>
      <c r="AL478" s="10"/>
      <c r="AM478" s="10"/>
      <c r="AN478" s="10"/>
      <c r="AO478" s="27" t="str">
        <f aca="false">IF(AE478="","",IFERROR(IF(AO477="",SETTINGS!$B$6,AO477),SETTINGS!$B$6)+IF(AE478="",0,AE478))</f>
        <v/>
      </c>
      <c r="AP478" s="2"/>
    </row>
    <row r="479" customFormat="false" ht="15" hidden="false" customHeight="false" outlineLevel="0" collapsed="false">
      <c r="A479" s="24" t="str">
        <f aca="false">IF(B479="","",ROW()-3)</f>
        <v/>
      </c>
      <c r="B479" s="34"/>
      <c r="C479" s="12"/>
      <c r="D479" s="34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35"/>
      <c r="P479" s="24" t="str">
        <f aca="false">IF(K479="","",IFERROR(ABS(K479-L479)/IF(ISNUMBER(SEARCH("JPY",E479)),0.01,IF(ISNUMBER(SEARCH("XAU",E479)),0.01,IF(OR(ISNUMBER(SEARCH("30",E479)),ISNUMBER(SEARCH("500",E479)),ISNUMBER(SEARCH("100",E479))),1,0.0001))),0))</f>
        <v/>
      </c>
      <c r="Q479" s="27" t="str">
        <f aca="false">IF(K479="","",SETTINGS!$B$6*O479)</f>
        <v/>
      </c>
      <c r="R479" s="24" t="str">
        <f aca="false">IF(K479="","",IFERROR(Q479/(P479*IF(ISNUMBER(SEARCH("JPY",E479)),9.09,IF(ISNUMBER(SEARCH("XAU",E479)),1,IF(OR(ISNUMBER(SEARCH("30",E479)),ISNUMBER(SEARCH("500",E479)),ISNUMBER(SEARCH("100",E479))),1,10)))),0))</f>
        <v/>
      </c>
      <c r="S479" s="12"/>
      <c r="T479" s="36"/>
      <c r="U479" s="27" t="str">
        <f aca="false">IF(OR(S479="",T479=0),"",IFERROR((S479-K479)*IF(F479="Sell",-1,1)*R479*T479*IF(ISNUMBER(SEARCH("JPY",E479)),1000,IF(ISNUMBER(SEARCH("XAU",E479)),100,IF(OR(ISNUMBER(SEARCH("30",E479)),ISNUMBER(SEARCH("500",E479)),ISNUMBER(SEARCH("100",E479))),100,100000))),0))</f>
        <v/>
      </c>
      <c r="V479" s="12"/>
      <c r="W479" s="36"/>
      <c r="X479" s="27" t="str">
        <f aca="false">IF(OR(V479="",W479=0),"",IFERROR((V479-K479)*IF(F479="Sell",-1,1)*R479*W479*IF(ISNUMBER(SEARCH("JPY",E479)),1000,IF(ISNUMBER(SEARCH("XAU",E479)),100,IF(OR(ISNUMBER(SEARCH("30",E479)),ISNUMBER(SEARCH("500",E479)),ISNUMBER(SEARCH("100",E479))),100,100000))),0))</f>
        <v/>
      </c>
      <c r="Y479" s="12"/>
      <c r="Z479" s="36"/>
      <c r="AA479" s="27" t="str">
        <f aca="false">IF(OR(Y479="",Z479=0),"",IFERROR((Y479-K479)*IF(F479="Sell",-1,1)*R479*Z479*IF(ISNUMBER(SEARCH("JPY",E479)),1000,IF(ISNUMBER(SEARCH("XAU",E479)),100,IF(OR(ISNUMBER(SEARCH("30",E479)),ISNUMBER(SEARCH("500",E479)),ISNUMBER(SEARCH("100",E479))),100,100000))),0))</f>
        <v/>
      </c>
      <c r="AB479" s="12"/>
      <c r="AC479" s="29" t="str">
        <f aca="false">IF(K479="","",1-IFERROR(T479,0)-IFERROR(W479,0)-IFERROR(Z479,0))</f>
        <v/>
      </c>
      <c r="AD479" s="30" t="str">
        <f aca="false">IF(AB479="","",IFERROR((IFERROR(S479*T479,0)+IFERROR(V479*W479,0)+IFERROR(Y479*Z479,0)+AB479*AC479)/(IFERROR(T479,0)+IFERROR(W479,0)+IFERROR(Z479,0)+AC479),AB479))</f>
        <v/>
      </c>
      <c r="AE479" s="27" t="str">
        <f aca="false">IF(AB479="","",IF(U479="",0,U479)+IF(X479="",0,X479)+IF(AA479="",0,AA479)+IFERROR((AB479-K479)*IF(F479="Sell",-1,1)*R479*AC479*IF(ISNUMBER(SEARCH("JPY",E479)),1000,IF(ISNUMBER(SEARCH("XAU",E479)),100,IF(OR(ISNUMBER(SEARCH("30",E479)),ISNUMBER(SEARCH("500",E479)),ISNUMBER(SEARCH("100",E479))),100,100000))),0))</f>
        <v/>
      </c>
      <c r="AF479" s="31" t="str">
        <f aca="false">IF(OR(K479="",M479="",L479=""),"",IFERROR(ABS(M479-K479)/ABS(K479-L479),0))</f>
        <v/>
      </c>
      <c r="AG479" s="31" t="str">
        <f aca="false">IF(OR(AE479="",AE479=0,Q479=0,Q479=""),"",IFERROR(AE479/Q479,0))</f>
        <v/>
      </c>
      <c r="AH479" s="32" t="str">
        <f aca="false">IF(AB479="","Open",IF(AG479="","Open",IF(AG479&gt;0.1,"Win",IF(AG479&lt;-0.1,"Loss","Breakeven"))))</f>
        <v>Open</v>
      </c>
      <c r="AI479" s="33" t="str">
        <f aca="false">IF(OR(B479="",D479=""),"",D479-B479)</f>
        <v/>
      </c>
      <c r="AJ479" s="24" t="str">
        <f aca="false">IF(AD479="","",IFERROR((AD479-K479)*IF(F479="Sell",-1,1)/IF(ISNUMBER(SEARCH("JPY",E479)),0.01,IF(ISNUMBER(SEARCH("XAU",E479)),0.01,IF(OR(ISNUMBER(SEARCH("30",E479)),ISNUMBER(SEARCH("500",E479)),ISNUMBER(SEARCH("100",E479))),1,0.0001))),0))</f>
        <v/>
      </c>
      <c r="AK479" s="12"/>
      <c r="AL479" s="12"/>
      <c r="AM479" s="12"/>
      <c r="AN479" s="12"/>
      <c r="AO479" s="27" t="str">
        <f aca="false">IF(AE479="","",IFERROR(IF(AO478="",SETTINGS!$B$6,AO478),SETTINGS!$B$6)+IF(AE479="",0,AE479))</f>
        <v/>
      </c>
      <c r="AP479" s="2"/>
    </row>
    <row r="480" customFormat="false" ht="15" hidden="false" customHeight="false" outlineLevel="0" collapsed="false">
      <c r="A480" s="24" t="str">
        <f aca="false">IF(B480="","",ROW()-3)</f>
        <v/>
      </c>
      <c r="B480" s="25"/>
      <c r="C480" s="10"/>
      <c r="D480" s="25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26"/>
      <c r="P480" s="24" t="str">
        <f aca="false">IF(K480="","",IFERROR(ABS(K480-L480)/IF(ISNUMBER(SEARCH("JPY",E480)),0.01,IF(ISNUMBER(SEARCH("XAU",E480)),0.01,IF(OR(ISNUMBER(SEARCH("30",E480)),ISNUMBER(SEARCH("500",E480)),ISNUMBER(SEARCH("100",E480))),1,0.0001))),0))</f>
        <v/>
      </c>
      <c r="Q480" s="27" t="str">
        <f aca="false">IF(K480="","",SETTINGS!$B$6*O480)</f>
        <v/>
      </c>
      <c r="R480" s="24" t="str">
        <f aca="false">IF(K480="","",IFERROR(Q480/(P480*IF(ISNUMBER(SEARCH("JPY",E480)),9.09,IF(ISNUMBER(SEARCH("XAU",E480)),1,IF(OR(ISNUMBER(SEARCH("30",E480)),ISNUMBER(SEARCH("500",E480)),ISNUMBER(SEARCH("100",E480))),1,10)))),0))</f>
        <v/>
      </c>
      <c r="S480" s="10"/>
      <c r="T480" s="28"/>
      <c r="U480" s="27" t="str">
        <f aca="false">IF(OR(S480="",T480=0),"",IFERROR((S480-K480)*IF(F480="Sell",-1,1)*R480*T480*IF(ISNUMBER(SEARCH("JPY",E480)),1000,IF(ISNUMBER(SEARCH("XAU",E480)),100,IF(OR(ISNUMBER(SEARCH("30",E480)),ISNUMBER(SEARCH("500",E480)),ISNUMBER(SEARCH("100",E480))),100,100000))),0))</f>
        <v/>
      </c>
      <c r="V480" s="10"/>
      <c r="W480" s="28"/>
      <c r="X480" s="27" t="str">
        <f aca="false">IF(OR(V480="",W480=0),"",IFERROR((V480-K480)*IF(F480="Sell",-1,1)*R480*W480*IF(ISNUMBER(SEARCH("JPY",E480)),1000,IF(ISNUMBER(SEARCH("XAU",E480)),100,IF(OR(ISNUMBER(SEARCH("30",E480)),ISNUMBER(SEARCH("500",E480)),ISNUMBER(SEARCH("100",E480))),100,100000))),0))</f>
        <v/>
      </c>
      <c r="Y480" s="10"/>
      <c r="Z480" s="28"/>
      <c r="AA480" s="27" t="str">
        <f aca="false">IF(OR(Y480="",Z480=0),"",IFERROR((Y480-K480)*IF(F480="Sell",-1,1)*R480*Z480*IF(ISNUMBER(SEARCH("JPY",E480)),1000,IF(ISNUMBER(SEARCH("XAU",E480)),100,IF(OR(ISNUMBER(SEARCH("30",E480)),ISNUMBER(SEARCH("500",E480)),ISNUMBER(SEARCH("100",E480))),100,100000))),0))</f>
        <v/>
      </c>
      <c r="AB480" s="10"/>
      <c r="AC480" s="29" t="str">
        <f aca="false">IF(K480="","",1-IFERROR(T480,0)-IFERROR(W480,0)-IFERROR(Z480,0))</f>
        <v/>
      </c>
      <c r="AD480" s="30" t="str">
        <f aca="false">IF(AB480="","",IFERROR((IFERROR(S480*T480,0)+IFERROR(V480*W480,0)+IFERROR(Y480*Z480,0)+AB480*AC480)/(IFERROR(T480,0)+IFERROR(W480,0)+IFERROR(Z480,0)+AC480),AB480))</f>
        <v/>
      </c>
      <c r="AE480" s="27" t="str">
        <f aca="false">IF(AB480="","",IF(U480="",0,U480)+IF(X480="",0,X480)+IF(AA480="",0,AA480)+IFERROR((AB480-K480)*IF(F480="Sell",-1,1)*R480*AC480*IF(ISNUMBER(SEARCH("JPY",E480)),1000,IF(ISNUMBER(SEARCH("XAU",E480)),100,IF(OR(ISNUMBER(SEARCH("30",E480)),ISNUMBER(SEARCH("500",E480)),ISNUMBER(SEARCH("100",E480))),100,100000))),0))</f>
        <v/>
      </c>
      <c r="AF480" s="31" t="str">
        <f aca="false">IF(OR(K480="",M480="",L480=""),"",IFERROR(ABS(M480-K480)/ABS(K480-L480),0))</f>
        <v/>
      </c>
      <c r="AG480" s="31" t="str">
        <f aca="false">IF(OR(AE480="",AE480=0,Q480=0,Q480=""),"",IFERROR(AE480/Q480,0))</f>
        <v/>
      </c>
      <c r="AH480" s="32" t="str">
        <f aca="false">IF(AB480="","Open",IF(AG480="","Open",IF(AG480&gt;0.1,"Win",IF(AG480&lt;-0.1,"Loss","Breakeven"))))</f>
        <v>Open</v>
      </c>
      <c r="AI480" s="33" t="str">
        <f aca="false">IF(OR(B480="",D480=""),"",D480-B480)</f>
        <v/>
      </c>
      <c r="AJ480" s="24" t="str">
        <f aca="false">IF(AD480="","",IFERROR((AD480-K480)*IF(F480="Sell",-1,1)/IF(ISNUMBER(SEARCH("JPY",E480)),0.01,IF(ISNUMBER(SEARCH("XAU",E480)),0.01,IF(OR(ISNUMBER(SEARCH("30",E480)),ISNUMBER(SEARCH("500",E480)),ISNUMBER(SEARCH("100",E480))),1,0.0001))),0))</f>
        <v/>
      </c>
      <c r="AK480" s="10"/>
      <c r="AL480" s="10"/>
      <c r="AM480" s="10"/>
      <c r="AN480" s="10"/>
      <c r="AO480" s="27" t="str">
        <f aca="false">IF(AE480="","",IFERROR(IF(AO479="",SETTINGS!$B$6,AO479),SETTINGS!$B$6)+IF(AE480="",0,AE480))</f>
        <v/>
      </c>
      <c r="AP480" s="2"/>
    </row>
    <row r="481" customFormat="false" ht="15" hidden="false" customHeight="false" outlineLevel="0" collapsed="false">
      <c r="A481" s="24" t="str">
        <f aca="false">IF(B481="","",ROW()-3)</f>
        <v/>
      </c>
      <c r="B481" s="34"/>
      <c r="C481" s="12"/>
      <c r="D481" s="34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35"/>
      <c r="P481" s="24" t="str">
        <f aca="false">IF(K481="","",IFERROR(ABS(K481-L481)/IF(ISNUMBER(SEARCH("JPY",E481)),0.01,IF(ISNUMBER(SEARCH("XAU",E481)),0.01,IF(OR(ISNUMBER(SEARCH("30",E481)),ISNUMBER(SEARCH("500",E481)),ISNUMBER(SEARCH("100",E481))),1,0.0001))),0))</f>
        <v/>
      </c>
      <c r="Q481" s="27" t="str">
        <f aca="false">IF(K481="","",SETTINGS!$B$6*O481)</f>
        <v/>
      </c>
      <c r="R481" s="24" t="str">
        <f aca="false">IF(K481="","",IFERROR(Q481/(P481*IF(ISNUMBER(SEARCH("JPY",E481)),9.09,IF(ISNUMBER(SEARCH("XAU",E481)),1,IF(OR(ISNUMBER(SEARCH("30",E481)),ISNUMBER(SEARCH("500",E481)),ISNUMBER(SEARCH("100",E481))),1,10)))),0))</f>
        <v/>
      </c>
      <c r="S481" s="12"/>
      <c r="T481" s="36"/>
      <c r="U481" s="27" t="str">
        <f aca="false">IF(OR(S481="",T481=0),"",IFERROR((S481-K481)*IF(F481="Sell",-1,1)*R481*T481*IF(ISNUMBER(SEARCH("JPY",E481)),1000,IF(ISNUMBER(SEARCH("XAU",E481)),100,IF(OR(ISNUMBER(SEARCH("30",E481)),ISNUMBER(SEARCH("500",E481)),ISNUMBER(SEARCH("100",E481))),100,100000))),0))</f>
        <v/>
      </c>
      <c r="V481" s="12"/>
      <c r="W481" s="36"/>
      <c r="X481" s="27" t="str">
        <f aca="false">IF(OR(V481="",W481=0),"",IFERROR((V481-K481)*IF(F481="Sell",-1,1)*R481*W481*IF(ISNUMBER(SEARCH("JPY",E481)),1000,IF(ISNUMBER(SEARCH("XAU",E481)),100,IF(OR(ISNUMBER(SEARCH("30",E481)),ISNUMBER(SEARCH("500",E481)),ISNUMBER(SEARCH("100",E481))),100,100000))),0))</f>
        <v/>
      </c>
      <c r="Y481" s="12"/>
      <c r="Z481" s="36"/>
      <c r="AA481" s="27" t="str">
        <f aca="false">IF(OR(Y481="",Z481=0),"",IFERROR((Y481-K481)*IF(F481="Sell",-1,1)*R481*Z481*IF(ISNUMBER(SEARCH("JPY",E481)),1000,IF(ISNUMBER(SEARCH("XAU",E481)),100,IF(OR(ISNUMBER(SEARCH("30",E481)),ISNUMBER(SEARCH("500",E481)),ISNUMBER(SEARCH("100",E481))),100,100000))),0))</f>
        <v/>
      </c>
      <c r="AB481" s="12"/>
      <c r="AC481" s="29" t="str">
        <f aca="false">IF(K481="","",1-IFERROR(T481,0)-IFERROR(W481,0)-IFERROR(Z481,0))</f>
        <v/>
      </c>
      <c r="AD481" s="30" t="str">
        <f aca="false">IF(AB481="","",IFERROR((IFERROR(S481*T481,0)+IFERROR(V481*W481,0)+IFERROR(Y481*Z481,0)+AB481*AC481)/(IFERROR(T481,0)+IFERROR(W481,0)+IFERROR(Z481,0)+AC481),AB481))</f>
        <v/>
      </c>
      <c r="AE481" s="27" t="str">
        <f aca="false">IF(AB481="","",IF(U481="",0,U481)+IF(X481="",0,X481)+IF(AA481="",0,AA481)+IFERROR((AB481-K481)*IF(F481="Sell",-1,1)*R481*AC481*IF(ISNUMBER(SEARCH("JPY",E481)),1000,IF(ISNUMBER(SEARCH("XAU",E481)),100,IF(OR(ISNUMBER(SEARCH("30",E481)),ISNUMBER(SEARCH("500",E481)),ISNUMBER(SEARCH("100",E481))),100,100000))),0))</f>
        <v/>
      </c>
      <c r="AF481" s="31" t="str">
        <f aca="false">IF(OR(K481="",M481="",L481=""),"",IFERROR(ABS(M481-K481)/ABS(K481-L481),0))</f>
        <v/>
      </c>
      <c r="AG481" s="31" t="str">
        <f aca="false">IF(OR(AE481="",AE481=0,Q481=0,Q481=""),"",IFERROR(AE481/Q481,0))</f>
        <v/>
      </c>
      <c r="AH481" s="32" t="str">
        <f aca="false">IF(AB481="","Open",IF(AG481="","Open",IF(AG481&gt;0.1,"Win",IF(AG481&lt;-0.1,"Loss","Breakeven"))))</f>
        <v>Open</v>
      </c>
      <c r="AI481" s="33" t="str">
        <f aca="false">IF(OR(B481="",D481=""),"",D481-B481)</f>
        <v/>
      </c>
      <c r="AJ481" s="24" t="str">
        <f aca="false">IF(AD481="","",IFERROR((AD481-K481)*IF(F481="Sell",-1,1)/IF(ISNUMBER(SEARCH("JPY",E481)),0.01,IF(ISNUMBER(SEARCH("XAU",E481)),0.01,IF(OR(ISNUMBER(SEARCH("30",E481)),ISNUMBER(SEARCH("500",E481)),ISNUMBER(SEARCH("100",E481))),1,0.0001))),0))</f>
        <v/>
      </c>
      <c r="AK481" s="12"/>
      <c r="AL481" s="12"/>
      <c r="AM481" s="12"/>
      <c r="AN481" s="12"/>
      <c r="AO481" s="27" t="str">
        <f aca="false">IF(AE481="","",IFERROR(IF(AO480="",SETTINGS!$B$6,AO480),SETTINGS!$B$6)+IF(AE481="",0,AE481))</f>
        <v/>
      </c>
      <c r="AP481" s="2"/>
    </row>
    <row r="482" customFormat="false" ht="15" hidden="false" customHeight="false" outlineLevel="0" collapsed="false">
      <c r="A482" s="24" t="str">
        <f aca="false">IF(B482="","",ROW()-3)</f>
        <v/>
      </c>
      <c r="B482" s="25"/>
      <c r="C482" s="10"/>
      <c r="D482" s="25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26"/>
      <c r="P482" s="24" t="str">
        <f aca="false">IF(K482="","",IFERROR(ABS(K482-L482)/IF(ISNUMBER(SEARCH("JPY",E482)),0.01,IF(ISNUMBER(SEARCH("XAU",E482)),0.01,IF(OR(ISNUMBER(SEARCH("30",E482)),ISNUMBER(SEARCH("500",E482)),ISNUMBER(SEARCH("100",E482))),1,0.0001))),0))</f>
        <v/>
      </c>
      <c r="Q482" s="27" t="str">
        <f aca="false">IF(K482="","",SETTINGS!$B$6*O482)</f>
        <v/>
      </c>
      <c r="R482" s="24" t="str">
        <f aca="false">IF(K482="","",IFERROR(Q482/(P482*IF(ISNUMBER(SEARCH("JPY",E482)),9.09,IF(ISNUMBER(SEARCH("XAU",E482)),1,IF(OR(ISNUMBER(SEARCH("30",E482)),ISNUMBER(SEARCH("500",E482)),ISNUMBER(SEARCH("100",E482))),1,10)))),0))</f>
        <v/>
      </c>
      <c r="S482" s="10"/>
      <c r="T482" s="28"/>
      <c r="U482" s="27" t="str">
        <f aca="false">IF(OR(S482="",T482=0),"",IFERROR((S482-K482)*IF(F482="Sell",-1,1)*R482*T482*IF(ISNUMBER(SEARCH("JPY",E482)),1000,IF(ISNUMBER(SEARCH("XAU",E482)),100,IF(OR(ISNUMBER(SEARCH("30",E482)),ISNUMBER(SEARCH("500",E482)),ISNUMBER(SEARCH("100",E482))),100,100000))),0))</f>
        <v/>
      </c>
      <c r="V482" s="10"/>
      <c r="W482" s="28"/>
      <c r="X482" s="27" t="str">
        <f aca="false">IF(OR(V482="",W482=0),"",IFERROR((V482-K482)*IF(F482="Sell",-1,1)*R482*W482*IF(ISNUMBER(SEARCH("JPY",E482)),1000,IF(ISNUMBER(SEARCH("XAU",E482)),100,IF(OR(ISNUMBER(SEARCH("30",E482)),ISNUMBER(SEARCH("500",E482)),ISNUMBER(SEARCH("100",E482))),100,100000))),0))</f>
        <v/>
      </c>
      <c r="Y482" s="10"/>
      <c r="Z482" s="28"/>
      <c r="AA482" s="27" t="str">
        <f aca="false">IF(OR(Y482="",Z482=0),"",IFERROR((Y482-K482)*IF(F482="Sell",-1,1)*R482*Z482*IF(ISNUMBER(SEARCH("JPY",E482)),1000,IF(ISNUMBER(SEARCH("XAU",E482)),100,IF(OR(ISNUMBER(SEARCH("30",E482)),ISNUMBER(SEARCH("500",E482)),ISNUMBER(SEARCH("100",E482))),100,100000))),0))</f>
        <v/>
      </c>
      <c r="AB482" s="10"/>
      <c r="AC482" s="29" t="str">
        <f aca="false">IF(K482="","",1-IFERROR(T482,0)-IFERROR(W482,0)-IFERROR(Z482,0))</f>
        <v/>
      </c>
      <c r="AD482" s="30" t="str">
        <f aca="false">IF(AB482="","",IFERROR((IFERROR(S482*T482,0)+IFERROR(V482*W482,0)+IFERROR(Y482*Z482,0)+AB482*AC482)/(IFERROR(T482,0)+IFERROR(W482,0)+IFERROR(Z482,0)+AC482),AB482))</f>
        <v/>
      </c>
      <c r="AE482" s="27" t="str">
        <f aca="false">IF(AB482="","",IF(U482="",0,U482)+IF(X482="",0,X482)+IF(AA482="",0,AA482)+IFERROR((AB482-K482)*IF(F482="Sell",-1,1)*R482*AC482*IF(ISNUMBER(SEARCH("JPY",E482)),1000,IF(ISNUMBER(SEARCH("XAU",E482)),100,IF(OR(ISNUMBER(SEARCH("30",E482)),ISNUMBER(SEARCH("500",E482)),ISNUMBER(SEARCH("100",E482))),100,100000))),0))</f>
        <v/>
      </c>
      <c r="AF482" s="31" t="str">
        <f aca="false">IF(OR(K482="",M482="",L482=""),"",IFERROR(ABS(M482-K482)/ABS(K482-L482),0))</f>
        <v/>
      </c>
      <c r="AG482" s="31" t="str">
        <f aca="false">IF(OR(AE482="",AE482=0,Q482=0,Q482=""),"",IFERROR(AE482/Q482,0))</f>
        <v/>
      </c>
      <c r="AH482" s="32" t="str">
        <f aca="false">IF(AB482="","Open",IF(AG482="","Open",IF(AG482&gt;0.1,"Win",IF(AG482&lt;-0.1,"Loss","Breakeven"))))</f>
        <v>Open</v>
      </c>
      <c r="AI482" s="33" t="str">
        <f aca="false">IF(OR(B482="",D482=""),"",D482-B482)</f>
        <v/>
      </c>
      <c r="AJ482" s="24" t="str">
        <f aca="false">IF(AD482="","",IFERROR((AD482-K482)*IF(F482="Sell",-1,1)/IF(ISNUMBER(SEARCH("JPY",E482)),0.01,IF(ISNUMBER(SEARCH("XAU",E482)),0.01,IF(OR(ISNUMBER(SEARCH("30",E482)),ISNUMBER(SEARCH("500",E482)),ISNUMBER(SEARCH("100",E482))),1,0.0001))),0))</f>
        <v/>
      </c>
      <c r="AK482" s="10"/>
      <c r="AL482" s="10"/>
      <c r="AM482" s="10"/>
      <c r="AN482" s="10"/>
      <c r="AO482" s="27" t="str">
        <f aca="false">IF(AE482="","",IFERROR(IF(AO481="",SETTINGS!$B$6,AO481),SETTINGS!$B$6)+IF(AE482="",0,AE482))</f>
        <v/>
      </c>
      <c r="AP482" s="2"/>
    </row>
    <row r="483" customFormat="false" ht="15" hidden="false" customHeight="false" outlineLevel="0" collapsed="false">
      <c r="A483" s="24" t="str">
        <f aca="false">IF(B483="","",ROW()-3)</f>
        <v/>
      </c>
      <c r="B483" s="34"/>
      <c r="C483" s="12"/>
      <c r="D483" s="34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35"/>
      <c r="P483" s="24" t="str">
        <f aca="false">IF(K483="","",IFERROR(ABS(K483-L483)/IF(ISNUMBER(SEARCH("JPY",E483)),0.01,IF(ISNUMBER(SEARCH("XAU",E483)),0.01,IF(OR(ISNUMBER(SEARCH("30",E483)),ISNUMBER(SEARCH("500",E483)),ISNUMBER(SEARCH("100",E483))),1,0.0001))),0))</f>
        <v/>
      </c>
      <c r="Q483" s="27" t="str">
        <f aca="false">IF(K483="","",SETTINGS!$B$6*O483)</f>
        <v/>
      </c>
      <c r="R483" s="24" t="str">
        <f aca="false">IF(K483="","",IFERROR(Q483/(P483*IF(ISNUMBER(SEARCH("JPY",E483)),9.09,IF(ISNUMBER(SEARCH("XAU",E483)),1,IF(OR(ISNUMBER(SEARCH("30",E483)),ISNUMBER(SEARCH("500",E483)),ISNUMBER(SEARCH("100",E483))),1,10)))),0))</f>
        <v/>
      </c>
      <c r="S483" s="12"/>
      <c r="T483" s="36"/>
      <c r="U483" s="27" t="str">
        <f aca="false">IF(OR(S483="",T483=0),"",IFERROR((S483-K483)*IF(F483="Sell",-1,1)*R483*T483*IF(ISNUMBER(SEARCH("JPY",E483)),1000,IF(ISNUMBER(SEARCH("XAU",E483)),100,IF(OR(ISNUMBER(SEARCH("30",E483)),ISNUMBER(SEARCH("500",E483)),ISNUMBER(SEARCH("100",E483))),100,100000))),0))</f>
        <v/>
      </c>
      <c r="V483" s="12"/>
      <c r="W483" s="36"/>
      <c r="X483" s="27" t="str">
        <f aca="false">IF(OR(V483="",W483=0),"",IFERROR((V483-K483)*IF(F483="Sell",-1,1)*R483*W483*IF(ISNUMBER(SEARCH("JPY",E483)),1000,IF(ISNUMBER(SEARCH("XAU",E483)),100,IF(OR(ISNUMBER(SEARCH("30",E483)),ISNUMBER(SEARCH("500",E483)),ISNUMBER(SEARCH("100",E483))),100,100000))),0))</f>
        <v/>
      </c>
      <c r="Y483" s="12"/>
      <c r="Z483" s="36"/>
      <c r="AA483" s="27" t="str">
        <f aca="false">IF(OR(Y483="",Z483=0),"",IFERROR((Y483-K483)*IF(F483="Sell",-1,1)*R483*Z483*IF(ISNUMBER(SEARCH("JPY",E483)),1000,IF(ISNUMBER(SEARCH("XAU",E483)),100,IF(OR(ISNUMBER(SEARCH("30",E483)),ISNUMBER(SEARCH("500",E483)),ISNUMBER(SEARCH("100",E483))),100,100000))),0))</f>
        <v/>
      </c>
      <c r="AB483" s="12"/>
      <c r="AC483" s="29" t="str">
        <f aca="false">IF(K483="","",1-IFERROR(T483,0)-IFERROR(W483,0)-IFERROR(Z483,0))</f>
        <v/>
      </c>
      <c r="AD483" s="30" t="str">
        <f aca="false">IF(AB483="","",IFERROR((IFERROR(S483*T483,0)+IFERROR(V483*W483,0)+IFERROR(Y483*Z483,0)+AB483*AC483)/(IFERROR(T483,0)+IFERROR(W483,0)+IFERROR(Z483,0)+AC483),AB483))</f>
        <v/>
      </c>
      <c r="AE483" s="27" t="str">
        <f aca="false">IF(AB483="","",IF(U483="",0,U483)+IF(X483="",0,X483)+IF(AA483="",0,AA483)+IFERROR((AB483-K483)*IF(F483="Sell",-1,1)*R483*AC483*IF(ISNUMBER(SEARCH("JPY",E483)),1000,IF(ISNUMBER(SEARCH("XAU",E483)),100,IF(OR(ISNUMBER(SEARCH("30",E483)),ISNUMBER(SEARCH("500",E483)),ISNUMBER(SEARCH("100",E483))),100,100000))),0))</f>
        <v/>
      </c>
      <c r="AF483" s="31" t="str">
        <f aca="false">IF(OR(K483="",M483="",L483=""),"",IFERROR(ABS(M483-K483)/ABS(K483-L483),0))</f>
        <v/>
      </c>
      <c r="AG483" s="31" t="str">
        <f aca="false">IF(OR(AE483="",AE483=0,Q483=0,Q483=""),"",IFERROR(AE483/Q483,0))</f>
        <v/>
      </c>
      <c r="AH483" s="32" t="str">
        <f aca="false">IF(AB483="","Open",IF(AG483="","Open",IF(AG483&gt;0.1,"Win",IF(AG483&lt;-0.1,"Loss","Breakeven"))))</f>
        <v>Open</v>
      </c>
      <c r="AI483" s="33" t="str">
        <f aca="false">IF(OR(B483="",D483=""),"",D483-B483)</f>
        <v/>
      </c>
      <c r="AJ483" s="24" t="str">
        <f aca="false">IF(AD483="","",IFERROR((AD483-K483)*IF(F483="Sell",-1,1)/IF(ISNUMBER(SEARCH("JPY",E483)),0.01,IF(ISNUMBER(SEARCH("XAU",E483)),0.01,IF(OR(ISNUMBER(SEARCH("30",E483)),ISNUMBER(SEARCH("500",E483)),ISNUMBER(SEARCH("100",E483))),1,0.0001))),0))</f>
        <v/>
      </c>
      <c r="AK483" s="12"/>
      <c r="AL483" s="12"/>
      <c r="AM483" s="12"/>
      <c r="AN483" s="12"/>
      <c r="AO483" s="27" t="str">
        <f aca="false">IF(AE483="","",IFERROR(IF(AO482="",SETTINGS!$B$6,AO482),SETTINGS!$B$6)+IF(AE483="",0,AE483))</f>
        <v/>
      </c>
      <c r="AP483" s="2"/>
    </row>
    <row r="484" customFormat="false" ht="15" hidden="false" customHeight="false" outlineLevel="0" collapsed="false">
      <c r="A484" s="24" t="str">
        <f aca="false">IF(B484="","",ROW()-3)</f>
        <v/>
      </c>
      <c r="B484" s="25"/>
      <c r="C484" s="10"/>
      <c r="D484" s="25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26"/>
      <c r="P484" s="24" t="str">
        <f aca="false">IF(K484="","",IFERROR(ABS(K484-L484)/IF(ISNUMBER(SEARCH("JPY",E484)),0.01,IF(ISNUMBER(SEARCH("XAU",E484)),0.01,IF(OR(ISNUMBER(SEARCH("30",E484)),ISNUMBER(SEARCH("500",E484)),ISNUMBER(SEARCH("100",E484))),1,0.0001))),0))</f>
        <v/>
      </c>
      <c r="Q484" s="27" t="str">
        <f aca="false">IF(K484="","",SETTINGS!$B$6*O484)</f>
        <v/>
      </c>
      <c r="R484" s="24" t="str">
        <f aca="false">IF(K484="","",IFERROR(Q484/(P484*IF(ISNUMBER(SEARCH("JPY",E484)),9.09,IF(ISNUMBER(SEARCH("XAU",E484)),1,IF(OR(ISNUMBER(SEARCH("30",E484)),ISNUMBER(SEARCH("500",E484)),ISNUMBER(SEARCH("100",E484))),1,10)))),0))</f>
        <v/>
      </c>
      <c r="S484" s="10"/>
      <c r="T484" s="28"/>
      <c r="U484" s="27" t="str">
        <f aca="false">IF(OR(S484="",T484=0),"",IFERROR((S484-K484)*IF(F484="Sell",-1,1)*R484*T484*IF(ISNUMBER(SEARCH("JPY",E484)),1000,IF(ISNUMBER(SEARCH("XAU",E484)),100,IF(OR(ISNUMBER(SEARCH("30",E484)),ISNUMBER(SEARCH("500",E484)),ISNUMBER(SEARCH("100",E484))),100,100000))),0))</f>
        <v/>
      </c>
      <c r="V484" s="10"/>
      <c r="W484" s="28"/>
      <c r="X484" s="27" t="str">
        <f aca="false">IF(OR(V484="",W484=0),"",IFERROR((V484-K484)*IF(F484="Sell",-1,1)*R484*W484*IF(ISNUMBER(SEARCH("JPY",E484)),1000,IF(ISNUMBER(SEARCH("XAU",E484)),100,IF(OR(ISNUMBER(SEARCH("30",E484)),ISNUMBER(SEARCH("500",E484)),ISNUMBER(SEARCH("100",E484))),100,100000))),0))</f>
        <v/>
      </c>
      <c r="Y484" s="10"/>
      <c r="Z484" s="28"/>
      <c r="AA484" s="27" t="str">
        <f aca="false">IF(OR(Y484="",Z484=0),"",IFERROR((Y484-K484)*IF(F484="Sell",-1,1)*R484*Z484*IF(ISNUMBER(SEARCH("JPY",E484)),1000,IF(ISNUMBER(SEARCH("XAU",E484)),100,IF(OR(ISNUMBER(SEARCH("30",E484)),ISNUMBER(SEARCH("500",E484)),ISNUMBER(SEARCH("100",E484))),100,100000))),0))</f>
        <v/>
      </c>
      <c r="AB484" s="10"/>
      <c r="AC484" s="29" t="str">
        <f aca="false">IF(K484="","",1-IFERROR(T484,0)-IFERROR(W484,0)-IFERROR(Z484,0))</f>
        <v/>
      </c>
      <c r="AD484" s="30" t="str">
        <f aca="false">IF(AB484="","",IFERROR((IFERROR(S484*T484,0)+IFERROR(V484*W484,0)+IFERROR(Y484*Z484,0)+AB484*AC484)/(IFERROR(T484,0)+IFERROR(W484,0)+IFERROR(Z484,0)+AC484),AB484))</f>
        <v/>
      </c>
      <c r="AE484" s="27" t="str">
        <f aca="false">IF(AB484="","",IF(U484="",0,U484)+IF(X484="",0,X484)+IF(AA484="",0,AA484)+IFERROR((AB484-K484)*IF(F484="Sell",-1,1)*R484*AC484*IF(ISNUMBER(SEARCH("JPY",E484)),1000,IF(ISNUMBER(SEARCH("XAU",E484)),100,IF(OR(ISNUMBER(SEARCH("30",E484)),ISNUMBER(SEARCH("500",E484)),ISNUMBER(SEARCH("100",E484))),100,100000))),0))</f>
        <v/>
      </c>
      <c r="AF484" s="31" t="str">
        <f aca="false">IF(OR(K484="",M484="",L484=""),"",IFERROR(ABS(M484-K484)/ABS(K484-L484),0))</f>
        <v/>
      </c>
      <c r="AG484" s="31" t="str">
        <f aca="false">IF(OR(AE484="",AE484=0,Q484=0,Q484=""),"",IFERROR(AE484/Q484,0))</f>
        <v/>
      </c>
      <c r="AH484" s="32" t="str">
        <f aca="false">IF(AB484="","Open",IF(AG484="","Open",IF(AG484&gt;0.1,"Win",IF(AG484&lt;-0.1,"Loss","Breakeven"))))</f>
        <v>Open</v>
      </c>
      <c r="AI484" s="33" t="str">
        <f aca="false">IF(OR(B484="",D484=""),"",D484-B484)</f>
        <v/>
      </c>
      <c r="AJ484" s="24" t="str">
        <f aca="false">IF(AD484="","",IFERROR((AD484-K484)*IF(F484="Sell",-1,1)/IF(ISNUMBER(SEARCH("JPY",E484)),0.01,IF(ISNUMBER(SEARCH("XAU",E484)),0.01,IF(OR(ISNUMBER(SEARCH("30",E484)),ISNUMBER(SEARCH("500",E484)),ISNUMBER(SEARCH("100",E484))),1,0.0001))),0))</f>
        <v/>
      </c>
      <c r="AK484" s="10"/>
      <c r="AL484" s="10"/>
      <c r="AM484" s="10"/>
      <c r="AN484" s="10"/>
      <c r="AO484" s="27" t="str">
        <f aca="false">IF(AE484="","",IFERROR(IF(AO483="",SETTINGS!$B$6,AO483),SETTINGS!$B$6)+IF(AE484="",0,AE484))</f>
        <v/>
      </c>
      <c r="AP484" s="2"/>
    </row>
    <row r="485" customFormat="false" ht="15" hidden="false" customHeight="false" outlineLevel="0" collapsed="false">
      <c r="A485" s="24" t="str">
        <f aca="false">IF(B485="","",ROW()-3)</f>
        <v/>
      </c>
      <c r="B485" s="34"/>
      <c r="C485" s="12"/>
      <c r="D485" s="34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35"/>
      <c r="P485" s="24" t="str">
        <f aca="false">IF(K485="","",IFERROR(ABS(K485-L485)/IF(ISNUMBER(SEARCH("JPY",E485)),0.01,IF(ISNUMBER(SEARCH("XAU",E485)),0.01,IF(OR(ISNUMBER(SEARCH("30",E485)),ISNUMBER(SEARCH("500",E485)),ISNUMBER(SEARCH("100",E485))),1,0.0001))),0))</f>
        <v/>
      </c>
      <c r="Q485" s="27" t="str">
        <f aca="false">IF(K485="","",SETTINGS!$B$6*O485)</f>
        <v/>
      </c>
      <c r="R485" s="24" t="str">
        <f aca="false">IF(K485="","",IFERROR(Q485/(P485*IF(ISNUMBER(SEARCH("JPY",E485)),9.09,IF(ISNUMBER(SEARCH("XAU",E485)),1,IF(OR(ISNUMBER(SEARCH("30",E485)),ISNUMBER(SEARCH("500",E485)),ISNUMBER(SEARCH("100",E485))),1,10)))),0))</f>
        <v/>
      </c>
      <c r="S485" s="12"/>
      <c r="T485" s="36"/>
      <c r="U485" s="27" t="str">
        <f aca="false">IF(OR(S485="",T485=0),"",IFERROR((S485-K485)*IF(F485="Sell",-1,1)*R485*T485*IF(ISNUMBER(SEARCH("JPY",E485)),1000,IF(ISNUMBER(SEARCH("XAU",E485)),100,IF(OR(ISNUMBER(SEARCH("30",E485)),ISNUMBER(SEARCH("500",E485)),ISNUMBER(SEARCH("100",E485))),100,100000))),0))</f>
        <v/>
      </c>
      <c r="V485" s="12"/>
      <c r="W485" s="36"/>
      <c r="X485" s="27" t="str">
        <f aca="false">IF(OR(V485="",W485=0),"",IFERROR((V485-K485)*IF(F485="Sell",-1,1)*R485*W485*IF(ISNUMBER(SEARCH("JPY",E485)),1000,IF(ISNUMBER(SEARCH("XAU",E485)),100,IF(OR(ISNUMBER(SEARCH("30",E485)),ISNUMBER(SEARCH("500",E485)),ISNUMBER(SEARCH("100",E485))),100,100000))),0))</f>
        <v/>
      </c>
      <c r="Y485" s="12"/>
      <c r="Z485" s="36"/>
      <c r="AA485" s="27" t="str">
        <f aca="false">IF(OR(Y485="",Z485=0),"",IFERROR((Y485-K485)*IF(F485="Sell",-1,1)*R485*Z485*IF(ISNUMBER(SEARCH("JPY",E485)),1000,IF(ISNUMBER(SEARCH("XAU",E485)),100,IF(OR(ISNUMBER(SEARCH("30",E485)),ISNUMBER(SEARCH("500",E485)),ISNUMBER(SEARCH("100",E485))),100,100000))),0))</f>
        <v/>
      </c>
      <c r="AB485" s="12"/>
      <c r="AC485" s="29" t="str">
        <f aca="false">IF(K485="","",1-IFERROR(T485,0)-IFERROR(W485,0)-IFERROR(Z485,0))</f>
        <v/>
      </c>
      <c r="AD485" s="30" t="str">
        <f aca="false">IF(AB485="","",IFERROR((IFERROR(S485*T485,0)+IFERROR(V485*W485,0)+IFERROR(Y485*Z485,0)+AB485*AC485)/(IFERROR(T485,0)+IFERROR(W485,0)+IFERROR(Z485,0)+AC485),AB485))</f>
        <v/>
      </c>
      <c r="AE485" s="27" t="str">
        <f aca="false">IF(AB485="","",IF(U485="",0,U485)+IF(X485="",0,X485)+IF(AA485="",0,AA485)+IFERROR((AB485-K485)*IF(F485="Sell",-1,1)*R485*AC485*IF(ISNUMBER(SEARCH("JPY",E485)),1000,IF(ISNUMBER(SEARCH("XAU",E485)),100,IF(OR(ISNUMBER(SEARCH("30",E485)),ISNUMBER(SEARCH("500",E485)),ISNUMBER(SEARCH("100",E485))),100,100000))),0))</f>
        <v/>
      </c>
      <c r="AF485" s="31" t="str">
        <f aca="false">IF(OR(K485="",M485="",L485=""),"",IFERROR(ABS(M485-K485)/ABS(K485-L485),0))</f>
        <v/>
      </c>
      <c r="AG485" s="31" t="str">
        <f aca="false">IF(OR(AE485="",AE485=0,Q485=0,Q485=""),"",IFERROR(AE485/Q485,0))</f>
        <v/>
      </c>
      <c r="AH485" s="32" t="str">
        <f aca="false">IF(AB485="","Open",IF(AG485="","Open",IF(AG485&gt;0.1,"Win",IF(AG485&lt;-0.1,"Loss","Breakeven"))))</f>
        <v>Open</v>
      </c>
      <c r="AI485" s="33" t="str">
        <f aca="false">IF(OR(B485="",D485=""),"",D485-B485)</f>
        <v/>
      </c>
      <c r="AJ485" s="24" t="str">
        <f aca="false">IF(AD485="","",IFERROR((AD485-K485)*IF(F485="Sell",-1,1)/IF(ISNUMBER(SEARCH("JPY",E485)),0.01,IF(ISNUMBER(SEARCH("XAU",E485)),0.01,IF(OR(ISNUMBER(SEARCH("30",E485)),ISNUMBER(SEARCH("500",E485)),ISNUMBER(SEARCH("100",E485))),1,0.0001))),0))</f>
        <v/>
      </c>
      <c r="AK485" s="12"/>
      <c r="AL485" s="12"/>
      <c r="AM485" s="12"/>
      <c r="AN485" s="12"/>
      <c r="AO485" s="27" t="str">
        <f aca="false">IF(AE485="","",IFERROR(IF(AO484="",SETTINGS!$B$6,AO484),SETTINGS!$B$6)+IF(AE485="",0,AE485))</f>
        <v/>
      </c>
      <c r="AP485" s="2"/>
    </row>
    <row r="486" customFormat="false" ht="15" hidden="false" customHeight="false" outlineLevel="0" collapsed="false">
      <c r="A486" s="24" t="str">
        <f aca="false">IF(B486="","",ROW()-3)</f>
        <v/>
      </c>
      <c r="B486" s="25"/>
      <c r="C486" s="10"/>
      <c r="D486" s="25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26"/>
      <c r="P486" s="24" t="str">
        <f aca="false">IF(K486="","",IFERROR(ABS(K486-L486)/IF(ISNUMBER(SEARCH("JPY",E486)),0.01,IF(ISNUMBER(SEARCH("XAU",E486)),0.01,IF(OR(ISNUMBER(SEARCH("30",E486)),ISNUMBER(SEARCH("500",E486)),ISNUMBER(SEARCH("100",E486))),1,0.0001))),0))</f>
        <v/>
      </c>
      <c r="Q486" s="27" t="str">
        <f aca="false">IF(K486="","",SETTINGS!$B$6*O486)</f>
        <v/>
      </c>
      <c r="R486" s="24" t="str">
        <f aca="false">IF(K486="","",IFERROR(Q486/(P486*IF(ISNUMBER(SEARCH("JPY",E486)),9.09,IF(ISNUMBER(SEARCH("XAU",E486)),1,IF(OR(ISNUMBER(SEARCH("30",E486)),ISNUMBER(SEARCH("500",E486)),ISNUMBER(SEARCH("100",E486))),1,10)))),0))</f>
        <v/>
      </c>
      <c r="S486" s="10"/>
      <c r="T486" s="28"/>
      <c r="U486" s="27" t="str">
        <f aca="false">IF(OR(S486="",T486=0),"",IFERROR((S486-K486)*IF(F486="Sell",-1,1)*R486*T486*IF(ISNUMBER(SEARCH("JPY",E486)),1000,IF(ISNUMBER(SEARCH("XAU",E486)),100,IF(OR(ISNUMBER(SEARCH("30",E486)),ISNUMBER(SEARCH("500",E486)),ISNUMBER(SEARCH("100",E486))),100,100000))),0))</f>
        <v/>
      </c>
      <c r="V486" s="10"/>
      <c r="W486" s="28"/>
      <c r="X486" s="27" t="str">
        <f aca="false">IF(OR(V486="",W486=0),"",IFERROR((V486-K486)*IF(F486="Sell",-1,1)*R486*W486*IF(ISNUMBER(SEARCH("JPY",E486)),1000,IF(ISNUMBER(SEARCH("XAU",E486)),100,IF(OR(ISNUMBER(SEARCH("30",E486)),ISNUMBER(SEARCH("500",E486)),ISNUMBER(SEARCH("100",E486))),100,100000))),0))</f>
        <v/>
      </c>
      <c r="Y486" s="10"/>
      <c r="Z486" s="28"/>
      <c r="AA486" s="27" t="str">
        <f aca="false">IF(OR(Y486="",Z486=0),"",IFERROR((Y486-K486)*IF(F486="Sell",-1,1)*R486*Z486*IF(ISNUMBER(SEARCH("JPY",E486)),1000,IF(ISNUMBER(SEARCH("XAU",E486)),100,IF(OR(ISNUMBER(SEARCH("30",E486)),ISNUMBER(SEARCH("500",E486)),ISNUMBER(SEARCH("100",E486))),100,100000))),0))</f>
        <v/>
      </c>
      <c r="AB486" s="10"/>
      <c r="AC486" s="29" t="str">
        <f aca="false">IF(K486="","",1-IFERROR(T486,0)-IFERROR(W486,0)-IFERROR(Z486,0))</f>
        <v/>
      </c>
      <c r="AD486" s="30" t="str">
        <f aca="false">IF(AB486="","",IFERROR((IFERROR(S486*T486,0)+IFERROR(V486*W486,0)+IFERROR(Y486*Z486,0)+AB486*AC486)/(IFERROR(T486,0)+IFERROR(W486,0)+IFERROR(Z486,0)+AC486),AB486))</f>
        <v/>
      </c>
      <c r="AE486" s="27" t="str">
        <f aca="false">IF(AB486="","",IF(U486="",0,U486)+IF(X486="",0,X486)+IF(AA486="",0,AA486)+IFERROR((AB486-K486)*IF(F486="Sell",-1,1)*R486*AC486*IF(ISNUMBER(SEARCH("JPY",E486)),1000,IF(ISNUMBER(SEARCH("XAU",E486)),100,IF(OR(ISNUMBER(SEARCH("30",E486)),ISNUMBER(SEARCH("500",E486)),ISNUMBER(SEARCH("100",E486))),100,100000))),0))</f>
        <v/>
      </c>
      <c r="AF486" s="31" t="str">
        <f aca="false">IF(OR(K486="",M486="",L486=""),"",IFERROR(ABS(M486-K486)/ABS(K486-L486),0))</f>
        <v/>
      </c>
      <c r="AG486" s="31" t="str">
        <f aca="false">IF(OR(AE486="",AE486=0,Q486=0,Q486=""),"",IFERROR(AE486/Q486,0))</f>
        <v/>
      </c>
      <c r="AH486" s="32" t="str">
        <f aca="false">IF(AB486="","Open",IF(AG486="","Open",IF(AG486&gt;0.1,"Win",IF(AG486&lt;-0.1,"Loss","Breakeven"))))</f>
        <v>Open</v>
      </c>
      <c r="AI486" s="33" t="str">
        <f aca="false">IF(OR(B486="",D486=""),"",D486-B486)</f>
        <v/>
      </c>
      <c r="AJ486" s="24" t="str">
        <f aca="false">IF(AD486="","",IFERROR((AD486-K486)*IF(F486="Sell",-1,1)/IF(ISNUMBER(SEARCH("JPY",E486)),0.01,IF(ISNUMBER(SEARCH("XAU",E486)),0.01,IF(OR(ISNUMBER(SEARCH("30",E486)),ISNUMBER(SEARCH("500",E486)),ISNUMBER(SEARCH("100",E486))),1,0.0001))),0))</f>
        <v/>
      </c>
      <c r="AK486" s="10"/>
      <c r="AL486" s="10"/>
      <c r="AM486" s="10"/>
      <c r="AN486" s="10"/>
      <c r="AO486" s="27" t="str">
        <f aca="false">IF(AE486="","",IFERROR(IF(AO485="",SETTINGS!$B$6,AO485),SETTINGS!$B$6)+IF(AE486="",0,AE486))</f>
        <v/>
      </c>
      <c r="AP486" s="2"/>
    </row>
    <row r="487" customFormat="false" ht="15" hidden="false" customHeight="false" outlineLevel="0" collapsed="false">
      <c r="A487" s="24" t="str">
        <f aca="false">IF(B487="","",ROW()-3)</f>
        <v/>
      </c>
      <c r="B487" s="34"/>
      <c r="C487" s="12"/>
      <c r="D487" s="34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35"/>
      <c r="P487" s="24" t="str">
        <f aca="false">IF(K487="","",IFERROR(ABS(K487-L487)/IF(ISNUMBER(SEARCH("JPY",E487)),0.01,IF(ISNUMBER(SEARCH("XAU",E487)),0.01,IF(OR(ISNUMBER(SEARCH("30",E487)),ISNUMBER(SEARCH("500",E487)),ISNUMBER(SEARCH("100",E487))),1,0.0001))),0))</f>
        <v/>
      </c>
      <c r="Q487" s="27" t="str">
        <f aca="false">IF(K487="","",SETTINGS!$B$6*O487)</f>
        <v/>
      </c>
      <c r="R487" s="24" t="str">
        <f aca="false">IF(K487="","",IFERROR(Q487/(P487*IF(ISNUMBER(SEARCH("JPY",E487)),9.09,IF(ISNUMBER(SEARCH("XAU",E487)),1,IF(OR(ISNUMBER(SEARCH("30",E487)),ISNUMBER(SEARCH("500",E487)),ISNUMBER(SEARCH("100",E487))),1,10)))),0))</f>
        <v/>
      </c>
      <c r="S487" s="12"/>
      <c r="T487" s="36"/>
      <c r="U487" s="27" t="str">
        <f aca="false">IF(OR(S487="",T487=0),"",IFERROR((S487-K487)*IF(F487="Sell",-1,1)*R487*T487*IF(ISNUMBER(SEARCH("JPY",E487)),1000,IF(ISNUMBER(SEARCH("XAU",E487)),100,IF(OR(ISNUMBER(SEARCH("30",E487)),ISNUMBER(SEARCH("500",E487)),ISNUMBER(SEARCH("100",E487))),100,100000))),0))</f>
        <v/>
      </c>
      <c r="V487" s="12"/>
      <c r="W487" s="36"/>
      <c r="X487" s="27" t="str">
        <f aca="false">IF(OR(V487="",W487=0),"",IFERROR((V487-K487)*IF(F487="Sell",-1,1)*R487*W487*IF(ISNUMBER(SEARCH("JPY",E487)),1000,IF(ISNUMBER(SEARCH("XAU",E487)),100,IF(OR(ISNUMBER(SEARCH("30",E487)),ISNUMBER(SEARCH("500",E487)),ISNUMBER(SEARCH("100",E487))),100,100000))),0))</f>
        <v/>
      </c>
      <c r="Y487" s="12"/>
      <c r="Z487" s="36"/>
      <c r="AA487" s="27" t="str">
        <f aca="false">IF(OR(Y487="",Z487=0),"",IFERROR((Y487-K487)*IF(F487="Sell",-1,1)*R487*Z487*IF(ISNUMBER(SEARCH("JPY",E487)),1000,IF(ISNUMBER(SEARCH("XAU",E487)),100,IF(OR(ISNUMBER(SEARCH("30",E487)),ISNUMBER(SEARCH("500",E487)),ISNUMBER(SEARCH("100",E487))),100,100000))),0))</f>
        <v/>
      </c>
      <c r="AB487" s="12"/>
      <c r="AC487" s="29" t="str">
        <f aca="false">IF(K487="","",1-IFERROR(T487,0)-IFERROR(W487,0)-IFERROR(Z487,0))</f>
        <v/>
      </c>
      <c r="AD487" s="30" t="str">
        <f aca="false">IF(AB487="","",IFERROR((IFERROR(S487*T487,0)+IFERROR(V487*W487,0)+IFERROR(Y487*Z487,0)+AB487*AC487)/(IFERROR(T487,0)+IFERROR(W487,0)+IFERROR(Z487,0)+AC487),AB487))</f>
        <v/>
      </c>
      <c r="AE487" s="27" t="str">
        <f aca="false">IF(AB487="","",IF(U487="",0,U487)+IF(X487="",0,X487)+IF(AA487="",0,AA487)+IFERROR((AB487-K487)*IF(F487="Sell",-1,1)*R487*AC487*IF(ISNUMBER(SEARCH("JPY",E487)),1000,IF(ISNUMBER(SEARCH("XAU",E487)),100,IF(OR(ISNUMBER(SEARCH("30",E487)),ISNUMBER(SEARCH("500",E487)),ISNUMBER(SEARCH("100",E487))),100,100000))),0))</f>
        <v/>
      </c>
      <c r="AF487" s="31" t="str">
        <f aca="false">IF(OR(K487="",M487="",L487=""),"",IFERROR(ABS(M487-K487)/ABS(K487-L487),0))</f>
        <v/>
      </c>
      <c r="AG487" s="31" t="str">
        <f aca="false">IF(OR(AE487="",AE487=0,Q487=0,Q487=""),"",IFERROR(AE487/Q487,0))</f>
        <v/>
      </c>
      <c r="AH487" s="32" t="str">
        <f aca="false">IF(AB487="","Open",IF(AG487="","Open",IF(AG487&gt;0.1,"Win",IF(AG487&lt;-0.1,"Loss","Breakeven"))))</f>
        <v>Open</v>
      </c>
      <c r="AI487" s="33" t="str">
        <f aca="false">IF(OR(B487="",D487=""),"",D487-B487)</f>
        <v/>
      </c>
      <c r="AJ487" s="24" t="str">
        <f aca="false">IF(AD487="","",IFERROR((AD487-K487)*IF(F487="Sell",-1,1)/IF(ISNUMBER(SEARCH("JPY",E487)),0.01,IF(ISNUMBER(SEARCH("XAU",E487)),0.01,IF(OR(ISNUMBER(SEARCH("30",E487)),ISNUMBER(SEARCH("500",E487)),ISNUMBER(SEARCH("100",E487))),1,0.0001))),0))</f>
        <v/>
      </c>
      <c r="AK487" s="12"/>
      <c r="AL487" s="12"/>
      <c r="AM487" s="12"/>
      <c r="AN487" s="12"/>
      <c r="AO487" s="27" t="str">
        <f aca="false">IF(AE487="","",IFERROR(IF(AO486="",SETTINGS!$B$6,AO486),SETTINGS!$B$6)+IF(AE487="",0,AE487))</f>
        <v/>
      </c>
      <c r="AP487" s="2"/>
    </row>
    <row r="488" customFormat="false" ht="15" hidden="false" customHeight="false" outlineLevel="0" collapsed="false">
      <c r="A488" s="24" t="str">
        <f aca="false">IF(B488="","",ROW()-3)</f>
        <v/>
      </c>
      <c r="B488" s="25"/>
      <c r="C488" s="10"/>
      <c r="D488" s="25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26"/>
      <c r="P488" s="24" t="str">
        <f aca="false">IF(K488="","",IFERROR(ABS(K488-L488)/IF(ISNUMBER(SEARCH("JPY",E488)),0.01,IF(ISNUMBER(SEARCH("XAU",E488)),0.01,IF(OR(ISNUMBER(SEARCH("30",E488)),ISNUMBER(SEARCH("500",E488)),ISNUMBER(SEARCH("100",E488))),1,0.0001))),0))</f>
        <v/>
      </c>
      <c r="Q488" s="27" t="str">
        <f aca="false">IF(K488="","",SETTINGS!$B$6*O488)</f>
        <v/>
      </c>
      <c r="R488" s="24" t="str">
        <f aca="false">IF(K488="","",IFERROR(Q488/(P488*IF(ISNUMBER(SEARCH("JPY",E488)),9.09,IF(ISNUMBER(SEARCH("XAU",E488)),1,IF(OR(ISNUMBER(SEARCH("30",E488)),ISNUMBER(SEARCH("500",E488)),ISNUMBER(SEARCH("100",E488))),1,10)))),0))</f>
        <v/>
      </c>
      <c r="S488" s="10"/>
      <c r="T488" s="28"/>
      <c r="U488" s="27" t="str">
        <f aca="false">IF(OR(S488="",T488=0),"",IFERROR((S488-K488)*IF(F488="Sell",-1,1)*R488*T488*IF(ISNUMBER(SEARCH("JPY",E488)),1000,IF(ISNUMBER(SEARCH("XAU",E488)),100,IF(OR(ISNUMBER(SEARCH("30",E488)),ISNUMBER(SEARCH("500",E488)),ISNUMBER(SEARCH("100",E488))),100,100000))),0))</f>
        <v/>
      </c>
      <c r="V488" s="10"/>
      <c r="W488" s="28"/>
      <c r="X488" s="27" t="str">
        <f aca="false">IF(OR(V488="",W488=0),"",IFERROR((V488-K488)*IF(F488="Sell",-1,1)*R488*W488*IF(ISNUMBER(SEARCH("JPY",E488)),1000,IF(ISNUMBER(SEARCH("XAU",E488)),100,IF(OR(ISNUMBER(SEARCH("30",E488)),ISNUMBER(SEARCH("500",E488)),ISNUMBER(SEARCH("100",E488))),100,100000))),0))</f>
        <v/>
      </c>
      <c r="Y488" s="10"/>
      <c r="Z488" s="28"/>
      <c r="AA488" s="27" t="str">
        <f aca="false">IF(OR(Y488="",Z488=0),"",IFERROR((Y488-K488)*IF(F488="Sell",-1,1)*R488*Z488*IF(ISNUMBER(SEARCH("JPY",E488)),1000,IF(ISNUMBER(SEARCH("XAU",E488)),100,IF(OR(ISNUMBER(SEARCH("30",E488)),ISNUMBER(SEARCH("500",E488)),ISNUMBER(SEARCH("100",E488))),100,100000))),0))</f>
        <v/>
      </c>
      <c r="AB488" s="10"/>
      <c r="AC488" s="29" t="str">
        <f aca="false">IF(K488="","",1-IFERROR(T488,0)-IFERROR(W488,0)-IFERROR(Z488,0))</f>
        <v/>
      </c>
      <c r="AD488" s="30" t="str">
        <f aca="false">IF(AB488="","",IFERROR((IFERROR(S488*T488,0)+IFERROR(V488*W488,0)+IFERROR(Y488*Z488,0)+AB488*AC488)/(IFERROR(T488,0)+IFERROR(W488,0)+IFERROR(Z488,0)+AC488),AB488))</f>
        <v/>
      </c>
      <c r="AE488" s="27" t="str">
        <f aca="false">IF(AB488="","",IF(U488="",0,U488)+IF(X488="",0,X488)+IF(AA488="",0,AA488)+IFERROR((AB488-K488)*IF(F488="Sell",-1,1)*R488*AC488*IF(ISNUMBER(SEARCH("JPY",E488)),1000,IF(ISNUMBER(SEARCH("XAU",E488)),100,IF(OR(ISNUMBER(SEARCH("30",E488)),ISNUMBER(SEARCH("500",E488)),ISNUMBER(SEARCH("100",E488))),100,100000))),0))</f>
        <v/>
      </c>
      <c r="AF488" s="31" t="str">
        <f aca="false">IF(OR(K488="",M488="",L488=""),"",IFERROR(ABS(M488-K488)/ABS(K488-L488),0))</f>
        <v/>
      </c>
      <c r="AG488" s="31" t="str">
        <f aca="false">IF(OR(AE488="",AE488=0,Q488=0,Q488=""),"",IFERROR(AE488/Q488,0))</f>
        <v/>
      </c>
      <c r="AH488" s="32" t="str">
        <f aca="false">IF(AB488="","Open",IF(AG488="","Open",IF(AG488&gt;0.1,"Win",IF(AG488&lt;-0.1,"Loss","Breakeven"))))</f>
        <v>Open</v>
      </c>
      <c r="AI488" s="33" t="str">
        <f aca="false">IF(OR(B488="",D488=""),"",D488-B488)</f>
        <v/>
      </c>
      <c r="AJ488" s="24" t="str">
        <f aca="false">IF(AD488="","",IFERROR((AD488-K488)*IF(F488="Sell",-1,1)/IF(ISNUMBER(SEARCH("JPY",E488)),0.01,IF(ISNUMBER(SEARCH("XAU",E488)),0.01,IF(OR(ISNUMBER(SEARCH("30",E488)),ISNUMBER(SEARCH("500",E488)),ISNUMBER(SEARCH("100",E488))),1,0.0001))),0))</f>
        <v/>
      </c>
      <c r="AK488" s="10"/>
      <c r="AL488" s="10"/>
      <c r="AM488" s="10"/>
      <c r="AN488" s="10"/>
      <c r="AO488" s="27" t="str">
        <f aca="false">IF(AE488="","",IFERROR(IF(AO487="",SETTINGS!$B$6,AO487),SETTINGS!$B$6)+IF(AE488="",0,AE488))</f>
        <v/>
      </c>
      <c r="AP488" s="2"/>
    </row>
    <row r="489" customFormat="false" ht="15" hidden="false" customHeight="false" outlineLevel="0" collapsed="false">
      <c r="A489" s="24" t="str">
        <f aca="false">IF(B489="","",ROW()-3)</f>
        <v/>
      </c>
      <c r="B489" s="34"/>
      <c r="C489" s="12"/>
      <c r="D489" s="34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35"/>
      <c r="P489" s="24" t="str">
        <f aca="false">IF(K489="","",IFERROR(ABS(K489-L489)/IF(ISNUMBER(SEARCH("JPY",E489)),0.01,IF(ISNUMBER(SEARCH("XAU",E489)),0.01,IF(OR(ISNUMBER(SEARCH("30",E489)),ISNUMBER(SEARCH("500",E489)),ISNUMBER(SEARCH("100",E489))),1,0.0001))),0))</f>
        <v/>
      </c>
      <c r="Q489" s="27" t="str">
        <f aca="false">IF(K489="","",SETTINGS!$B$6*O489)</f>
        <v/>
      </c>
      <c r="R489" s="24" t="str">
        <f aca="false">IF(K489="","",IFERROR(Q489/(P489*IF(ISNUMBER(SEARCH("JPY",E489)),9.09,IF(ISNUMBER(SEARCH("XAU",E489)),1,IF(OR(ISNUMBER(SEARCH("30",E489)),ISNUMBER(SEARCH("500",E489)),ISNUMBER(SEARCH("100",E489))),1,10)))),0))</f>
        <v/>
      </c>
      <c r="S489" s="12"/>
      <c r="T489" s="36"/>
      <c r="U489" s="27" t="str">
        <f aca="false">IF(OR(S489="",T489=0),"",IFERROR((S489-K489)*IF(F489="Sell",-1,1)*R489*T489*IF(ISNUMBER(SEARCH("JPY",E489)),1000,IF(ISNUMBER(SEARCH("XAU",E489)),100,IF(OR(ISNUMBER(SEARCH("30",E489)),ISNUMBER(SEARCH("500",E489)),ISNUMBER(SEARCH("100",E489))),100,100000))),0))</f>
        <v/>
      </c>
      <c r="V489" s="12"/>
      <c r="W489" s="36"/>
      <c r="X489" s="27" t="str">
        <f aca="false">IF(OR(V489="",W489=0),"",IFERROR((V489-K489)*IF(F489="Sell",-1,1)*R489*W489*IF(ISNUMBER(SEARCH("JPY",E489)),1000,IF(ISNUMBER(SEARCH("XAU",E489)),100,IF(OR(ISNUMBER(SEARCH("30",E489)),ISNUMBER(SEARCH("500",E489)),ISNUMBER(SEARCH("100",E489))),100,100000))),0))</f>
        <v/>
      </c>
      <c r="Y489" s="12"/>
      <c r="Z489" s="36"/>
      <c r="AA489" s="27" t="str">
        <f aca="false">IF(OR(Y489="",Z489=0),"",IFERROR((Y489-K489)*IF(F489="Sell",-1,1)*R489*Z489*IF(ISNUMBER(SEARCH("JPY",E489)),1000,IF(ISNUMBER(SEARCH("XAU",E489)),100,IF(OR(ISNUMBER(SEARCH("30",E489)),ISNUMBER(SEARCH("500",E489)),ISNUMBER(SEARCH("100",E489))),100,100000))),0))</f>
        <v/>
      </c>
      <c r="AB489" s="12"/>
      <c r="AC489" s="29" t="str">
        <f aca="false">IF(K489="","",1-IFERROR(T489,0)-IFERROR(W489,0)-IFERROR(Z489,0))</f>
        <v/>
      </c>
      <c r="AD489" s="30" t="str">
        <f aca="false">IF(AB489="","",IFERROR((IFERROR(S489*T489,0)+IFERROR(V489*W489,0)+IFERROR(Y489*Z489,0)+AB489*AC489)/(IFERROR(T489,0)+IFERROR(W489,0)+IFERROR(Z489,0)+AC489),AB489))</f>
        <v/>
      </c>
      <c r="AE489" s="27" t="str">
        <f aca="false">IF(AB489="","",IF(U489="",0,U489)+IF(X489="",0,X489)+IF(AA489="",0,AA489)+IFERROR((AB489-K489)*IF(F489="Sell",-1,1)*R489*AC489*IF(ISNUMBER(SEARCH("JPY",E489)),1000,IF(ISNUMBER(SEARCH("XAU",E489)),100,IF(OR(ISNUMBER(SEARCH("30",E489)),ISNUMBER(SEARCH("500",E489)),ISNUMBER(SEARCH("100",E489))),100,100000))),0))</f>
        <v/>
      </c>
      <c r="AF489" s="31" t="str">
        <f aca="false">IF(OR(K489="",M489="",L489=""),"",IFERROR(ABS(M489-K489)/ABS(K489-L489),0))</f>
        <v/>
      </c>
      <c r="AG489" s="31" t="str">
        <f aca="false">IF(OR(AE489="",AE489=0,Q489=0,Q489=""),"",IFERROR(AE489/Q489,0))</f>
        <v/>
      </c>
      <c r="AH489" s="32" t="str">
        <f aca="false">IF(AB489="","Open",IF(AG489="","Open",IF(AG489&gt;0.1,"Win",IF(AG489&lt;-0.1,"Loss","Breakeven"))))</f>
        <v>Open</v>
      </c>
      <c r="AI489" s="33" t="str">
        <f aca="false">IF(OR(B489="",D489=""),"",D489-B489)</f>
        <v/>
      </c>
      <c r="AJ489" s="24" t="str">
        <f aca="false">IF(AD489="","",IFERROR((AD489-K489)*IF(F489="Sell",-1,1)/IF(ISNUMBER(SEARCH("JPY",E489)),0.01,IF(ISNUMBER(SEARCH("XAU",E489)),0.01,IF(OR(ISNUMBER(SEARCH("30",E489)),ISNUMBER(SEARCH("500",E489)),ISNUMBER(SEARCH("100",E489))),1,0.0001))),0))</f>
        <v/>
      </c>
      <c r="AK489" s="12"/>
      <c r="AL489" s="12"/>
      <c r="AM489" s="12"/>
      <c r="AN489" s="12"/>
      <c r="AO489" s="27" t="str">
        <f aca="false">IF(AE489="","",IFERROR(IF(AO488="",SETTINGS!$B$6,AO488),SETTINGS!$B$6)+IF(AE489="",0,AE489))</f>
        <v/>
      </c>
      <c r="AP489" s="2"/>
    </row>
    <row r="490" customFormat="false" ht="15" hidden="false" customHeight="false" outlineLevel="0" collapsed="false">
      <c r="A490" s="24" t="str">
        <f aca="false">IF(B490="","",ROW()-3)</f>
        <v/>
      </c>
      <c r="B490" s="25"/>
      <c r="C490" s="10"/>
      <c r="D490" s="25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26"/>
      <c r="P490" s="24" t="str">
        <f aca="false">IF(K490="","",IFERROR(ABS(K490-L490)/IF(ISNUMBER(SEARCH("JPY",E490)),0.01,IF(ISNUMBER(SEARCH("XAU",E490)),0.01,IF(OR(ISNUMBER(SEARCH("30",E490)),ISNUMBER(SEARCH("500",E490)),ISNUMBER(SEARCH("100",E490))),1,0.0001))),0))</f>
        <v/>
      </c>
      <c r="Q490" s="27" t="str">
        <f aca="false">IF(K490="","",SETTINGS!$B$6*O490)</f>
        <v/>
      </c>
      <c r="R490" s="24" t="str">
        <f aca="false">IF(K490="","",IFERROR(Q490/(P490*IF(ISNUMBER(SEARCH("JPY",E490)),9.09,IF(ISNUMBER(SEARCH("XAU",E490)),1,IF(OR(ISNUMBER(SEARCH("30",E490)),ISNUMBER(SEARCH("500",E490)),ISNUMBER(SEARCH("100",E490))),1,10)))),0))</f>
        <v/>
      </c>
      <c r="S490" s="10"/>
      <c r="T490" s="28"/>
      <c r="U490" s="27" t="str">
        <f aca="false">IF(OR(S490="",T490=0),"",IFERROR((S490-K490)*IF(F490="Sell",-1,1)*R490*T490*IF(ISNUMBER(SEARCH("JPY",E490)),1000,IF(ISNUMBER(SEARCH("XAU",E490)),100,IF(OR(ISNUMBER(SEARCH("30",E490)),ISNUMBER(SEARCH("500",E490)),ISNUMBER(SEARCH("100",E490))),100,100000))),0))</f>
        <v/>
      </c>
      <c r="V490" s="10"/>
      <c r="W490" s="28"/>
      <c r="X490" s="27" t="str">
        <f aca="false">IF(OR(V490="",W490=0),"",IFERROR((V490-K490)*IF(F490="Sell",-1,1)*R490*W490*IF(ISNUMBER(SEARCH("JPY",E490)),1000,IF(ISNUMBER(SEARCH("XAU",E490)),100,IF(OR(ISNUMBER(SEARCH("30",E490)),ISNUMBER(SEARCH("500",E490)),ISNUMBER(SEARCH("100",E490))),100,100000))),0))</f>
        <v/>
      </c>
      <c r="Y490" s="10"/>
      <c r="Z490" s="28"/>
      <c r="AA490" s="27" t="str">
        <f aca="false">IF(OR(Y490="",Z490=0),"",IFERROR((Y490-K490)*IF(F490="Sell",-1,1)*R490*Z490*IF(ISNUMBER(SEARCH("JPY",E490)),1000,IF(ISNUMBER(SEARCH("XAU",E490)),100,IF(OR(ISNUMBER(SEARCH("30",E490)),ISNUMBER(SEARCH("500",E490)),ISNUMBER(SEARCH("100",E490))),100,100000))),0))</f>
        <v/>
      </c>
      <c r="AB490" s="10"/>
      <c r="AC490" s="29" t="str">
        <f aca="false">IF(K490="","",1-IFERROR(T490,0)-IFERROR(W490,0)-IFERROR(Z490,0))</f>
        <v/>
      </c>
      <c r="AD490" s="30" t="str">
        <f aca="false">IF(AB490="","",IFERROR((IFERROR(S490*T490,0)+IFERROR(V490*W490,0)+IFERROR(Y490*Z490,0)+AB490*AC490)/(IFERROR(T490,0)+IFERROR(W490,0)+IFERROR(Z490,0)+AC490),AB490))</f>
        <v/>
      </c>
      <c r="AE490" s="27" t="str">
        <f aca="false">IF(AB490="","",IF(U490="",0,U490)+IF(X490="",0,X490)+IF(AA490="",0,AA490)+IFERROR((AB490-K490)*IF(F490="Sell",-1,1)*R490*AC490*IF(ISNUMBER(SEARCH("JPY",E490)),1000,IF(ISNUMBER(SEARCH("XAU",E490)),100,IF(OR(ISNUMBER(SEARCH("30",E490)),ISNUMBER(SEARCH("500",E490)),ISNUMBER(SEARCH("100",E490))),100,100000))),0))</f>
        <v/>
      </c>
      <c r="AF490" s="31" t="str">
        <f aca="false">IF(OR(K490="",M490="",L490=""),"",IFERROR(ABS(M490-K490)/ABS(K490-L490),0))</f>
        <v/>
      </c>
      <c r="AG490" s="31" t="str">
        <f aca="false">IF(OR(AE490="",AE490=0,Q490=0,Q490=""),"",IFERROR(AE490/Q490,0))</f>
        <v/>
      </c>
      <c r="AH490" s="32" t="str">
        <f aca="false">IF(AB490="","Open",IF(AG490="","Open",IF(AG490&gt;0.1,"Win",IF(AG490&lt;-0.1,"Loss","Breakeven"))))</f>
        <v>Open</v>
      </c>
      <c r="AI490" s="33" t="str">
        <f aca="false">IF(OR(B490="",D490=""),"",D490-B490)</f>
        <v/>
      </c>
      <c r="AJ490" s="24" t="str">
        <f aca="false">IF(AD490="","",IFERROR((AD490-K490)*IF(F490="Sell",-1,1)/IF(ISNUMBER(SEARCH("JPY",E490)),0.01,IF(ISNUMBER(SEARCH("XAU",E490)),0.01,IF(OR(ISNUMBER(SEARCH("30",E490)),ISNUMBER(SEARCH("500",E490)),ISNUMBER(SEARCH("100",E490))),1,0.0001))),0))</f>
        <v/>
      </c>
      <c r="AK490" s="10"/>
      <c r="AL490" s="10"/>
      <c r="AM490" s="10"/>
      <c r="AN490" s="10"/>
      <c r="AO490" s="27" t="str">
        <f aca="false">IF(AE490="","",IFERROR(IF(AO489="",SETTINGS!$B$6,AO489),SETTINGS!$B$6)+IF(AE490="",0,AE490))</f>
        <v/>
      </c>
      <c r="AP490" s="2"/>
    </row>
    <row r="491" customFormat="false" ht="15" hidden="false" customHeight="false" outlineLevel="0" collapsed="false">
      <c r="A491" s="24" t="str">
        <f aca="false">IF(B491="","",ROW()-3)</f>
        <v/>
      </c>
      <c r="B491" s="34"/>
      <c r="C491" s="12"/>
      <c r="D491" s="34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35"/>
      <c r="P491" s="24" t="str">
        <f aca="false">IF(K491="","",IFERROR(ABS(K491-L491)/IF(ISNUMBER(SEARCH("JPY",E491)),0.01,IF(ISNUMBER(SEARCH("XAU",E491)),0.01,IF(OR(ISNUMBER(SEARCH("30",E491)),ISNUMBER(SEARCH("500",E491)),ISNUMBER(SEARCH("100",E491))),1,0.0001))),0))</f>
        <v/>
      </c>
      <c r="Q491" s="27" t="str">
        <f aca="false">IF(K491="","",SETTINGS!$B$6*O491)</f>
        <v/>
      </c>
      <c r="R491" s="24" t="str">
        <f aca="false">IF(K491="","",IFERROR(Q491/(P491*IF(ISNUMBER(SEARCH("JPY",E491)),9.09,IF(ISNUMBER(SEARCH("XAU",E491)),1,IF(OR(ISNUMBER(SEARCH("30",E491)),ISNUMBER(SEARCH("500",E491)),ISNUMBER(SEARCH("100",E491))),1,10)))),0))</f>
        <v/>
      </c>
      <c r="S491" s="12"/>
      <c r="T491" s="36"/>
      <c r="U491" s="27" t="str">
        <f aca="false">IF(OR(S491="",T491=0),"",IFERROR((S491-K491)*IF(F491="Sell",-1,1)*R491*T491*IF(ISNUMBER(SEARCH("JPY",E491)),1000,IF(ISNUMBER(SEARCH("XAU",E491)),100,IF(OR(ISNUMBER(SEARCH("30",E491)),ISNUMBER(SEARCH("500",E491)),ISNUMBER(SEARCH("100",E491))),100,100000))),0))</f>
        <v/>
      </c>
      <c r="V491" s="12"/>
      <c r="W491" s="36"/>
      <c r="X491" s="27" t="str">
        <f aca="false">IF(OR(V491="",W491=0),"",IFERROR((V491-K491)*IF(F491="Sell",-1,1)*R491*W491*IF(ISNUMBER(SEARCH("JPY",E491)),1000,IF(ISNUMBER(SEARCH("XAU",E491)),100,IF(OR(ISNUMBER(SEARCH("30",E491)),ISNUMBER(SEARCH("500",E491)),ISNUMBER(SEARCH("100",E491))),100,100000))),0))</f>
        <v/>
      </c>
      <c r="Y491" s="12"/>
      <c r="Z491" s="36"/>
      <c r="AA491" s="27" t="str">
        <f aca="false">IF(OR(Y491="",Z491=0),"",IFERROR((Y491-K491)*IF(F491="Sell",-1,1)*R491*Z491*IF(ISNUMBER(SEARCH("JPY",E491)),1000,IF(ISNUMBER(SEARCH("XAU",E491)),100,IF(OR(ISNUMBER(SEARCH("30",E491)),ISNUMBER(SEARCH("500",E491)),ISNUMBER(SEARCH("100",E491))),100,100000))),0))</f>
        <v/>
      </c>
      <c r="AB491" s="12"/>
      <c r="AC491" s="29" t="str">
        <f aca="false">IF(K491="","",1-IFERROR(T491,0)-IFERROR(W491,0)-IFERROR(Z491,0))</f>
        <v/>
      </c>
      <c r="AD491" s="30" t="str">
        <f aca="false">IF(AB491="","",IFERROR((IFERROR(S491*T491,0)+IFERROR(V491*W491,0)+IFERROR(Y491*Z491,0)+AB491*AC491)/(IFERROR(T491,0)+IFERROR(W491,0)+IFERROR(Z491,0)+AC491),AB491))</f>
        <v/>
      </c>
      <c r="AE491" s="27" t="str">
        <f aca="false">IF(AB491="","",IF(U491="",0,U491)+IF(X491="",0,X491)+IF(AA491="",0,AA491)+IFERROR((AB491-K491)*IF(F491="Sell",-1,1)*R491*AC491*IF(ISNUMBER(SEARCH("JPY",E491)),1000,IF(ISNUMBER(SEARCH("XAU",E491)),100,IF(OR(ISNUMBER(SEARCH("30",E491)),ISNUMBER(SEARCH("500",E491)),ISNUMBER(SEARCH("100",E491))),100,100000))),0))</f>
        <v/>
      </c>
      <c r="AF491" s="31" t="str">
        <f aca="false">IF(OR(K491="",M491="",L491=""),"",IFERROR(ABS(M491-K491)/ABS(K491-L491),0))</f>
        <v/>
      </c>
      <c r="AG491" s="31" t="str">
        <f aca="false">IF(OR(AE491="",AE491=0,Q491=0,Q491=""),"",IFERROR(AE491/Q491,0))</f>
        <v/>
      </c>
      <c r="AH491" s="32" t="str">
        <f aca="false">IF(AB491="","Open",IF(AG491="","Open",IF(AG491&gt;0.1,"Win",IF(AG491&lt;-0.1,"Loss","Breakeven"))))</f>
        <v>Open</v>
      </c>
      <c r="AI491" s="33" t="str">
        <f aca="false">IF(OR(B491="",D491=""),"",D491-B491)</f>
        <v/>
      </c>
      <c r="AJ491" s="24" t="str">
        <f aca="false">IF(AD491="","",IFERROR((AD491-K491)*IF(F491="Sell",-1,1)/IF(ISNUMBER(SEARCH("JPY",E491)),0.01,IF(ISNUMBER(SEARCH("XAU",E491)),0.01,IF(OR(ISNUMBER(SEARCH("30",E491)),ISNUMBER(SEARCH("500",E491)),ISNUMBER(SEARCH("100",E491))),1,0.0001))),0))</f>
        <v/>
      </c>
      <c r="AK491" s="12"/>
      <c r="AL491" s="12"/>
      <c r="AM491" s="12"/>
      <c r="AN491" s="12"/>
      <c r="AO491" s="27" t="str">
        <f aca="false">IF(AE491="","",IFERROR(IF(AO490="",SETTINGS!$B$6,AO490),SETTINGS!$B$6)+IF(AE491="",0,AE491))</f>
        <v/>
      </c>
      <c r="AP491" s="2"/>
    </row>
    <row r="492" customFormat="false" ht="15" hidden="false" customHeight="false" outlineLevel="0" collapsed="false">
      <c r="A492" s="24" t="str">
        <f aca="false">IF(B492="","",ROW()-3)</f>
        <v/>
      </c>
      <c r="B492" s="25"/>
      <c r="C492" s="10"/>
      <c r="D492" s="25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26"/>
      <c r="P492" s="24" t="str">
        <f aca="false">IF(K492="","",IFERROR(ABS(K492-L492)/IF(ISNUMBER(SEARCH("JPY",E492)),0.01,IF(ISNUMBER(SEARCH("XAU",E492)),0.01,IF(OR(ISNUMBER(SEARCH("30",E492)),ISNUMBER(SEARCH("500",E492)),ISNUMBER(SEARCH("100",E492))),1,0.0001))),0))</f>
        <v/>
      </c>
      <c r="Q492" s="27" t="str">
        <f aca="false">IF(K492="","",SETTINGS!$B$6*O492)</f>
        <v/>
      </c>
      <c r="R492" s="24" t="str">
        <f aca="false">IF(K492="","",IFERROR(Q492/(P492*IF(ISNUMBER(SEARCH("JPY",E492)),9.09,IF(ISNUMBER(SEARCH("XAU",E492)),1,IF(OR(ISNUMBER(SEARCH("30",E492)),ISNUMBER(SEARCH("500",E492)),ISNUMBER(SEARCH("100",E492))),1,10)))),0))</f>
        <v/>
      </c>
      <c r="S492" s="10"/>
      <c r="T492" s="28"/>
      <c r="U492" s="27" t="str">
        <f aca="false">IF(OR(S492="",T492=0),"",IFERROR((S492-K492)*IF(F492="Sell",-1,1)*R492*T492*IF(ISNUMBER(SEARCH("JPY",E492)),1000,IF(ISNUMBER(SEARCH("XAU",E492)),100,IF(OR(ISNUMBER(SEARCH("30",E492)),ISNUMBER(SEARCH("500",E492)),ISNUMBER(SEARCH("100",E492))),100,100000))),0))</f>
        <v/>
      </c>
      <c r="V492" s="10"/>
      <c r="W492" s="28"/>
      <c r="X492" s="27" t="str">
        <f aca="false">IF(OR(V492="",W492=0),"",IFERROR((V492-K492)*IF(F492="Sell",-1,1)*R492*W492*IF(ISNUMBER(SEARCH("JPY",E492)),1000,IF(ISNUMBER(SEARCH("XAU",E492)),100,IF(OR(ISNUMBER(SEARCH("30",E492)),ISNUMBER(SEARCH("500",E492)),ISNUMBER(SEARCH("100",E492))),100,100000))),0))</f>
        <v/>
      </c>
      <c r="Y492" s="10"/>
      <c r="Z492" s="28"/>
      <c r="AA492" s="27" t="str">
        <f aca="false">IF(OR(Y492="",Z492=0),"",IFERROR((Y492-K492)*IF(F492="Sell",-1,1)*R492*Z492*IF(ISNUMBER(SEARCH("JPY",E492)),1000,IF(ISNUMBER(SEARCH("XAU",E492)),100,IF(OR(ISNUMBER(SEARCH("30",E492)),ISNUMBER(SEARCH("500",E492)),ISNUMBER(SEARCH("100",E492))),100,100000))),0))</f>
        <v/>
      </c>
      <c r="AB492" s="10"/>
      <c r="AC492" s="29" t="str">
        <f aca="false">IF(K492="","",1-IFERROR(T492,0)-IFERROR(W492,0)-IFERROR(Z492,0))</f>
        <v/>
      </c>
      <c r="AD492" s="30" t="str">
        <f aca="false">IF(AB492="","",IFERROR((IFERROR(S492*T492,0)+IFERROR(V492*W492,0)+IFERROR(Y492*Z492,0)+AB492*AC492)/(IFERROR(T492,0)+IFERROR(W492,0)+IFERROR(Z492,0)+AC492),AB492))</f>
        <v/>
      </c>
      <c r="AE492" s="27" t="str">
        <f aca="false">IF(AB492="","",IF(U492="",0,U492)+IF(X492="",0,X492)+IF(AA492="",0,AA492)+IFERROR((AB492-K492)*IF(F492="Sell",-1,1)*R492*AC492*IF(ISNUMBER(SEARCH("JPY",E492)),1000,IF(ISNUMBER(SEARCH("XAU",E492)),100,IF(OR(ISNUMBER(SEARCH("30",E492)),ISNUMBER(SEARCH("500",E492)),ISNUMBER(SEARCH("100",E492))),100,100000))),0))</f>
        <v/>
      </c>
      <c r="AF492" s="31" t="str">
        <f aca="false">IF(OR(K492="",M492="",L492=""),"",IFERROR(ABS(M492-K492)/ABS(K492-L492),0))</f>
        <v/>
      </c>
      <c r="AG492" s="31" t="str">
        <f aca="false">IF(OR(AE492="",AE492=0,Q492=0,Q492=""),"",IFERROR(AE492/Q492,0))</f>
        <v/>
      </c>
      <c r="AH492" s="32" t="str">
        <f aca="false">IF(AB492="","Open",IF(AG492="","Open",IF(AG492&gt;0.1,"Win",IF(AG492&lt;-0.1,"Loss","Breakeven"))))</f>
        <v>Open</v>
      </c>
      <c r="AI492" s="33" t="str">
        <f aca="false">IF(OR(B492="",D492=""),"",D492-B492)</f>
        <v/>
      </c>
      <c r="AJ492" s="24" t="str">
        <f aca="false">IF(AD492="","",IFERROR((AD492-K492)*IF(F492="Sell",-1,1)/IF(ISNUMBER(SEARCH("JPY",E492)),0.01,IF(ISNUMBER(SEARCH("XAU",E492)),0.01,IF(OR(ISNUMBER(SEARCH("30",E492)),ISNUMBER(SEARCH("500",E492)),ISNUMBER(SEARCH("100",E492))),1,0.0001))),0))</f>
        <v/>
      </c>
      <c r="AK492" s="10"/>
      <c r="AL492" s="10"/>
      <c r="AM492" s="10"/>
      <c r="AN492" s="10"/>
      <c r="AO492" s="27" t="str">
        <f aca="false">IF(AE492="","",IFERROR(IF(AO491="",SETTINGS!$B$6,AO491),SETTINGS!$B$6)+IF(AE492="",0,AE492))</f>
        <v/>
      </c>
      <c r="AP492" s="2"/>
    </row>
    <row r="493" customFormat="false" ht="15" hidden="false" customHeight="false" outlineLevel="0" collapsed="false">
      <c r="A493" s="24" t="str">
        <f aca="false">IF(B493="","",ROW()-3)</f>
        <v/>
      </c>
      <c r="B493" s="34"/>
      <c r="C493" s="12"/>
      <c r="D493" s="34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35"/>
      <c r="P493" s="24" t="str">
        <f aca="false">IF(K493="","",IFERROR(ABS(K493-L493)/IF(ISNUMBER(SEARCH("JPY",E493)),0.01,IF(ISNUMBER(SEARCH("XAU",E493)),0.01,IF(OR(ISNUMBER(SEARCH("30",E493)),ISNUMBER(SEARCH("500",E493)),ISNUMBER(SEARCH("100",E493))),1,0.0001))),0))</f>
        <v/>
      </c>
      <c r="Q493" s="27" t="str">
        <f aca="false">IF(K493="","",SETTINGS!$B$6*O493)</f>
        <v/>
      </c>
      <c r="R493" s="24" t="str">
        <f aca="false">IF(K493="","",IFERROR(Q493/(P493*IF(ISNUMBER(SEARCH("JPY",E493)),9.09,IF(ISNUMBER(SEARCH("XAU",E493)),1,IF(OR(ISNUMBER(SEARCH("30",E493)),ISNUMBER(SEARCH("500",E493)),ISNUMBER(SEARCH("100",E493))),1,10)))),0))</f>
        <v/>
      </c>
      <c r="S493" s="12"/>
      <c r="T493" s="36"/>
      <c r="U493" s="27" t="str">
        <f aca="false">IF(OR(S493="",T493=0),"",IFERROR((S493-K493)*IF(F493="Sell",-1,1)*R493*T493*IF(ISNUMBER(SEARCH("JPY",E493)),1000,IF(ISNUMBER(SEARCH("XAU",E493)),100,IF(OR(ISNUMBER(SEARCH("30",E493)),ISNUMBER(SEARCH("500",E493)),ISNUMBER(SEARCH("100",E493))),100,100000))),0))</f>
        <v/>
      </c>
      <c r="V493" s="12"/>
      <c r="W493" s="36"/>
      <c r="X493" s="27" t="str">
        <f aca="false">IF(OR(V493="",W493=0),"",IFERROR((V493-K493)*IF(F493="Sell",-1,1)*R493*W493*IF(ISNUMBER(SEARCH("JPY",E493)),1000,IF(ISNUMBER(SEARCH("XAU",E493)),100,IF(OR(ISNUMBER(SEARCH("30",E493)),ISNUMBER(SEARCH("500",E493)),ISNUMBER(SEARCH("100",E493))),100,100000))),0))</f>
        <v/>
      </c>
      <c r="Y493" s="12"/>
      <c r="Z493" s="36"/>
      <c r="AA493" s="27" t="str">
        <f aca="false">IF(OR(Y493="",Z493=0),"",IFERROR((Y493-K493)*IF(F493="Sell",-1,1)*R493*Z493*IF(ISNUMBER(SEARCH("JPY",E493)),1000,IF(ISNUMBER(SEARCH("XAU",E493)),100,IF(OR(ISNUMBER(SEARCH("30",E493)),ISNUMBER(SEARCH("500",E493)),ISNUMBER(SEARCH("100",E493))),100,100000))),0))</f>
        <v/>
      </c>
      <c r="AB493" s="12"/>
      <c r="AC493" s="29" t="str">
        <f aca="false">IF(K493="","",1-IFERROR(T493,0)-IFERROR(W493,0)-IFERROR(Z493,0))</f>
        <v/>
      </c>
      <c r="AD493" s="30" t="str">
        <f aca="false">IF(AB493="","",IFERROR((IFERROR(S493*T493,0)+IFERROR(V493*W493,0)+IFERROR(Y493*Z493,0)+AB493*AC493)/(IFERROR(T493,0)+IFERROR(W493,0)+IFERROR(Z493,0)+AC493),AB493))</f>
        <v/>
      </c>
      <c r="AE493" s="27" t="str">
        <f aca="false">IF(AB493="","",IF(U493="",0,U493)+IF(X493="",0,X493)+IF(AA493="",0,AA493)+IFERROR((AB493-K493)*IF(F493="Sell",-1,1)*R493*AC493*IF(ISNUMBER(SEARCH("JPY",E493)),1000,IF(ISNUMBER(SEARCH("XAU",E493)),100,IF(OR(ISNUMBER(SEARCH("30",E493)),ISNUMBER(SEARCH("500",E493)),ISNUMBER(SEARCH("100",E493))),100,100000))),0))</f>
        <v/>
      </c>
      <c r="AF493" s="31" t="str">
        <f aca="false">IF(OR(K493="",M493="",L493=""),"",IFERROR(ABS(M493-K493)/ABS(K493-L493),0))</f>
        <v/>
      </c>
      <c r="AG493" s="31" t="str">
        <f aca="false">IF(OR(AE493="",AE493=0,Q493=0,Q493=""),"",IFERROR(AE493/Q493,0))</f>
        <v/>
      </c>
      <c r="AH493" s="32" t="str">
        <f aca="false">IF(AB493="","Open",IF(AG493="","Open",IF(AG493&gt;0.1,"Win",IF(AG493&lt;-0.1,"Loss","Breakeven"))))</f>
        <v>Open</v>
      </c>
      <c r="AI493" s="33" t="str">
        <f aca="false">IF(OR(B493="",D493=""),"",D493-B493)</f>
        <v/>
      </c>
      <c r="AJ493" s="24" t="str">
        <f aca="false">IF(AD493="","",IFERROR((AD493-K493)*IF(F493="Sell",-1,1)/IF(ISNUMBER(SEARCH("JPY",E493)),0.01,IF(ISNUMBER(SEARCH("XAU",E493)),0.01,IF(OR(ISNUMBER(SEARCH("30",E493)),ISNUMBER(SEARCH("500",E493)),ISNUMBER(SEARCH("100",E493))),1,0.0001))),0))</f>
        <v/>
      </c>
      <c r="AK493" s="12"/>
      <c r="AL493" s="12"/>
      <c r="AM493" s="12"/>
      <c r="AN493" s="12"/>
      <c r="AO493" s="27" t="str">
        <f aca="false">IF(AE493="","",IFERROR(IF(AO492="",SETTINGS!$B$6,AO492),SETTINGS!$B$6)+IF(AE493="",0,AE493))</f>
        <v/>
      </c>
      <c r="AP493" s="2"/>
    </row>
    <row r="494" customFormat="false" ht="15" hidden="false" customHeight="false" outlineLevel="0" collapsed="false">
      <c r="A494" s="24" t="str">
        <f aca="false">IF(B494="","",ROW()-3)</f>
        <v/>
      </c>
      <c r="B494" s="25"/>
      <c r="C494" s="10"/>
      <c r="D494" s="25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26"/>
      <c r="P494" s="24" t="str">
        <f aca="false">IF(K494="","",IFERROR(ABS(K494-L494)/IF(ISNUMBER(SEARCH("JPY",E494)),0.01,IF(ISNUMBER(SEARCH("XAU",E494)),0.01,IF(OR(ISNUMBER(SEARCH("30",E494)),ISNUMBER(SEARCH("500",E494)),ISNUMBER(SEARCH("100",E494))),1,0.0001))),0))</f>
        <v/>
      </c>
      <c r="Q494" s="27" t="str">
        <f aca="false">IF(K494="","",SETTINGS!$B$6*O494)</f>
        <v/>
      </c>
      <c r="R494" s="24" t="str">
        <f aca="false">IF(K494="","",IFERROR(Q494/(P494*IF(ISNUMBER(SEARCH("JPY",E494)),9.09,IF(ISNUMBER(SEARCH("XAU",E494)),1,IF(OR(ISNUMBER(SEARCH("30",E494)),ISNUMBER(SEARCH("500",E494)),ISNUMBER(SEARCH("100",E494))),1,10)))),0))</f>
        <v/>
      </c>
      <c r="S494" s="10"/>
      <c r="T494" s="28"/>
      <c r="U494" s="27" t="str">
        <f aca="false">IF(OR(S494="",T494=0),"",IFERROR((S494-K494)*IF(F494="Sell",-1,1)*R494*T494*IF(ISNUMBER(SEARCH("JPY",E494)),1000,IF(ISNUMBER(SEARCH("XAU",E494)),100,IF(OR(ISNUMBER(SEARCH("30",E494)),ISNUMBER(SEARCH("500",E494)),ISNUMBER(SEARCH("100",E494))),100,100000))),0))</f>
        <v/>
      </c>
      <c r="V494" s="10"/>
      <c r="W494" s="28"/>
      <c r="X494" s="27" t="str">
        <f aca="false">IF(OR(V494="",W494=0),"",IFERROR((V494-K494)*IF(F494="Sell",-1,1)*R494*W494*IF(ISNUMBER(SEARCH("JPY",E494)),1000,IF(ISNUMBER(SEARCH("XAU",E494)),100,IF(OR(ISNUMBER(SEARCH("30",E494)),ISNUMBER(SEARCH("500",E494)),ISNUMBER(SEARCH("100",E494))),100,100000))),0))</f>
        <v/>
      </c>
      <c r="Y494" s="10"/>
      <c r="Z494" s="28"/>
      <c r="AA494" s="27" t="str">
        <f aca="false">IF(OR(Y494="",Z494=0),"",IFERROR((Y494-K494)*IF(F494="Sell",-1,1)*R494*Z494*IF(ISNUMBER(SEARCH("JPY",E494)),1000,IF(ISNUMBER(SEARCH("XAU",E494)),100,IF(OR(ISNUMBER(SEARCH("30",E494)),ISNUMBER(SEARCH("500",E494)),ISNUMBER(SEARCH("100",E494))),100,100000))),0))</f>
        <v/>
      </c>
      <c r="AB494" s="10"/>
      <c r="AC494" s="29" t="str">
        <f aca="false">IF(K494="","",1-IFERROR(T494,0)-IFERROR(W494,0)-IFERROR(Z494,0))</f>
        <v/>
      </c>
      <c r="AD494" s="30" t="str">
        <f aca="false">IF(AB494="","",IFERROR((IFERROR(S494*T494,0)+IFERROR(V494*W494,0)+IFERROR(Y494*Z494,0)+AB494*AC494)/(IFERROR(T494,0)+IFERROR(W494,0)+IFERROR(Z494,0)+AC494),AB494))</f>
        <v/>
      </c>
      <c r="AE494" s="27" t="str">
        <f aca="false">IF(AB494="","",IF(U494="",0,U494)+IF(X494="",0,X494)+IF(AA494="",0,AA494)+IFERROR((AB494-K494)*IF(F494="Sell",-1,1)*R494*AC494*IF(ISNUMBER(SEARCH("JPY",E494)),1000,IF(ISNUMBER(SEARCH("XAU",E494)),100,IF(OR(ISNUMBER(SEARCH("30",E494)),ISNUMBER(SEARCH("500",E494)),ISNUMBER(SEARCH("100",E494))),100,100000))),0))</f>
        <v/>
      </c>
      <c r="AF494" s="31" t="str">
        <f aca="false">IF(OR(K494="",M494="",L494=""),"",IFERROR(ABS(M494-K494)/ABS(K494-L494),0))</f>
        <v/>
      </c>
      <c r="AG494" s="31" t="str">
        <f aca="false">IF(OR(AE494="",AE494=0,Q494=0,Q494=""),"",IFERROR(AE494/Q494,0))</f>
        <v/>
      </c>
      <c r="AH494" s="32" t="str">
        <f aca="false">IF(AB494="","Open",IF(AG494="","Open",IF(AG494&gt;0.1,"Win",IF(AG494&lt;-0.1,"Loss","Breakeven"))))</f>
        <v>Open</v>
      </c>
      <c r="AI494" s="33" t="str">
        <f aca="false">IF(OR(B494="",D494=""),"",D494-B494)</f>
        <v/>
      </c>
      <c r="AJ494" s="24" t="str">
        <f aca="false">IF(AD494="","",IFERROR((AD494-K494)*IF(F494="Sell",-1,1)/IF(ISNUMBER(SEARCH("JPY",E494)),0.01,IF(ISNUMBER(SEARCH("XAU",E494)),0.01,IF(OR(ISNUMBER(SEARCH("30",E494)),ISNUMBER(SEARCH("500",E494)),ISNUMBER(SEARCH("100",E494))),1,0.0001))),0))</f>
        <v/>
      </c>
      <c r="AK494" s="10"/>
      <c r="AL494" s="10"/>
      <c r="AM494" s="10"/>
      <c r="AN494" s="10"/>
      <c r="AO494" s="27" t="str">
        <f aca="false">IF(AE494="","",IFERROR(IF(AO493="",SETTINGS!$B$6,AO493),SETTINGS!$B$6)+IF(AE494="",0,AE494))</f>
        <v/>
      </c>
      <c r="AP494" s="2"/>
    </row>
    <row r="495" customFormat="false" ht="15" hidden="false" customHeight="false" outlineLevel="0" collapsed="false">
      <c r="A495" s="24" t="str">
        <f aca="false">IF(B495="","",ROW()-3)</f>
        <v/>
      </c>
      <c r="B495" s="34"/>
      <c r="C495" s="12"/>
      <c r="D495" s="34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35"/>
      <c r="P495" s="24" t="str">
        <f aca="false">IF(K495="","",IFERROR(ABS(K495-L495)/IF(ISNUMBER(SEARCH("JPY",E495)),0.01,IF(ISNUMBER(SEARCH("XAU",E495)),0.01,IF(OR(ISNUMBER(SEARCH("30",E495)),ISNUMBER(SEARCH("500",E495)),ISNUMBER(SEARCH("100",E495))),1,0.0001))),0))</f>
        <v/>
      </c>
      <c r="Q495" s="27" t="str">
        <f aca="false">IF(K495="","",SETTINGS!$B$6*O495)</f>
        <v/>
      </c>
      <c r="R495" s="24" t="str">
        <f aca="false">IF(K495="","",IFERROR(Q495/(P495*IF(ISNUMBER(SEARCH("JPY",E495)),9.09,IF(ISNUMBER(SEARCH("XAU",E495)),1,IF(OR(ISNUMBER(SEARCH("30",E495)),ISNUMBER(SEARCH("500",E495)),ISNUMBER(SEARCH("100",E495))),1,10)))),0))</f>
        <v/>
      </c>
      <c r="S495" s="12"/>
      <c r="T495" s="36"/>
      <c r="U495" s="27" t="str">
        <f aca="false">IF(OR(S495="",T495=0),"",IFERROR((S495-K495)*IF(F495="Sell",-1,1)*R495*T495*IF(ISNUMBER(SEARCH("JPY",E495)),1000,IF(ISNUMBER(SEARCH("XAU",E495)),100,IF(OR(ISNUMBER(SEARCH("30",E495)),ISNUMBER(SEARCH("500",E495)),ISNUMBER(SEARCH("100",E495))),100,100000))),0))</f>
        <v/>
      </c>
      <c r="V495" s="12"/>
      <c r="W495" s="36"/>
      <c r="X495" s="27" t="str">
        <f aca="false">IF(OR(V495="",W495=0),"",IFERROR((V495-K495)*IF(F495="Sell",-1,1)*R495*W495*IF(ISNUMBER(SEARCH("JPY",E495)),1000,IF(ISNUMBER(SEARCH("XAU",E495)),100,IF(OR(ISNUMBER(SEARCH("30",E495)),ISNUMBER(SEARCH("500",E495)),ISNUMBER(SEARCH("100",E495))),100,100000))),0))</f>
        <v/>
      </c>
      <c r="Y495" s="12"/>
      <c r="Z495" s="36"/>
      <c r="AA495" s="27" t="str">
        <f aca="false">IF(OR(Y495="",Z495=0),"",IFERROR((Y495-K495)*IF(F495="Sell",-1,1)*R495*Z495*IF(ISNUMBER(SEARCH("JPY",E495)),1000,IF(ISNUMBER(SEARCH("XAU",E495)),100,IF(OR(ISNUMBER(SEARCH("30",E495)),ISNUMBER(SEARCH("500",E495)),ISNUMBER(SEARCH("100",E495))),100,100000))),0))</f>
        <v/>
      </c>
      <c r="AB495" s="12"/>
      <c r="AC495" s="29" t="str">
        <f aca="false">IF(K495="","",1-IFERROR(T495,0)-IFERROR(W495,0)-IFERROR(Z495,0))</f>
        <v/>
      </c>
      <c r="AD495" s="30" t="str">
        <f aca="false">IF(AB495="","",IFERROR((IFERROR(S495*T495,0)+IFERROR(V495*W495,0)+IFERROR(Y495*Z495,0)+AB495*AC495)/(IFERROR(T495,0)+IFERROR(W495,0)+IFERROR(Z495,0)+AC495),AB495))</f>
        <v/>
      </c>
      <c r="AE495" s="27" t="str">
        <f aca="false">IF(AB495="","",IF(U495="",0,U495)+IF(X495="",0,X495)+IF(AA495="",0,AA495)+IFERROR((AB495-K495)*IF(F495="Sell",-1,1)*R495*AC495*IF(ISNUMBER(SEARCH("JPY",E495)),1000,IF(ISNUMBER(SEARCH("XAU",E495)),100,IF(OR(ISNUMBER(SEARCH("30",E495)),ISNUMBER(SEARCH("500",E495)),ISNUMBER(SEARCH("100",E495))),100,100000))),0))</f>
        <v/>
      </c>
      <c r="AF495" s="31" t="str">
        <f aca="false">IF(OR(K495="",M495="",L495=""),"",IFERROR(ABS(M495-K495)/ABS(K495-L495),0))</f>
        <v/>
      </c>
      <c r="AG495" s="31" t="str">
        <f aca="false">IF(OR(AE495="",AE495=0,Q495=0,Q495=""),"",IFERROR(AE495/Q495,0))</f>
        <v/>
      </c>
      <c r="AH495" s="32" t="str">
        <f aca="false">IF(AB495="","Open",IF(AG495="","Open",IF(AG495&gt;0.1,"Win",IF(AG495&lt;-0.1,"Loss","Breakeven"))))</f>
        <v>Open</v>
      </c>
      <c r="AI495" s="33" t="str">
        <f aca="false">IF(OR(B495="",D495=""),"",D495-B495)</f>
        <v/>
      </c>
      <c r="AJ495" s="24" t="str">
        <f aca="false">IF(AD495="","",IFERROR((AD495-K495)*IF(F495="Sell",-1,1)/IF(ISNUMBER(SEARCH("JPY",E495)),0.01,IF(ISNUMBER(SEARCH("XAU",E495)),0.01,IF(OR(ISNUMBER(SEARCH("30",E495)),ISNUMBER(SEARCH("500",E495)),ISNUMBER(SEARCH("100",E495))),1,0.0001))),0))</f>
        <v/>
      </c>
      <c r="AK495" s="12"/>
      <c r="AL495" s="12"/>
      <c r="AM495" s="12"/>
      <c r="AN495" s="12"/>
      <c r="AO495" s="27" t="str">
        <f aca="false">IF(AE495="","",IFERROR(IF(AO494="",SETTINGS!$B$6,AO494),SETTINGS!$B$6)+IF(AE495="",0,AE495))</f>
        <v/>
      </c>
      <c r="AP495" s="2"/>
    </row>
    <row r="496" customFormat="false" ht="15" hidden="false" customHeight="false" outlineLevel="0" collapsed="false">
      <c r="A496" s="24" t="str">
        <f aca="false">IF(B496="","",ROW()-3)</f>
        <v/>
      </c>
      <c r="B496" s="25"/>
      <c r="C496" s="10"/>
      <c r="D496" s="25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26"/>
      <c r="P496" s="24" t="str">
        <f aca="false">IF(K496="","",IFERROR(ABS(K496-L496)/IF(ISNUMBER(SEARCH("JPY",E496)),0.01,IF(ISNUMBER(SEARCH("XAU",E496)),0.01,IF(OR(ISNUMBER(SEARCH("30",E496)),ISNUMBER(SEARCH("500",E496)),ISNUMBER(SEARCH("100",E496))),1,0.0001))),0))</f>
        <v/>
      </c>
      <c r="Q496" s="27" t="str">
        <f aca="false">IF(K496="","",SETTINGS!$B$6*O496)</f>
        <v/>
      </c>
      <c r="R496" s="24" t="str">
        <f aca="false">IF(K496="","",IFERROR(Q496/(P496*IF(ISNUMBER(SEARCH("JPY",E496)),9.09,IF(ISNUMBER(SEARCH("XAU",E496)),1,IF(OR(ISNUMBER(SEARCH("30",E496)),ISNUMBER(SEARCH("500",E496)),ISNUMBER(SEARCH("100",E496))),1,10)))),0))</f>
        <v/>
      </c>
      <c r="S496" s="10"/>
      <c r="T496" s="28"/>
      <c r="U496" s="27" t="str">
        <f aca="false">IF(OR(S496="",T496=0),"",IFERROR((S496-K496)*IF(F496="Sell",-1,1)*R496*T496*IF(ISNUMBER(SEARCH("JPY",E496)),1000,IF(ISNUMBER(SEARCH("XAU",E496)),100,IF(OR(ISNUMBER(SEARCH("30",E496)),ISNUMBER(SEARCH("500",E496)),ISNUMBER(SEARCH("100",E496))),100,100000))),0))</f>
        <v/>
      </c>
      <c r="V496" s="10"/>
      <c r="W496" s="28"/>
      <c r="X496" s="27" t="str">
        <f aca="false">IF(OR(V496="",W496=0),"",IFERROR((V496-K496)*IF(F496="Sell",-1,1)*R496*W496*IF(ISNUMBER(SEARCH("JPY",E496)),1000,IF(ISNUMBER(SEARCH("XAU",E496)),100,IF(OR(ISNUMBER(SEARCH("30",E496)),ISNUMBER(SEARCH("500",E496)),ISNUMBER(SEARCH("100",E496))),100,100000))),0))</f>
        <v/>
      </c>
      <c r="Y496" s="10"/>
      <c r="Z496" s="28"/>
      <c r="AA496" s="27" t="str">
        <f aca="false">IF(OR(Y496="",Z496=0),"",IFERROR((Y496-K496)*IF(F496="Sell",-1,1)*R496*Z496*IF(ISNUMBER(SEARCH("JPY",E496)),1000,IF(ISNUMBER(SEARCH("XAU",E496)),100,IF(OR(ISNUMBER(SEARCH("30",E496)),ISNUMBER(SEARCH("500",E496)),ISNUMBER(SEARCH("100",E496))),100,100000))),0))</f>
        <v/>
      </c>
      <c r="AB496" s="10"/>
      <c r="AC496" s="29" t="str">
        <f aca="false">IF(K496="","",1-IFERROR(T496,0)-IFERROR(W496,0)-IFERROR(Z496,0))</f>
        <v/>
      </c>
      <c r="AD496" s="30" t="str">
        <f aca="false">IF(AB496="","",IFERROR((IFERROR(S496*T496,0)+IFERROR(V496*W496,0)+IFERROR(Y496*Z496,0)+AB496*AC496)/(IFERROR(T496,0)+IFERROR(W496,0)+IFERROR(Z496,0)+AC496),AB496))</f>
        <v/>
      </c>
      <c r="AE496" s="27" t="str">
        <f aca="false">IF(AB496="","",IF(U496="",0,U496)+IF(X496="",0,X496)+IF(AA496="",0,AA496)+IFERROR((AB496-K496)*IF(F496="Sell",-1,1)*R496*AC496*IF(ISNUMBER(SEARCH("JPY",E496)),1000,IF(ISNUMBER(SEARCH("XAU",E496)),100,IF(OR(ISNUMBER(SEARCH("30",E496)),ISNUMBER(SEARCH("500",E496)),ISNUMBER(SEARCH("100",E496))),100,100000))),0))</f>
        <v/>
      </c>
      <c r="AF496" s="31" t="str">
        <f aca="false">IF(OR(K496="",M496="",L496=""),"",IFERROR(ABS(M496-K496)/ABS(K496-L496),0))</f>
        <v/>
      </c>
      <c r="AG496" s="31" t="str">
        <f aca="false">IF(OR(AE496="",AE496=0,Q496=0,Q496=""),"",IFERROR(AE496/Q496,0))</f>
        <v/>
      </c>
      <c r="AH496" s="32" t="str">
        <f aca="false">IF(AB496="","Open",IF(AG496="","Open",IF(AG496&gt;0.1,"Win",IF(AG496&lt;-0.1,"Loss","Breakeven"))))</f>
        <v>Open</v>
      </c>
      <c r="AI496" s="33" t="str">
        <f aca="false">IF(OR(B496="",D496=""),"",D496-B496)</f>
        <v/>
      </c>
      <c r="AJ496" s="24" t="str">
        <f aca="false">IF(AD496="","",IFERROR((AD496-K496)*IF(F496="Sell",-1,1)/IF(ISNUMBER(SEARCH("JPY",E496)),0.01,IF(ISNUMBER(SEARCH("XAU",E496)),0.01,IF(OR(ISNUMBER(SEARCH("30",E496)),ISNUMBER(SEARCH("500",E496)),ISNUMBER(SEARCH("100",E496))),1,0.0001))),0))</f>
        <v/>
      </c>
      <c r="AK496" s="10"/>
      <c r="AL496" s="10"/>
      <c r="AM496" s="10"/>
      <c r="AN496" s="10"/>
      <c r="AO496" s="27" t="str">
        <f aca="false">IF(AE496="","",IFERROR(IF(AO495="",SETTINGS!$B$6,AO495),SETTINGS!$B$6)+IF(AE496="",0,AE496))</f>
        <v/>
      </c>
      <c r="AP496" s="2"/>
    </row>
    <row r="497" customFormat="false" ht="15" hidden="false" customHeight="false" outlineLevel="0" collapsed="false">
      <c r="A497" s="24" t="str">
        <f aca="false">IF(B497="","",ROW()-3)</f>
        <v/>
      </c>
      <c r="B497" s="34"/>
      <c r="C497" s="12"/>
      <c r="D497" s="34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35"/>
      <c r="P497" s="24" t="str">
        <f aca="false">IF(K497="","",IFERROR(ABS(K497-L497)/IF(ISNUMBER(SEARCH("JPY",E497)),0.01,IF(ISNUMBER(SEARCH("XAU",E497)),0.01,IF(OR(ISNUMBER(SEARCH("30",E497)),ISNUMBER(SEARCH("500",E497)),ISNUMBER(SEARCH("100",E497))),1,0.0001))),0))</f>
        <v/>
      </c>
      <c r="Q497" s="27" t="str">
        <f aca="false">IF(K497="","",SETTINGS!$B$6*O497)</f>
        <v/>
      </c>
      <c r="R497" s="24" t="str">
        <f aca="false">IF(K497="","",IFERROR(Q497/(P497*IF(ISNUMBER(SEARCH("JPY",E497)),9.09,IF(ISNUMBER(SEARCH("XAU",E497)),1,IF(OR(ISNUMBER(SEARCH("30",E497)),ISNUMBER(SEARCH("500",E497)),ISNUMBER(SEARCH("100",E497))),1,10)))),0))</f>
        <v/>
      </c>
      <c r="S497" s="12"/>
      <c r="T497" s="36"/>
      <c r="U497" s="27" t="str">
        <f aca="false">IF(OR(S497="",T497=0),"",IFERROR((S497-K497)*IF(F497="Sell",-1,1)*R497*T497*IF(ISNUMBER(SEARCH("JPY",E497)),1000,IF(ISNUMBER(SEARCH("XAU",E497)),100,IF(OR(ISNUMBER(SEARCH("30",E497)),ISNUMBER(SEARCH("500",E497)),ISNUMBER(SEARCH("100",E497))),100,100000))),0))</f>
        <v/>
      </c>
      <c r="V497" s="12"/>
      <c r="W497" s="36"/>
      <c r="X497" s="27" t="str">
        <f aca="false">IF(OR(V497="",W497=0),"",IFERROR((V497-K497)*IF(F497="Sell",-1,1)*R497*W497*IF(ISNUMBER(SEARCH("JPY",E497)),1000,IF(ISNUMBER(SEARCH("XAU",E497)),100,IF(OR(ISNUMBER(SEARCH("30",E497)),ISNUMBER(SEARCH("500",E497)),ISNUMBER(SEARCH("100",E497))),100,100000))),0))</f>
        <v/>
      </c>
      <c r="Y497" s="12"/>
      <c r="Z497" s="36"/>
      <c r="AA497" s="27" t="str">
        <f aca="false">IF(OR(Y497="",Z497=0),"",IFERROR((Y497-K497)*IF(F497="Sell",-1,1)*R497*Z497*IF(ISNUMBER(SEARCH("JPY",E497)),1000,IF(ISNUMBER(SEARCH("XAU",E497)),100,IF(OR(ISNUMBER(SEARCH("30",E497)),ISNUMBER(SEARCH("500",E497)),ISNUMBER(SEARCH("100",E497))),100,100000))),0))</f>
        <v/>
      </c>
      <c r="AB497" s="12"/>
      <c r="AC497" s="29" t="str">
        <f aca="false">IF(K497="","",1-IFERROR(T497,0)-IFERROR(W497,0)-IFERROR(Z497,0))</f>
        <v/>
      </c>
      <c r="AD497" s="30" t="str">
        <f aca="false">IF(AB497="","",IFERROR((IFERROR(S497*T497,0)+IFERROR(V497*W497,0)+IFERROR(Y497*Z497,0)+AB497*AC497)/(IFERROR(T497,0)+IFERROR(W497,0)+IFERROR(Z497,0)+AC497),AB497))</f>
        <v/>
      </c>
      <c r="AE497" s="27" t="str">
        <f aca="false">IF(AB497="","",IF(U497="",0,U497)+IF(X497="",0,X497)+IF(AA497="",0,AA497)+IFERROR((AB497-K497)*IF(F497="Sell",-1,1)*R497*AC497*IF(ISNUMBER(SEARCH("JPY",E497)),1000,IF(ISNUMBER(SEARCH("XAU",E497)),100,IF(OR(ISNUMBER(SEARCH("30",E497)),ISNUMBER(SEARCH("500",E497)),ISNUMBER(SEARCH("100",E497))),100,100000))),0))</f>
        <v/>
      </c>
      <c r="AF497" s="31" t="str">
        <f aca="false">IF(OR(K497="",M497="",L497=""),"",IFERROR(ABS(M497-K497)/ABS(K497-L497),0))</f>
        <v/>
      </c>
      <c r="AG497" s="31" t="str">
        <f aca="false">IF(OR(AE497="",AE497=0,Q497=0,Q497=""),"",IFERROR(AE497/Q497,0))</f>
        <v/>
      </c>
      <c r="AH497" s="32" t="str">
        <f aca="false">IF(AB497="","Open",IF(AG497="","Open",IF(AG497&gt;0.1,"Win",IF(AG497&lt;-0.1,"Loss","Breakeven"))))</f>
        <v>Open</v>
      </c>
      <c r="AI497" s="33" t="str">
        <f aca="false">IF(OR(B497="",D497=""),"",D497-B497)</f>
        <v/>
      </c>
      <c r="AJ497" s="24" t="str">
        <f aca="false">IF(AD497="","",IFERROR((AD497-K497)*IF(F497="Sell",-1,1)/IF(ISNUMBER(SEARCH("JPY",E497)),0.01,IF(ISNUMBER(SEARCH("XAU",E497)),0.01,IF(OR(ISNUMBER(SEARCH("30",E497)),ISNUMBER(SEARCH("500",E497)),ISNUMBER(SEARCH("100",E497))),1,0.0001))),0))</f>
        <v/>
      </c>
      <c r="AK497" s="12"/>
      <c r="AL497" s="12"/>
      <c r="AM497" s="12"/>
      <c r="AN497" s="12"/>
      <c r="AO497" s="27" t="str">
        <f aca="false">IF(AE497="","",IFERROR(IF(AO496="",SETTINGS!$B$6,AO496),SETTINGS!$B$6)+IF(AE497="",0,AE497))</f>
        <v/>
      </c>
      <c r="AP497" s="2"/>
    </row>
    <row r="498" customFormat="false" ht="15" hidden="false" customHeight="false" outlineLevel="0" collapsed="false">
      <c r="A498" s="24" t="str">
        <f aca="false">IF(B498="","",ROW()-3)</f>
        <v/>
      </c>
      <c r="B498" s="25"/>
      <c r="C498" s="10"/>
      <c r="D498" s="25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26"/>
      <c r="P498" s="24" t="str">
        <f aca="false">IF(K498="","",IFERROR(ABS(K498-L498)/IF(ISNUMBER(SEARCH("JPY",E498)),0.01,IF(ISNUMBER(SEARCH("XAU",E498)),0.01,IF(OR(ISNUMBER(SEARCH("30",E498)),ISNUMBER(SEARCH("500",E498)),ISNUMBER(SEARCH("100",E498))),1,0.0001))),0))</f>
        <v/>
      </c>
      <c r="Q498" s="27" t="str">
        <f aca="false">IF(K498="","",SETTINGS!$B$6*O498)</f>
        <v/>
      </c>
      <c r="R498" s="24" t="str">
        <f aca="false">IF(K498="","",IFERROR(Q498/(P498*IF(ISNUMBER(SEARCH("JPY",E498)),9.09,IF(ISNUMBER(SEARCH("XAU",E498)),1,IF(OR(ISNUMBER(SEARCH("30",E498)),ISNUMBER(SEARCH("500",E498)),ISNUMBER(SEARCH("100",E498))),1,10)))),0))</f>
        <v/>
      </c>
      <c r="S498" s="10"/>
      <c r="T498" s="28"/>
      <c r="U498" s="27" t="str">
        <f aca="false">IF(OR(S498="",T498=0),"",IFERROR((S498-K498)*IF(F498="Sell",-1,1)*R498*T498*IF(ISNUMBER(SEARCH("JPY",E498)),1000,IF(ISNUMBER(SEARCH("XAU",E498)),100,IF(OR(ISNUMBER(SEARCH("30",E498)),ISNUMBER(SEARCH("500",E498)),ISNUMBER(SEARCH("100",E498))),100,100000))),0))</f>
        <v/>
      </c>
      <c r="V498" s="10"/>
      <c r="W498" s="28"/>
      <c r="X498" s="27" t="str">
        <f aca="false">IF(OR(V498="",W498=0),"",IFERROR((V498-K498)*IF(F498="Sell",-1,1)*R498*W498*IF(ISNUMBER(SEARCH("JPY",E498)),1000,IF(ISNUMBER(SEARCH("XAU",E498)),100,IF(OR(ISNUMBER(SEARCH("30",E498)),ISNUMBER(SEARCH("500",E498)),ISNUMBER(SEARCH("100",E498))),100,100000))),0))</f>
        <v/>
      </c>
      <c r="Y498" s="10"/>
      <c r="Z498" s="28"/>
      <c r="AA498" s="27" t="str">
        <f aca="false">IF(OR(Y498="",Z498=0),"",IFERROR((Y498-K498)*IF(F498="Sell",-1,1)*R498*Z498*IF(ISNUMBER(SEARCH("JPY",E498)),1000,IF(ISNUMBER(SEARCH("XAU",E498)),100,IF(OR(ISNUMBER(SEARCH("30",E498)),ISNUMBER(SEARCH("500",E498)),ISNUMBER(SEARCH("100",E498))),100,100000))),0))</f>
        <v/>
      </c>
      <c r="AB498" s="10"/>
      <c r="AC498" s="29" t="str">
        <f aca="false">IF(K498="","",1-IFERROR(T498,0)-IFERROR(W498,0)-IFERROR(Z498,0))</f>
        <v/>
      </c>
      <c r="AD498" s="30" t="str">
        <f aca="false">IF(AB498="","",IFERROR((IFERROR(S498*T498,0)+IFERROR(V498*W498,0)+IFERROR(Y498*Z498,0)+AB498*AC498)/(IFERROR(T498,0)+IFERROR(W498,0)+IFERROR(Z498,0)+AC498),AB498))</f>
        <v/>
      </c>
      <c r="AE498" s="27" t="str">
        <f aca="false">IF(AB498="","",IF(U498="",0,U498)+IF(X498="",0,X498)+IF(AA498="",0,AA498)+IFERROR((AB498-K498)*IF(F498="Sell",-1,1)*R498*AC498*IF(ISNUMBER(SEARCH("JPY",E498)),1000,IF(ISNUMBER(SEARCH("XAU",E498)),100,IF(OR(ISNUMBER(SEARCH("30",E498)),ISNUMBER(SEARCH("500",E498)),ISNUMBER(SEARCH("100",E498))),100,100000))),0))</f>
        <v/>
      </c>
      <c r="AF498" s="31" t="str">
        <f aca="false">IF(OR(K498="",M498="",L498=""),"",IFERROR(ABS(M498-K498)/ABS(K498-L498),0))</f>
        <v/>
      </c>
      <c r="AG498" s="31" t="str">
        <f aca="false">IF(OR(AE498="",AE498=0,Q498=0,Q498=""),"",IFERROR(AE498/Q498,0))</f>
        <v/>
      </c>
      <c r="AH498" s="32" t="str">
        <f aca="false">IF(AB498="","Open",IF(AG498="","Open",IF(AG498&gt;0.1,"Win",IF(AG498&lt;-0.1,"Loss","Breakeven"))))</f>
        <v>Open</v>
      </c>
      <c r="AI498" s="33" t="str">
        <f aca="false">IF(OR(B498="",D498=""),"",D498-B498)</f>
        <v/>
      </c>
      <c r="AJ498" s="24" t="str">
        <f aca="false">IF(AD498="","",IFERROR((AD498-K498)*IF(F498="Sell",-1,1)/IF(ISNUMBER(SEARCH("JPY",E498)),0.01,IF(ISNUMBER(SEARCH("XAU",E498)),0.01,IF(OR(ISNUMBER(SEARCH("30",E498)),ISNUMBER(SEARCH("500",E498)),ISNUMBER(SEARCH("100",E498))),1,0.0001))),0))</f>
        <v/>
      </c>
      <c r="AK498" s="10"/>
      <c r="AL498" s="10"/>
      <c r="AM498" s="10"/>
      <c r="AN498" s="10"/>
      <c r="AO498" s="27" t="str">
        <f aca="false">IF(AE498="","",IFERROR(IF(AO497="",SETTINGS!$B$6,AO497),SETTINGS!$B$6)+IF(AE498="",0,AE498))</f>
        <v/>
      </c>
      <c r="AP498" s="2"/>
    </row>
    <row r="499" customFormat="false" ht="15" hidden="false" customHeight="false" outlineLevel="0" collapsed="false">
      <c r="A499" s="24" t="str">
        <f aca="false">IF(B499="","",ROW()-3)</f>
        <v/>
      </c>
      <c r="B499" s="34"/>
      <c r="C499" s="12"/>
      <c r="D499" s="34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35"/>
      <c r="P499" s="24" t="str">
        <f aca="false">IF(K499="","",IFERROR(ABS(K499-L499)/IF(ISNUMBER(SEARCH("JPY",E499)),0.01,IF(ISNUMBER(SEARCH("XAU",E499)),0.01,IF(OR(ISNUMBER(SEARCH("30",E499)),ISNUMBER(SEARCH("500",E499)),ISNUMBER(SEARCH("100",E499))),1,0.0001))),0))</f>
        <v/>
      </c>
      <c r="Q499" s="27" t="str">
        <f aca="false">IF(K499="","",SETTINGS!$B$6*O499)</f>
        <v/>
      </c>
      <c r="R499" s="24" t="str">
        <f aca="false">IF(K499="","",IFERROR(Q499/(P499*IF(ISNUMBER(SEARCH("JPY",E499)),9.09,IF(ISNUMBER(SEARCH("XAU",E499)),1,IF(OR(ISNUMBER(SEARCH("30",E499)),ISNUMBER(SEARCH("500",E499)),ISNUMBER(SEARCH("100",E499))),1,10)))),0))</f>
        <v/>
      </c>
      <c r="S499" s="12"/>
      <c r="T499" s="36"/>
      <c r="U499" s="27" t="str">
        <f aca="false">IF(OR(S499="",T499=0),"",IFERROR((S499-K499)*IF(F499="Sell",-1,1)*R499*T499*IF(ISNUMBER(SEARCH("JPY",E499)),1000,IF(ISNUMBER(SEARCH("XAU",E499)),100,IF(OR(ISNUMBER(SEARCH("30",E499)),ISNUMBER(SEARCH("500",E499)),ISNUMBER(SEARCH("100",E499))),100,100000))),0))</f>
        <v/>
      </c>
      <c r="V499" s="12"/>
      <c r="W499" s="36"/>
      <c r="X499" s="27" t="str">
        <f aca="false">IF(OR(V499="",W499=0),"",IFERROR((V499-K499)*IF(F499="Sell",-1,1)*R499*W499*IF(ISNUMBER(SEARCH("JPY",E499)),1000,IF(ISNUMBER(SEARCH("XAU",E499)),100,IF(OR(ISNUMBER(SEARCH("30",E499)),ISNUMBER(SEARCH("500",E499)),ISNUMBER(SEARCH("100",E499))),100,100000))),0))</f>
        <v/>
      </c>
      <c r="Y499" s="12"/>
      <c r="Z499" s="36"/>
      <c r="AA499" s="27" t="str">
        <f aca="false">IF(OR(Y499="",Z499=0),"",IFERROR((Y499-K499)*IF(F499="Sell",-1,1)*R499*Z499*IF(ISNUMBER(SEARCH("JPY",E499)),1000,IF(ISNUMBER(SEARCH("XAU",E499)),100,IF(OR(ISNUMBER(SEARCH("30",E499)),ISNUMBER(SEARCH("500",E499)),ISNUMBER(SEARCH("100",E499))),100,100000))),0))</f>
        <v/>
      </c>
      <c r="AB499" s="12"/>
      <c r="AC499" s="29" t="str">
        <f aca="false">IF(K499="","",1-IFERROR(T499,0)-IFERROR(W499,0)-IFERROR(Z499,0))</f>
        <v/>
      </c>
      <c r="AD499" s="30" t="str">
        <f aca="false">IF(AB499="","",IFERROR((IFERROR(S499*T499,0)+IFERROR(V499*W499,0)+IFERROR(Y499*Z499,0)+AB499*AC499)/(IFERROR(T499,0)+IFERROR(W499,0)+IFERROR(Z499,0)+AC499),AB499))</f>
        <v/>
      </c>
      <c r="AE499" s="27" t="str">
        <f aca="false">IF(AB499="","",IF(U499="",0,U499)+IF(X499="",0,X499)+IF(AA499="",0,AA499)+IFERROR((AB499-K499)*IF(F499="Sell",-1,1)*R499*AC499*IF(ISNUMBER(SEARCH("JPY",E499)),1000,IF(ISNUMBER(SEARCH("XAU",E499)),100,IF(OR(ISNUMBER(SEARCH("30",E499)),ISNUMBER(SEARCH("500",E499)),ISNUMBER(SEARCH("100",E499))),100,100000))),0))</f>
        <v/>
      </c>
      <c r="AF499" s="31" t="str">
        <f aca="false">IF(OR(K499="",M499="",L499=""),"",IFERROR(ABS(M499-K499)/ABS(K499-L499),0))</f>
        <v/>
      </c>
      <c r="AG499" s="31" t="str">
        <f aca="false">IF(OR(AE499="",AE499=0,Q499=0,Q499=""),"",IFERROR(AE499/Q499,0))</f>
        <v/>
      </c>
      <c r="AH499" s="32" t="str">
        <f aca="false">IF(AB499="","Open",IF(AG499="","Open",IF(AG499&gt;0.1,"Win",IF(AG499&lt;-0.1,"Loss","Breakeven"))))</f>
        <v>Open</v>
      </c>
      <c r="AI499" s="33" t="str">
        <f aca="false">IF(OR(B499="",D499=""),"",D499-B499)</f>
        <v/>
      </c>
      <c r="AJ499" s="24" t="str">
        <f aca="false">IF(AD499="","",IFERROR((AD499-K499)*IF(F499="Sell",-1,1)/IF(ISNUMBER(SEARCH("JPY",E499)),0.01,IF(ISNUMBER(SEARCH("XAU",E499)),0.01,IF(OR(ISNUMBER(SEARCH("30",E499)),ISNUMBER(SEARCH("500",E499)),ISNUMBER(SEARCH("100",E499))),1,0.0001))),0))</f>
        <v/>
      </c>
      <c r="AK499" s="12"/>
      <c r="AL499" s="12"/>
      <c r="AM499" s="12"/>
      <c r="AN499" s="12"/>
      <c r="AO499" s="27" t="str">
        <f aca="false">IF(AE499="","",IFERROR(IF(AO498="",SETTINGS!$B$6,AO498),SETTINGS!$B$6)+IF(AE499="",0,AE499))</f>
        <v/>
      </c>
      <c r="AP499" s="2"/>
    </row>
    <row r="500" customFormat="false" ht="15" hidden="false" customHeight="false" outlineLevel="0" collapsed="false">
      <c r="A500" s="24" t="str">
        <f aca="false">IF(B500="","",ROW()-3)</f>
        <v/>
      </c>
      <c r="B500" s="25"/>
      <c r="C500" s="10"/>
      <c r="D500" s="25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26"/>
      <c r="P500" s="24" t="str">
        <f aca="false">IF(K500="","",IFERROR(ABS(K500-L500)/IF(ISNUMBER(SEARCH("JPY",E500)),0.01,IF(ISNUMBER(SEARCH("XAU",E500)),0.01,IF(OR(ISNUMBER(SEARCH("30",E500)),ISNUMBER(SEARCH("500",E500)),ISNUMBER(SEARCH("100",E500))),1,0.0001))),0))</f>
        <v/>
      </c>
      <c r="Q500" s="27" t="str">
        <f aca="false">IF(K500="","",SETTINGS!$B$6*O500)</f>
        <v/>
      </c>
      <c r="R500" s="24" t="str">
        <f aca="false">IF(K500="","",IFERROR(Q500/(P500*IF(ISNUMBER(SEARCH("JPY",E500)),9.09,IF(ISNUMBER(SEARCH("XAU",E500)),1,IF(OR(ISNUMBER(SEARCH("30",E500)),ISNUMBER(SEARCH("500",E500)),ISNUMBER(SEARCH("100",E500))),1,10)))),0))</f>
        <v/>
      </c>
      <c r="S500" s="10"/>
      <c r="T500" s="28"/>
      <c r="U500" s="27" t="str">
        <f aca="false">IF(OR(S500="",T500=0),"",IFERROR((S500-K500)*IF(F500="Sell",-1,1)*R500*T500*IF(ISNUMBER(SEARCH("JPY",E500)),1000,IF(ISNUMBER(SEARCH("XAU",E500)),100,IF(OR(ISNUMBER(SEARCH("30",E500)),ISNUMBER(SEARCH("500",E500)),ISNUMBER(SEARCH("100",E500))),100,100000))),0))</f>
        <v/>
      </c>
      <c r="V500" s="10"/>
      <c r="W500" s="28"/>
      <c r="X500" s="27" t="str">
        <f aca="false">IF(OR(V500="",W500=0),"",IFERROR((V500-K500)*IF(F500="Sell",-1,1)*R500*W500*IF(ISNUMBER(SEARCH("JPY",E500)),1000,IF(ISNUMBER(SEARCH("XAU",E500)),100,IF(OR(ISNUMBER(SEARCH("30",E500)),ISNUMBER(SEARCH("500",E500)),ISNUMBER(SEARCH("100",E500))),100,100000))),0))</f>
        <v/>
      </c>
      <c r="Y500" s="10"/>
      <c r="Z500" s="28"/>
      <c r="AA500" s="27" t="str">
        <f aca="false">IF(OR(Y500="",Z500=0),"",IFERROR((Y500-K500)*IF(F500="Sell",-1,1)*R500*Z500*IF(ISNUMBER(SEARCH("JPY",E500)),1000,IF(ISNUMBER(SEARCH("XAU",E500)),100,IF(OR(ISNUMBER(SEARCH("30",E500)),ISNUMBER(SEARCH("500",E500)),ISNUMBER(SEARCH("100",E500))),100,100000))),0))</f>
        <v/>
      </c>
      <c r="AB500" s="10"/>
      <c r="AC500" s="29" t="str">
        <f aca="false">IF(K500="","",1-IFERROR(T500,0)-IFERROR(W500,0)-IFERROR(Z500,0))</f>
        <v/>
      </c>
      <c r="AD500" s="30" t="str">
        <f aca="false">IF(AB500="","",IFERROR((IFERROR(S500*T500,0)+IFERROR(V500*W500,0)+IFERROR(Y500*Z500,0)+AB500*AC500)/(IFERROR(T500,0)+IFERROR(W500,0)+IFERROR(Z500,0)+AC500),AB500))</f>
        <v/>
      </c>
      <c r="AE500" s="27" t="str">
        <f aca="false">IF(AB500="","",IF(U500="",0,U500)+IF(X500="",0,X500)+IF(AA500="",0,AA500)+IFERROR((AB500-K500)*IF(F500="Sell",-1,1)*R500*AC500*IF(ISNUMBER(SEARCH("JPY",E500)),1000,IF(ISNUMBER(SEARCH("XAU",E500)),100,IF(OR(ISNUMBER(SEARCH("30",E500)),ISNUMBER(SEARCH("500",E500)),ISNUMBER(SEARCH("100",E500))),100,100000))),0))</f>
        <v/>
      </c>
      <c r="AF500" s="31" t="str">
        <f aca="false">IF(OR(K500="",M500="",L500=""),"",IFERROR(ABS(M500-K500)/ABS(K500-L500),0))</f>
        <v/>
      </c>
      <c r="AG500" s="31" t="str">
        <f aca="false">IF(OR(AE500="",AE500=0,Q500=0,Q500=""),"",IFERROR(AE500/Q500,0))</f>
        <v/>
      </c>
      <c r="AH500" s="32" t="str">
        <f aca="false">IF(AB500="","Open",IF(AG500="","Open",IF(AG500&gt;0.1,"Win",IF(AG500&lt;-0.1,"Loss","Breakeven"))))</f>
        <v>Open</v>
      </c>
      <c r="AI500" s="33" t="str">
        <f aca="false">IF(OR(B500="",D500=""),"",D500-B500)</f>
        <v/>
      </c>
      <c r="AJ500" s="24" t="str">
        <f aca="false">IF(AD500="","",IFERROR((AD500-K500)*IF(F500="Sell",-1,1)/IF(ISNUMBER(SEARCH("JPY",E500)),0.01,IF(ISNUMBER(SEARCH("XAU",E500)),0.01,IF(OR(ISNUMBER(SEARCH("30",E500)),ISNUMBER(SEARCH("500",E500)),ISNUMBER(SEARCH("100",E500))),1,0.0001))),0))</f>
        <v/>
      </c>
      <c r="AK500" s="10"/>
      <c r="AL500" s="10"/>
      <c r="AM500" s="10"/>
      <c r="AN500" s="10"/>
      <c r="AO500" s="27" t="str">
        <f aca="false">IF(AE500="","",IFERROR(IF(AO499="",SETTINGS!$B$6,AO499),SETTINGS!$B$6)+IF(AE500="",0,AE500))</f>
        <v/>
      </c>
      <c r="AP500" s="2"/>
    </row>
    <row r="501" customFormat="false" ht="15" hidden="false" customHeight="false" outlineLevel="0" collapsed="false">
      <c r="A501" s="24" t="str">
        <f aca="false">IF(B501="","",ROW()-3)</f>
        <v/>
      </c>
      <c r="B501" s="34"/>
      <c r="C501" s="12"/>
      <c r="D501" s="34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35"/>
      <c r="P501" s="24" t="str">
        <f aca="false">IF(K501="","",IFERROR(ABS(K501-L501)/IF(ISNUMBER(SEARCH("JPY",E501)),0.01,IF(ISNUMBER(SEARCH("XAU",E501)),0.01,IF(OR(ISNUMBER(SEARCH("30",E501)),ISNUMBER(SEARCH("500",E501)),ISNUMBER(SEARCH("100",E501))),1,0.0001))),0))</f>
        <v/>
      </c>
      <c r="Q501" s="27" t="str">
        <f aca="false">IF(K501="","",SETTINGS!$B$6*O501)</f>
        <v/>
      </c>
      <c r="R501" s="24" t="str">
        <f aca="false">IF(K501="","",IFERROR(Q501/(P501*IF(ISNUMBER(SEARCH("JPY",E501)),9.09,IF(ISNUMBER(SEARCH("XAU",E501)),1,IF(OR(ISNUMBER(SEARCH("30",E501)),ISNUMBER(SEARCH("500",E501)),ISNUMBER(SEARCH("100",E501))),1,10)))),0))</f>
        <v/>
      </c>
      <c r="S501" s="12"/>
      <c r="T501" s="36"/>
      <c r="U501" s="27" t="str">
        <f aca="false">IF(OR(S501="",T501=0),"",IFERROR((S501-K501)*IF(F501="Sell",-1,1)*R501*T501*IF(ISNUMBER(SEARCH("JPY",E501)),1000,IF(ISNUMBER(SEARCH("XAU",E501)),100,IF(OR(ISNUMBER(SEARCH("30",E501)),ISNUMBER(SEARCH("500",E501)),ISNUMBER(SEARCH("100",E501))),100,100000))),0))</f>
        <v/>
      </c>
      <c r="V501" s="12"/>
      <c r="W501" s="36"/>
      <c r="X501" s="27" t="str">
        <f aca="false">IF(OR(V501="",W501=0),"",IFERROR((V501-K501)*IF(F501="Sell",-1,1)*R501*W501*IF(ISNUMBER(SEARCH("JPY",E501)),1000,IF(ISNUMBER(SEARCH("XAU",E501)),100,IF(OR(ISNUMBER(SEARCH("30",E501)),ISNUMBER(SEARCH("500",E501)),ISNUMBER(SEARCH("100",E501))),100,100000))),0))</f>
        <v/>
      </c>
      <c r="Y501" s="12"/>
      <c r="Z501" s="36"/>
      <c r="AA501" s="27" t="str">
        <f aca="false">IF(OR(Y501="",Z501=0),"",IFERROR((Y501-K501)*IF(F501="Sell",-1,1)*R501*Z501*IF(ISNUMBER(SEARCH("JPY",E501)),1000,IF(ISNUMBER(SEARCH("XAU",E501)),100,IF(OR(ISNUMBER(SEARCH("30",E501)),ISNUMBER(SEARCH("500",E501)),ISNUMBER(SEARCH("100",E501))),100,100000))),0))</f>
        <v/>
      </c>
      <c r="AB501" s="12"/>
      <c r="AC501" s="29" t="str">
        <f aca="false">IF(K501="","",1-IFERROR(T501,0)-IFERROR(W501,0)-IFERROR(Z501,0))</f>
        <v/>
      </c>
      <c r="AD501" s="30" t="str">
        <f aca="false">IF(AB501="","",IFERROR((IFERROR(S501*T501,0)+IFERROR(V501*W501,0)+IFERROR(Y501*Z501,0)+AB501*AC501)/(IFERROR(T501,0)+IFERROR(W501,0)+IFERROR(Z501,0)+AC501),AB501))</f>
        <v/>
      </c>
      <c r="AE501" s="27" t="str">
        <f aca="false">IF(AB501="","",IF(U501="",0,U501)+IF(X501="",0,X501)+IF(AA501="",0,AA501)+IFERROR((AB501-K501)*IF(F501="Sell",-1,1)*R501*AC501*IF(ISNUMBER(SEARCH("JPY",E501)),1000,IF(ISNUMBER(SEARCH("XAU",E501)),100,IF(OR(ISNUMBER(SEARCH("30",E501)),ISNUMBER(SEARCH("500",E501)),ISNUMBER(SEARCH("100",E501))),100,100000))),0))</f>
        <v/>
      </c>
      <c r="AF501" s="31" t="str">
        <f aca="false">IF(OR(K501="",M501="",L501=""),"",IFERROR(ABS(M501-K501)/ABS(K501-L501),0))</f>
        <v/>
      </c>
      <c r="AG501" s="31" t="str">
        <f aca="false">IF(OR(AE501="",AE501=0,Q501=0,Q501=""),"",IFERROR(AE501/Q501,0))</f>
        <v/>
      </c>
      <c r="AH501" s="32" t="str">
        <f aca="false">IF(AB501="","Open",IF(AG501="","Open",IF(AG501&gt;0.1,"Win",IF(AG501&lt;-0.1,"Loss","Breakeven"))))</f>
        <v>Open</v>
      </c>
      <c r="AI501" s="33" t="str">
        <f aca="false">IF(OR(B501="",D501=""),"",D501-B501)</f>
        <v/>
      </c>
      <c r="AJ501" s="24" t="str">
        <f aca="false">IF(AD501="","",IFERROR((AD501-K501)*IF(F501="Sell",-1,1)/IF(ISNUMBER(SEARCH("JPY",E501)),0.01,IF(ISNUMBER(SEARCH("XAU",E501)),0.01,IF(OR(ISNUMBER(SEARCH("30",E501)),ISNUMBER(SEARCH("500",E501)),ISNUMBER(SEARCH("100",E501))),1,0.0001))),0))</f>
        <v/>
      </c>
      <c r="AK501" s="12"/>
      <c r="AL501" s="12"/>
      <c r="AM501" s="12"/>
      <c r="AN501" s="12"/>
      <c r="AO501" s="27" t="str">
        <f aca="false">IF(AE501="","",IFERROR(IF(AO500="",SETTINGS!$B$6,AO500),SETTINGS!$B$6)+IF(AE501="",0,AE501))</f>
        <v/>
      </c>
      <c r="AP501" s="2"/>
    </row>
    <row r="502" customFormat="false" ht="15" hidden="false" customHeight="false" outlineLevel="0" collapsed="false">
      <c r="A502" s="24" t="str">
        <f aca="false">IF(B502="","",ROW()-3)</f>
        <v/>
      </c>
      <c r="B502" s="25"/>
      <c r="C502" s="10"/>
      <c r="D502" s="25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26"/>
      <c r="P502" s="24" t="str">
        <f aca="false">IF(K502="","",IFERROR(ABS(K502-L502)/IF(ISNUMBER(SEARCH("JPY",E502)),0.01,IF(ISNUMBER(SEARCH("XAU",E502)),0.01,IF(OR(ISNUMBER(SEARCH("30",E502)),ISNUMBER(SEARCH("500",E502)),ISNUMBER(SEARCH("100",E502))),1,0.0001))),0))</f>
        <v/>
      </c>
      <c r="Q502" s="27" t="str">
        <f aca="false">IF(K502="","",SETTINGS!$B$6*O502)</f>
        <v/>
      </c>
      <c r="R502" s="24" t="str">
        <f aca="false">IF(K502="","",IFERROR(Q502/(P502*IF(ISNUMBER(SEARCH("JPY",E502)),9.09,IF(ISNUMBER(SEARCH("XAU",E502)),1,IF(OR(ISNUMBER(SEARCH("30",E502)),ISNUMBER(SEARCH("500",E502)),ISNUMBER(SEARCH("100",E502))),1,10)))),0))</f>
        <v/>
      </c>
      <c r="S502" s="10"/>
      <c r="T502" s="28"/>
      <c r="U502" s="27" t="str">
        <f aca="false">IF(OR(S502="",T502=0),"",IFERROR((S502-K502)*IF(F502="Sell",-1,1)*R502*T502*IF(ISNUMBER(SEARCH("JPY",E502)),1000,IF(ISNUMBER(SEARCH("XAU",E502)),100,IF(OR(ISNUMBER(SEARCH("30",E502)),ISNUMBER(SEARCH("500",E502)),ISNUMBER(SEARCH("100",E502))),100,100000))),0))</f>
        <v/>
      </c>
      <c r="V502" s="10"/>
      <c r="W502" s="28"/>
      <c r="X502" s="27" t="str">
        <f aca="false">IF(OR(V502="",W502=0),"",IFERROR((V502-K502)*IF(F502="Sell",-1,1)*R502*W502*IF(ISNUMBER(SEARCH("JPY",E502)),1000,IF(ISNUMBER(SEARCH("XAU",E502)),100,IF(OR(ISNUMBER(SEARCH("30",E502)),ISNUMBER(SEARCH("500",E502)),ISNUMBER(SEARCH("100",E502))),100,100000))),0))</f>
        <v/>
      </c>
      <c r="Y502" s="10"/>
      <c r="Z502" s="28"/>
      <c r="AA502" s="27" t="str">
        <f aca="false">IF(OR(Y502="",Z502=0),"",IFERROR((Y502-K502)*IF(F502="Sell",-1,1)*R502*Z502*IF(ISNUMBER(SEARCH("JPY",E502)),1000,IF(ISNUMBER(SEARCH("XAU",E502)),100,IF(OR(ISNUMBER(SEARCH("30",E502)),ISNUMBER(SEARCH("500",E502)),ISNUMBER(SEARCH("100",E502))),100,100000))),0))</f>
        <v/>
      </c>
      <c r="AB502" s="10"/>
      <c r="AC502" s="29" t="str">
        <f aca="false">IF(K502="","",1-IFERROR(T502,0)-IFERROR(W502,0)-IFERROR(Z502,0))</f>
        <v/>
      </c>
      <c r="AD502" s="30" t="str">
        <f aca="false">IF(AB502="","",IFERROR((IFERROR(S502*T502,0)+IFERROR(V502*W502,0)+IFERROR(Y502*Z502,0)+AB502*AC502)/(IFERROR(T502,0)+IFERROR(W502,0)+IFERROR(Z502,0)+AC502),AB502))</f>
        <v/>
      </c>
      <c r="AE502" s="27" t="str">
        <f aca="false">IF(AB502="","",IF(U502="",0,U502)+IF(X502="",0,X502)+IF(AA502="",0,AA502)+IFERROR((AB502-K502)*IF(F502="Sell",-1,1)*R502*AC502*IF(ISNUMBER(SEARCH("JPY",E502)),1000,IF(ISNUMBER(SEARCH("XAU",E502)),100,IF(OR(ISNUMBER(SEARCH("30",E502)),ISNUMBER(SEARCH("500",E502)),ISNUMBER(SEARCH("100",E502))),100,100000))),0))</f>
        <v/>
      </c>
      <c r="AF502" s="31" t="str">
        <f aca="false">IF(OR(K502="",M502="",L502=""),"",IFERROR(ABS(M502-K502)/ABS(K502-L502),0))</f>
        <v/>
      </c>
      <c r="AG502" s="31" t="str">
        <f aca="false">IF(OR(AE502="",AE502=0,Q502=0,Q502=""),"",IFERROR(AE502/Q502,0))</f>
        <v/>
      </c>
      <c r="AH502" s="32" t="str">
        <f aca="false">IF(AB502="","Open",IF(AG502="","Open",IF(AG502&gt;0.1,"Win",IF(AG502&lt;-0.1,"Loss","Breakeven"))))</f>
        <v>Open</v>
      </c>
      <c r="AI502" s="33" t="str">
        <f aca="false">IF(OR(B502="",D502=""),"",D502-B502)</f>
        <v/>
      </c>
      <c r="AJ502" s="24" t="str">
        <f aca="false">IF(AD502="","",IFERROR((AD502-K502)*IF(F502="Sell",-1,1)/IF(ISNUMBER(SEARCH("JPY",E502)),0.01,IF(ISNUMBER(SEARCH("XAU",E502)),0.01,IF(OR(ISNUMBER(SEARCH("30",E502)),ISNUMBER(SEARCH("500",E502)),ISNUMBER(SEARCH("100",E502))),1,0.0001))),0))</f>
        <v/>
      </c>
      <c r="AK502" s="10"/>
      <c r="AL502" s="10"/>
      <c r="AM502" s="10"/>
      <c r="AN502" s="10"/>
      <c r="AO502" s="27" t="str">
        <f aca="false">IF(AE502="","",IFERROR(IF(AO501="",SETTINGS!$B$6,AO501),SETTINGS!$B$6)+IF(AE502="",0,AE502))</f>
        <v/>
      </c>
      <c r="AP502" s="2"/>
    </row>
    <row r="503" customFormat="false" ht="15" hidden="false" customHeight="false" outlineLevel="0" collapsed="false">
      <c r="A503" s="24" t="str">
        <f aca="false">IF(B503="","",ROW()-3)</f>
        <v/>
      </c>
      <c r="B503" s="34"/>
      <c r="C503" s="12"/>
      <c r="D503" s="34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35"/>
      <c r="P503" s="24" t="str">
        <f aca="false">IF(K503="","",IFERROR(ABS(K503-L503)/IF(ISNUMBER(SEARCH("JPY",E503)),0.01,IF(ISNUMBER(SEARCH("XAU",E503)),0.01,IF(OR(ISNUMBER(SEARCH("30",E503)),ISNUMBER(SEARCH("500",E503)),ISNUMBER(SEARCH("100",E503))),1,0.0001))),0))</f>
        <v/>
      </c>
      <c r="Q503" s="27" t="str">
        <f aca="false">IF(K503="","",SETTINGS!$B$6*O503)</f>
        <v/>
      </c>
      <c r="R503" s="24" t="str">
        <f aca="false">IF(K503="","",IFERROR(Q503/(P503*IF(ISNUMBER(SEARCH("JPY",E503)),9.09,IF(ISNUMBER(SEARCH("XAU",E503)),1,IF(OR(ISNUMBER(SEARCH("30",E503)),ISNUMBER(SEARCH("500",E503)),ISNUMBER(SEARCH("100",E503))),1,10)))),0))</f>
        <v/>
      </c>
      <c r="S503" s="12"/>
      <c r="T503" s="36"/>
      <c r="U503" s="27" t="str">
        <f aca="false">IF(OR(S503="",T503=0),"",IFERROR((S503-K503)*IF(F503="Sell",-1,1)*R503*T503*IF(ISNUMBER(SEARCH("JPY",E503)),1000,IF(ISNUMBER(SEARCH("XAU",E503)),100,IF(OR(ISNUMBER(SEARCH("30",E503)),ISNUMBER(SEARCH("500",E503)),ISNUMBER(SEARCH("100",E503))),100,100000))),0))</f>
        <v/>
      </c>
      <c r="V503" s="12"/>
      <c r="W503" s="36"/>
      <c r="X503" s="27" t="str">
        <f aca="false">IF(OR(V503="",W503=0),"",IFERROR((V503-K503)*IF(F503="Sell",-1,1)*R503*W503*IF(ISNUMBER(SEARCH("JPY",E503)),1000,IF(ISNUMBER(SEARCH("XAU",E503)),100,IF(OR(ISNUMBER(SEARCH("30",E503)),ISNUMBER(SEARCH("500",E503)),ISNUMBER(SEARCH("100",E503))),100,100000))),0))</f>
        <v/>
      </c>
      <c r="Y503" s="12"/>
      <c r="Z503" s="36"/>
      <c r="AA503" s="27" t="str">
        <f aca="false">IF(OR(Y503="",Z503=0),"",IFERROR((Y503-K503)*IF(F503="Sell",-1,1)*R503*Z503*IF(ISNUMBER(SEARCH("JPY",E503)),1000,IF(ISNUMBER(SEARCH("XAU",E503)),100,IF(OR(ISNUMBER(SEARCH("30",E503)),ISNUMBER(SEARCH("500",E503)),ISNUMBER(SEARCH("100",E503))),100,100000))),0))</f>
        <v/>
      </c>
      <c r="AB503" s="12"/>
      <c r="AC503" s="29" t="str">
        <f aca="false">IF(K503="","",1-IFERROR(T503,0)-IFERROR(W503,0)-IFERROR(Z503,0))</f>
        <v/>
      </c>
      <c r="AD503" s="30" t="str">
        <f aca="false">IF(AB503="","",IFERROR((IFERROR(S503*T503,0)+IFERROR(V503*W503,0)+IFERROR(Y503*Z503,0)+AB503*AC503)/(IFERROR(T503,0)+IFERROR(W503,0)+IFERROR(Z503,0)+AC503),AB503))</f>
        <v/>
      </c>
      <c r="AE503" s="27" t="str">
        <f aca="false">IF(AB503="","",IF(U503="",0,U503)+IF(X503="",0,X503)+IF(AA503="",0,AA503)+IFERROR((AB503-K503)*IF(F503="Sell",-1,1)*R503*AC503*IF(ISNUMBER(SEARCH("JPY",E503)),1000,IF(ISNUMBER(SEARCH("XAU",E503)),100,IF(OR(ISNUMBER(SEARCH("30",E503)),ISNUMBER(SEARCH("500",E503)),ISNUMBER(SEARCH("100",E503))),100,100000))),0))</f>
        <v/>
      </c>
      <c r="AF503" s="31" t="str">
        <f aca="false">IF(OR(K503="",M503="",L503=""),"",IFERROR(ABS(M503-K503)/ABS(K503-L503),0))</f>
        <v/>
      </c>
      <c r="AG503" s="31" t="str">
        <f aca="false">IF(OR(AE503="",AE503=0,Q503=0,Q503=""),"",IFERROR(AE503/Q503,0))</f>
        <v/>
      </c>
      <c r="AH503" s="32" t="str">
        <f aca="false">IF(AB503="","Open",IF(AG503="","Open",IF(AG503&gt;0.1,"Win",IF(AG503&lt;-0.1,"Loss","Breakeven"))))</f>
        <v>Open</v>
      </c>
      <c r="AI503" s="33" t="str">
        <f aca="false">IF(OR(B503="",D503=""),"",D503-B503)</f>
        <v/>
      </c>
      <c r="AJ503" s="24" t="str">
        <f aca="false">IF(AD503="","",IFERROR((AD503-K503)*IF(F503="Sell",-1,1)/IF(ISNUMBER(SEARCH("JPY",E503)),0.01,IF(ISNUMBER(SEARCH("XAU",E503)),0.01,IF(OR(ISNUMBER(SEARCH("30",E503)),ISNUMBER(SEARCH("500",E503)),ISNUMBER(SEARCH("100",E503))),1,0.0001))),0))</f>
        <v/>
      </c>
      <c r="AK503" s="12"/>
      <c r="AL503" s="12"/>
      <c r="AM503" s="12"/>
      <c r="AN503" s="12"/>
      <c r="AO503" s="27" t="str">
        <f aca="false">IF(AE503="","",IFERROR(IF(AO502="",SETTINGS!$B$6,AO502),SETTINGS!$B$6)+IF(AE503="",0,AE503))</f>
        <v/>
      </c>
      <c r="AP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</row>
    <row r="1042" customFormat="false" ht="1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</row>
    <row r="1044" customFormat="false" ht="1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</row>
    <row r="1045" customFormat="false" ht="1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</row>
    <row r="1046" customFormat="false" ht="1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</row>
    <row r="1047" customFormat="false" ht="1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</row>
    <row r="1048" customFormat="false" ht="1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</row>
    <row r="1049" customFormat="false" ht="1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</row>
    <row r="1050" customFormat="false" ht="1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</row>
    <row r="1051" customFormat="false" ht="1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</row>
    <row r="1052" customFormat="false" ht="1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</row>
    <row r="1053" customFormat="false" ht="1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</row>
    <row r="1054" customFormat="false" ht="1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</row>
    <row r="1055" customFormat="false" ht="1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</row>
    <row r="1056" customFormat="false" ht="1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</row>
    <row r="1057" customFormat="false" ht="1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</row>
    <row r="1058" customFormat="false" ht="1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</row>
    <row r="1059" customFormat="false" ht="1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</row>
    <row r="1060" customFormat="false" ht="1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</row>
    <row r="1061" customFormat="false" ht="1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</row>
    <row r="1062" customFormat="false" ht="1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</row>
    <row r="1063" customFormat="false" ht="1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</row>
    <row r="1064" customFormat="false" ht="1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</row>
    <row r="1065" customFormat="false" ht="1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</row>
    <row r="1066" customFormat="false" ht="1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</row>
    <row r="1067" customFormat="false" ht="1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</row>
    <row r="1068" customFormat="false" ht="1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</row>
    <row r="1069" customFormat="false" ht="1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</row>
    <row r="1070" customFormat="false" ht="1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</row>
    <row r="1071" customFormat="false" ht="1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</row>
    <row r="1072" customFormat="false" ht="1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</row>
    <row r="1073" customFormat="false" ht="1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</row>
    <row r="1074" customFormat="false" ht="1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</row>
    <row r="1075" customFormat="false" ht="1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</row>
    <row r="1076" customFormat="false" ht="1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</row>
    <row r="1077" customFormat="false" ht="1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</row>
    <row r="1078" customFormat="false" ht="1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</row>
    <row r="1079" customFormat="false" ht="1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</row>
    <row r="1080" customFormat="false" ht="1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</row>
    <row r="1081" customFormat="false" ht="1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</row>
    <row r="1082" customFormat="false" ht="1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</row>
    <row r="1083" customFormat="false" ht="1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</row>
    <row r="1084" customFormat="false" ht="1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</row>
    <row r="1085" customFormat="false" ht="1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</row>
    <row r="1086" customFormat="false" ht="1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</row>
    <row r="1087" customFormat="false" ht="1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</row>
    <row r="1088" customFormat="false" ht="1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</row>
    <row r="1089" customFormat="false" ht="1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</row>
    <row r="1090" customFormat="false" ht="1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</row>
    <row r="1091" customFormat="false" ht="1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</row>
    <row r="1092" customFormat="false" ht="1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</row>
    <row r="1093" customFormat="false" ht="1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</row>
    <row r="1094" customFormat="false" ht="1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</row>
    <row r="1095" customFormat="false" ht="1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</row>
    <row r="1096" customFormat="false" ht="1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</row>
    <row r="1097" customFormat="false" ht="1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</row>
    <row r="1098" customFormat="false" ht="1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</row>
    <row r="1099" customFormat="false" ht="1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</row>
    <row r="1100" customFormat="false" ht="1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</row>
    <row r="1101" customFormat="false" ht="1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</row>
    <row r="1102" customFormat="false" ht="1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</row>
    <row r="1103" customFormat="false" ht="1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</row>
    <row r="1104" customFormat="false" ht="1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</row>
    <row r="1105" customFormat="false" ht="1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</row>
    <row r="1106" customFormat="false" ht="1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</row>
    <row r="1107" customFormat="false" ht="15" hidden="fals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</row>
    <row r="1108" customFormat="false" ht="15" hidden="fals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</row>
    <row r="1109" customFormat="false" ht="15" hidden="fals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</row>
    <row r="1110" customFormat="false" ht="15" hidden="false" customHeight="false" outlineLevel="0" collapsed="false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</row>
    <row r="1111" customFormat="false" ht="15" hidden="fals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</row>
    <row r="1112" customFormat="false" ht="15" hidden="false" customHeight="false" outlineLevel="0" collapsed="false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</row>
    <row r="1113" customFormat="false" ht="15" hidden="false" customHeight="false" outlineLevel="0" collapsed="false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</row>
    <row r="1114" customFormat="false" ht="15" hidden="false" customHeight="false" outlineLevel="0" collapsed="false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</row>
    <row r="1115" customFormat="false" ht="15" hidden="false" customHeight="false" outlineLevel="0" collapsed="false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</row>
    <row r="1116" customFormat="false" ht="15" hidden="false" customHeight="false" outlineLevel="0" collapsed="false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</row>
    <row r="1117" customFormat="false" ht="15" hidden="false" customHeight="false" outlineLevel="0" collapsed="false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</row>
    <row r="1118" customFormat="false" ht="15" hidden="false" customHeight="false" outlineLevel="0" collapsed="false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</row>
    <row r="1119" customFormat="false" ht="15" hidden="false" customHeight="false" outlineLevel="0" collapsed="false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</row>
    <row r="1120" customFormat="false" ht="15" hidden="false" customHeight="false" outlineLevel="0" collapsed="false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</row>
    <row r="1121" customFormat="false" ht="15" hidden="false" customHeight="false" outlineLevel="0" collapsed="false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</row>
    <row r="1122" customFormat="false" ht="15" hidden="false" customHeight="false" outlineLevel="0" collapsed="false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</row>
    <row r="1123" customFormat="false" ht="15" hidden="false" customHeight="false" outlineLevel="0" collapsed="false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</row>
    <row r="1124" customFormat="false" ht="15" hidden="false" customHeight="false" outlineLevel="0" collapsed="false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</row>
    <row r="1125" customFormat="false" ht="15" hidden="false" customHeight="false" outlineLevel="0" collapsed="false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</row>
    <row r="1126" customFormat="false" ht="15" hidden="false" customHeight="false" outlineLevel="0" collapsed="false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</row>
    <row r="1127" customFormat="false" ht="15" hidden="false" customHeight="false" outlineLevel="0" collapsed="false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</row>
    <row r="1128" customFormat="false" ht="15" hidden="false" customHeight="false" outlineLevel="0" collapsed="false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</row>
    <row r="1129" customFormat="false" ht="15" hidden="false" customHeight="false" outlineLevel="0" collapsed="false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</row>
    <row r="1130" customFormat="false" ht="15" hidden="false" customHeight="false" outlineLevel="0" collapsed="false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</row>
    <row r="1131" customFormat="false" ht="15" hidden="false" customHeight="false" outlineLevel="0" collapsed="false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</row>
    <row r="1132" customFormat="false" ht="15" hidden="false" customHeight="false" outlineLevel="0" collapsed="false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</row>
    <row r="1133" customFormat="false" ht="15" hidden="false" customHeight="false" outlineLevel="0" collapsed="false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</row>
    <row r="1134" customFormat="false" ht="15" hidden="false" customHeight="false" outlineLevel="0" collapsed="false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</row>
    <row r="1135" customFormat="false" ht="15" hidden="false" customHeight="false" outlineLevel="0" collapsed="false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</row>
    <row r="1136" customFormat="false" ht="15" hidden="false" customHeight="false" outlineLevel="0" collapsed="false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</row>
    <row r="1137" customFormat="false" ht="15" hidden="false" customHeight="false" outlineLevel="0" collapsed="false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</row>
    <row r="1138" customFormat="false" ht="15" hidden="false" customHeight="false" outlineLevel="0" collapsed="false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</row>
    <row r="1139" customFormat="false" ht="15" hidden="false" customHeight="false" outlineLevel="0" collapsed="false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</row>
    <row r="1140" customFormat="false" ht="15" hidden="false" customHeight="false" outlineLevel="0" collapsed="false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</row>
    <row r="1141" customFormat="false" ht="15" hidden="false" customHeight="false" outlineLevel="0" collapsed="false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</row>
    <row r="1142" customFormat="false" ht="15" hidden="false" customHeight="false" outlineLevel="0" collapsed="false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</row>
    <row r="1143" customFormat="false" ht="15" hidden="false" customHeight="false" outlineLevel="0" collapsed="false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</row>
    <row r="1144" customFormat="false" ht="15" hidden="false" customHeight="false" outlineLevel="0" collapsed="false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</row>
    <row r="1145" customFormat="false" ht="15" hidden="false" customHeight="false" outlineLevel="0" collapsed="false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</row>
    <row r="1146" customFormat="false" ht="15" hidden="false" customHeight="false" outlineLevel="0" collapsed="false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</row>
    <row r="1147" customFormat="false" ht="15" hidden="false" customHeight="false" outlineLevel="0" collapsed="false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</row>
    <row r="1148" customFormat="false" ht="15" hidden="false" customHeight="false" outlineLevel="0" collapsed="false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</row>
    <row r="1149" customFormat="false" ht="15" hidden="false" customHeight="false" outlineLevel="0" collapsed="false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</row>
    <row r="1150" customFormat="false" ht="15" hidden="false" customHeight="false" outlineLevel="0" collapsed="false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</row>
    <row r="1151" customFormat="false" ht="15" hidden="false" customHeight="false" outlineLevel="0" collapsed="false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</row>
    <row r="1152" customFormat="false" ht="15" hidden="false" customHeight="false" outlineLevel="0" collapsed="false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</row>
    <row r="1153" customFormat="false" ht="15" hidden="false" customHeight="false" outlineLevel="0" collapsed="false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</row>
    <row r="1154" customFormat="false" ht="15" hidden="false" customHeight="false" outlineLevel="0" collapsed="false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</row>
    <row r="1155" customFormat="false" ht="15" hidden="false" customHeight="false" outlineLevel="0" collapsed="false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</row>
    <row r="1156" customFormat="false" ht="15" hidden="false" customHeight="false" outlineLevel="0" collapsed="false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</row>
    <row r="1157" customFormat="false" ht="15" hidden="false" customHeight="false" outlineLevel="0" collapsed="false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</row>
    <row r="1158" customFormat="false" ht="15" hidden="false" customHeight="false" outlineLevel="0" collapsed="false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</row>
    <row r="1159" customFormat="false" ht="15" hidden="false" customHeight="false" outlineLevel="0" collapsed="false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</row>
    <row r="1160" customFormat="false" ht="15" hidden="false" customHeight="false" outlineLevel="0" collapsed="false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</row>
    <row r="1161" customFormat="false" ht="15" hidden="false" customHeight="false" outlineLevel="0" collapsed="false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</row>
    <row r="1162" customFormat="false" ht="15" hidden="false" customHeight="false" outlineLevel="0" collapsed="false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</row>
    <row r="1163" customFormat="false" ht="15" hidden="false" customHeight="false" outlineLevel="0" collapsed="false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</row>
    <row r="1164" customFormat="false" ht="15" hidden="false" customHeight="false" outlineLevel="0" collapsed="false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</row>
    <row r="1165" customFormat="false" ht="15" hidden="false" customHeight="false" outlineLevel="0" collapsed="false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</row>
    <row r="1166" customFormat="false" ht="15" hidden="false" customHeight="false" outlineLevel="0" collapsed="false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</row>
    <row r="1167" customFormat="false" ht="15" hidden="false" customHeight="false" outlineLevel="0" collapsed="false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</row>
    <row r="1168" customFormat="false" ht="15" hidden="false" customHeight="false" outlineLevel="0" collapsed="false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</row>
    <row r="1169" customFormat="false" ht="15" hidden="false" customHeight="false" outlineLevel="0" collapsed="false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</row>
    <row r="1170" customFormat="false" ht="15" hidden="false" customHeight="false" outlineLevel="0" collapsed="false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</row>
    <row r="1171" customFormat="false" ht="15" hidden="false" customHeight="false" outlineLevel="0" collapsed="false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</row>
    <row r="1172" customFormat="false" ht="15" hidden="false" customHeight="false" outlineLevel="0" collapsed="false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</row>
    <row r="1173" customFormat="false" ht="15" hidden="false" customHeight="false" outlineLevel="0" collapsed="false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</row>
    <row r="1174" customFormat="false" ht="15" hidden="false" customHeight="false" outlineLevel="0" collapsed="false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</row>
    <row r="1175" customFormat="false" ht="15" hidden="false" customHeight="false" outlineLevel="0" collapsed="false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</row>
    <row r="1176" customFormat="false" ht="15" hidden="false" customHeight="false" outlineLevel="0" collapsed="false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</row>
    <row r="1177" customFormat="false" ht="15" hidden="false" customHeight="false" outlineLevel="0" collapsed="false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</row>
    <row r="1178" customFormat="false" ht="15" hidden="false" customHeight="false" outlineLevel="0" collapsed="false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</row>
    <row r="1179" customFormat="false" ht="15" hidden="false" customHeight="false" outlineLevel="0" collapsed="false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</row>
    <row r="1180" customFormat="false" ht="15" hidden="false" customHeight="false" outlineLevel="0" collapsed="false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</row>
    <row r="1181" customFormat="false" ht="15" hidden="false" customHeight="false" outlineLevel="0" collapsed="false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</row>
    <row r="1182" customFormat="false" ht="15" hidden="false" customHeight="false" outlineLevel="0" collapsed="false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</row>
    <row r="1183" customFormat="false" ht="15" hidden="false" customHeight="false" outlineLevel="0" collapsed="false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</row>
    <row r="1184" customFormat="false" ht="15" hidden="false" customHeight="false" outlineLevel="0" collapsed="false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</row>
    <row r="1185" customFormat="false" ht="15" hidden="false" customHeight="false" outlineLevel="0" collapsed="false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</row>
    <row r="1186" customFormat="false" ht="15" hidden="false" customHeight="false" outlineLevel="0" collapsed="false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</row>
    <row r="1187" customFormat="false" ht="15" hidden="false" customHeight="false" outlineLevel="0" collapsed="false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</row>
    <row r="1188" customFormat="false" ht="15" hidden="false" customHeight="false" outlineLevel="0" collapsed="false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</row>
    <row r="1189" customFormat="false" ht="15" hidden="false" customHeight="false" outlineLevel="0" collapsed="false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</row>
    <row r="1191" customFormat="false" ht="15" hidden="false" customHeight="false" outlineLevel="0" collapsed="false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</row>
    <row r="1192" customFormat="false" ht="15" hidden="false" customHeight="false" outlineLevel="0" collapsed="false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</row>
    <row r="1193" customFormat="false" ht="15" hidden="false" customHeight="false" outlineLevel="0" collapsed="false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</row>
    <row r="1194" customFormat="false" ht="15" hidden="false" customHeight="false" outlineLevel="0" collapsed="false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</row>
    <row r="1195" customFormat="false" ht="15" hidden="false" customHeight="false" outlineLevel="0" collapsed="false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</row>
    <row r="1196" customFormat="false" ht="15" hidden="false" customHeight="false" outlineLevel="0" collapsed="false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</row>
    <row r="1197" customFormat="false" ht="15" hidden="false" customHeight="false" outlineLevel="0" collapsed="false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</row>
    <row r="1198" customFormat="false" ht="15" hidden="false" customHeight="false" outlineLevel="0" collapsed="false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</row>
    <row r="1199" customFormat="false" ht="15" hidden="false" customHeight="false" outlineLevel="0" collapsed="false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</row>
    <row r="1200" customFormat="false" ht="15" hidden="false" customHeight="false" outlineLevel="0" collapsed="false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</row>
    <row r="1201" customFormat="false" ht="15" hidden="false" customHeight="false" outlineLevel="0" collapsed="false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</row>
    <row r="1202" customFormat="false" ht="15" hidden="false" customHeight="false" outlineLevel="0" collapsed="false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</row>
    <row r="1204" customFormat="false" ht="15" hidden="false" customHeight="false" outlineLevel="0" collapsed="false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</row>
    <row r="1205" customFormat="false" ht="15" hidden="false" customHeight="false" outlineLevel="0" collapsed="false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</row>
    <row r="1206" customFormat="false" ht="15" hidden="false" customHeight="false" outlineLevel="0" collapsed="false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</row>
    <row r="1207" customFormat="false" ht="15" hidden="false" customHeight="false" outlineLevel="0" collapsed="false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</row>
    <row r="1208" customFormat="false" ht="15" hidden="false" customHeight="false" outlineLevel="0" collapsed="false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</row>
    <row r="1209" customFormat="false" ht="15" hidden="false" customHeight="false" outlineLevel="0" collapsed="false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</row>
    <row r="1210" customFormat="false" ht="15" hidden="false" customHeight="false" outlineLevel="0" collapsed="false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</row>
    <row r="1212" customFormat="false" ht="15" hidden="false" customHeight="false" outlineLevel="0" collapsed="false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</row>
    <row r="1347" customFormat="false" ht="15" hidden="false" customHeight="false" outlineLevel="0" collapsed="false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</row>
    <row r="1348" customFormat="false" ht="15" hidden="false" customHeight="false" outlineLevel="0" collapsed="false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</row>
    <row r="1349" customFormat="false" ht="15" hidden="false" customHeight="false" outlineLevel="0" collapsed="false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</row>
    <row r="1350" customFormat="false" ht="15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</row>
    <row r="1351" customFormat="false" ht="15" hidden="false" customHeight="false" outlineLevel="0" collapsed="false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</row>
    <row r="1352" customFormat="false" ht="15" hidden="false" customHeight="false" outlineLevel="0" collapsed="false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</row>
    <row r="1353" customFormat="false" ht="15" hidden="false" customHeight="false" outlineLevel="0" collapsed="false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</row>
    <row r="1354" customFormat="false" ht="15" hidden="false" customHeight="false" outlineLevel="0" collapsed="false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</row>
    <row r="1355" customFormat="false" ht="15" hidden="false" customHeight="false" outlineLevel="0" collapsed="false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</row>
    <row r="1356" customFormat="false" ht="15" hidden="false" customHeight="false" outlineLevel="0" collapsed="false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</row>
    <row r="1357" customFormat="false" ht="15" hidden="false" customHeight="false" outlineLevel="0" collapsed="false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</row>
    <row r="1358" customFormat="false" ht="15" hidden="false" customHeight="false" outlineLevel="0" collapsed="false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</row>
    <row r="1359" customFormat="false" ht="15" hidden="false" customHeight="false" outlineLevel="0" collapsed="false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</row>
    <row r="1360" customFormat="false" ht="15" hidden="false" customHeight="false" outlineLevel="0" collapsed="false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</row>
    <row r="1361" customFormat="false" ht="15" hidden="false" customHeight="false" outlineLevel="0" collapsed="false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</row>
    <row r="1362" customFormat="false" ht="15" hidden="false" customHeight="false" outlineLevel="0" collapsed="false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</row>
    <row r="1363" customFormat="false" ht="15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</row>
    <row r="1364" customFormat="false" ht="15" hidden="false" customHeight="false" outlineLevel="0" collapsed="false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</row>
    <row r="1365" customFormat="false" ht="15" hidden="false" customHeight="false" outlineLevel="0" collapsed="false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</row>
    <row r="1366" customFormat="false" ht="15" hidden="false" customHeight="false" outlineLevel="0" collapsed="false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</row>
    <row r="1367" customFormat="false" ht="15" hidden="false" customHeight="false" outlineLevel="0" collapsed="false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</row>
    <row r="1368" customFormat="false" ht="15" hidden="false" customHeight="false" outlineLevel="0" collapsed="false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</row>
    <row r="1369" customFormat="false" ht="15" hidden="false" customHeight="false" outlineLevel="0" collapsed="false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</row>
    <row r="1370" customFormat="false" ht="15" hidden="false" customHeight="false" outlineLevel="0" collapsed="false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</row>
    <row r="1371" customFormat="false" ht="15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</row>
    <row r="1372" customFormat="false" ht="15" hidden="fals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</row>
    <row r="1373" customFormat="false" ht="15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</row>
    <row r="1374" customFormat="false" ht="15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</row>
    <row r="1375" customFormat="false" ht="15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</row>
    <row r="1376" customFormat="false" ht="15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</row>
    <row r="1377" customFormat="false" ht="15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</row>
    <row r="1378" customFormat="false" ht="15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</row>
    <row r="1379" customFormat="false" ht="15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</row>
    <row r="1380" customFormat="false" ht="15" hidden="false" customHeight="false" outlineLevel="0" collapsed="false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</row>
    <row r="1381" customFormat="false" ht="15" hidden="false" customHeight="false" outlineLevel="0" collapsed="false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</row>
    <row r="1382" customFormat="false" ht="15" hidden="false" customHeight="false" outlineLevel="0" collapsed="false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</row>
    <row r="1383" customFormat="false" ht="15" hidden="false" customHeight="false" outlineLevel="0" collapsed="false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</row>
    <row r="1384" customFormat="false" ht="15" hidden="false" customHeight="false" outlineLevel="0" collapsed="false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</row>
    <row r="1385" customFormat="false" ht="15" hidden="false" customHeight="false" outlineLevel="0" collapsed="false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</row>
    <row r="1386" customFormat="false" ht="15" hidden="false" customHeight="false" outlineLevel="0" collapsed="false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</row>
    <row r="1387" customFormat="false" ht="15" hidden="false" customHeight="false" outlineLevel="0" collapsed="false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</row>
    <row r="1388" customFormat="false" ht="15" hidden="false" customHeight="false" outlineLevel="0" collapsed="false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</row>
    <row r="1389" customFormat="false" ht="15" hidden="false" customHeight="false" outlineLevel="0" collapsed="false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</row>
    <row r="1390" customFormat="false" ht="15" hidden="false" customHeight="false" outlineLevel="0" collapsed="false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</row>
    <row r="1391" customFormat="false" ht="15" hidden="false" customHeight="false" outlineLevel="0" collapsed="false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</row>
    <row r="1392" customFormat="false" ht="15" hidden="false" customHeight="false" outlineLevel="0" collapsed="false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</row>
    <row r="1393" customFormat="false" ht="15" hidden="false" customHeight="false" outlineLevel="0" collapsed="false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</row>
    <row r="1394" customFormat="false" ht="15" hidden="false" customHeight="false" outlineLevel="0" collapsed="false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</row>
    <row r="1395" customFormat="false" ht="15" hidden="false" customHeight="false" outlineLevel="0" collapsed="false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</row>
    <row r="1396" customFormat="false" ht="15" hidden="false" customHeight="false" outlineLevel="0" collapsed="false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</row>
    <row r="1397" customFormat="false" ht="15" hidden="false" customHeight="false" outlineLevel="0" collapsed="false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</row>
    <row r="1398" customFormat="false" ht="15" hidden="false" customHeight="false" outlineLevel="0" collapsed="false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</row>
    <row r="1399" customFormat="false" ht="15" hidden="false" customHeight="false" outlineLevel="0" collapsed="false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</row>
    <row r="1400" customFormat="false" ht="15" hidden="false" customHeight="false" outlineLevel="0" collapsed="false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</row>
    <row r="1401" customFormat="false" ht="15" hidden="false" customHeight="false" outlineLevel="0" collapsed="false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</row>
    <row r="1402" customFormat="false" ht="15" hidden="false" customHeight="false" outlineLevel="0" collapsed="false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</row>
    <row r="1403" customFormat="false" ht="15" hidden="false" customHeight="false" outlineLevel="0" collapsed="false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</row>
    <row r="1404" customFormat="false" ht="15" hidden="false" customHeight="false" outlineLevel="0" collapsed="false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</row>
    <row r="1405" customFormat="false" ht="15" hidden="false" customHeight="false" outlineLevel="0" collapsed="false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</row>
    <row r="1406" customFormat="false" ht="15" hidden="false" customHeight="false" outlineLevel="0" collapsed="false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</row>
    <row r="1407" customFormat="false" ht="15" hidden="false" customHeight="false" outlineLevel="0" collapsed="false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</row>
    <row r="1408" customFormat="false" ht="15" hidden="false" customHeight="false" outlineLevel="0" collapsed="false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</row>
    <row r="1409" customFormat="false" ht="15" hidden="false" customHeight="false" outlineLevel="0" collapsed="false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</row>
    <row r="1410" customFormat="false" ht="15" hidden="false" customHeight="false" outlineLevel="0" collapsed="false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</row>
    <row r="1411" customFormat="false" ht="15" hidden="false" customHeight="false" outlineLevel="0" collapsed="false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</row>
    <row r="1412" customFormat="false" ht="15" hidden="false" customHeight="false" outlineLevel="0" collapsed="false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</row>
    <row r="1413" customFormat="false" ht="15" hidden="false" customHeight="false" outlineLevel="0" collapsed="false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</row>
    <row r="1414" customFormat="false" ht="15" hidden="false" customHeight="false" outlineLevel="0" collapsed="false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</row>
    <row r="1415" customFormat="false" ht="15" hidden="false" customHeight="false" outlineLevel="0" collapsed="false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</row>
    <row r="1416" customFormat="false" ht="15" hidden="false" customHeight="false" outlineLevel="0" collapsed="false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</row>
    <row r="1417" customFormat="false" ht="15" hidden="false" customHeight="false" outlineLevel="0" collapsed="false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</row>
    <row r="1418" customFormat="false" ht="15" hidden="false" customHeight="false" outlineLevel="0" collapsed="false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</row>
    <row r="1419" customFormat="false" ht="15" hidden="false" customHeight="false" outlineLevel="0" collapsed="false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</row>
    <row r="1420" customFormat="false" ht="15" hidden="false" customHeight="false" outlineLevel="0" collapsed="false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</row>
    <row r="1421" customFormat="false" ht="15" hidden="false" customHeight="false" outlineLevel="0" collapsed="false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</row>
    <row r="1422" customFormat="false" ht="15" hidden="false" customHeight="false" outlineLevel="0" collapsed="false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</row>
    <row r="1423" customFormat="false" ht="15" hidden="false" customHeight="false" outlineLevel="0" collapsed="false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</row>
    <row r="1424" customFormat="false" ht="15" hidden="false" customHeight="false" outlineLevel="0" collapsed="false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</row>
    <row r="1425" customFormat="false" ht="15" hidden="false" customHeight="false" outlineLevel="0" collapsed="false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</row>
    <row r="1426" customFormat="false" ht="15" hidden="false" customHeight="false" outlineLevel="0" collapsed="false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</row>
    <row r="1427" customFormat="false" ht="15" hidden="false" customHeight="false" outlineLevel="0" collapsed="false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</row>
    <row r="1428" customFormat="false" ht="15" hidden="false" customHeight="false" outlineLevel="0" collapsed="false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</row>
    <row r="1429" customFormat="false" ht="15" hidden="false" customHeight="false" outlineLevel="0" collapsed="false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</row>
    <row r="1430" customFormat="false" ht="15" hidden="false" customHeight="false" outlineLevel="0" collapsed="false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</row>
    <row r="1431" customFormat="false" ht="15" hidden="false" customHeight="false" outlineLevel="0" collapsed="false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</row>
    <row r="1432" customFormat="false" ht="15" hidden="false" customHeight="false" outlineLevel="0" collapsed="false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</row>
    <row r="1433" customFormat="false" ht="15" hidden="false" customHeight="false" outlineLevel="0" collapsed="false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</row>
    <row r="1434" customFormat="false" ht="15" hidden="false" customHeight="false" outlineLevel="0" collapsed="false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</row>
    <row r="1435" customFormat="false" ht="15" hidden="false" customHeight="false" outlineLevel="0" collapsed="false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</row>
    <row r="1436" customFormat="false" ht="15" hidden="false" customHeight="false" outlineLevel="0" collapsed="false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</row>
    <row r="1437" customFormat="false" ht="15" hidden="false" customHeight="false" outlineLevel="0" collapsed="false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</row>
    <row r="1438" customFormat="false" ht="15" hidden="false" customHeight="false" outlineLevel="0" collapsed="false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</row>
    <row r="1439" customFormat="false" ht="15" hidden="false" customHeight="false" outlineLevel="0" collapsed="false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</row>
    <row r="1440" customFormat="false" ht="15" hidden="false" customHeight="false" outlineLevel="0" collapsed="false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</row>
    <row r="1441" customFormat="false" ht="15" hidden="false" customHeight="false" outlineLevel="0" collapsed="false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</row>
    <row r="1442" customFormat="false" ht="15" hidden="false" customHeight="false" outlineLevel="0" collapsed="false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</row>
    <row r="1443" customFormat="false" ht="15" hidden="false" customHeight="false" outlineLevel="0" collapsed="false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</row>
    <row r="1444" customFormat="false" ht="15" hidden="false" customHeight="false" outlineLevel="0" collapsed="false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</row>
    <row r="1445" customFormat="false" ht="15" hidden="false" customHeight="false" outlineLevel="0" collapsed="false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</row>
    <row r="1446" customFormat="false" ht="15" hidden="false" customHeight="false" outlineLevel="0" collapsed="false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</row>
    <row r="1447" customFormat="false" ht="15" hidden="false" customHeight="false" outlineLevel="0" collapsed="false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</row>
    <row r="1448" customFormat="false" ht="15" hidden="false" customHeight="false" outlineLevel="0" collapsed="false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</row>
    <row r="1449" customFormat="false" ht="15" hidden="false" customHeight="false" outlineLevel="0" collapsed="false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</row>
    <row r="1450" customFormat="false" ht="15" hidden="false" customHeight="false" outlineLevel="0" collapsed="false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</row>
    <row r="1451" customFormat="false" ht="15" hidden="false" customHeight="false" outlineLevel="0" collapsed="false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</row>
    <row r="1452" customFormat="false" ht="15" hidden="false" customHeight="false" outlineLevel="0" collapsed="false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</row>
    <row r="1453" customFormat="false" ht="15" hidden="false" customHeight="false" outlineLevel="0" collapsed="false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</row>
    <row r="1454" customFormat="false" ht="15" hidden="false" customHeight="false" outlineLevel="0" collapsed="false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</row>
    <row r="1455" customFormat="false" ht="15" hidden="false" customHeight="false" outlineLevel="0" collapsed="false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</row>
    <row r="1456" customFormat="false" ht="15" hidden="false" customHeight="false" outlineLevel="0" collapsed="false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</row>
    <row r="1457" customFormat="false" ht="15" hidden="false" customHeight="false" outlineLevel="0" collapsed="false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</row>
    <row r="1458" customFormat="false" ht="15" hidden="false" customHeight="false" outlineLevel="0" collapsed="false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</row>
    <row r="1459" customFormat="false" ht="15" hidden="false" customHeight="false" outlineLevel="0" collapsed="false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</row>
    <row r="1460" customFormat="false" ht="15" hidden="false" customHeight="false" outlineLevel="0" collapsed="false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</row>
    <row r="1461" customFormat="false" ht="15" hidden="false" customHeight="false" outlineLevel="0" collapsed="false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</row>
    <row r="1462" customFormat="false" ht="15" hidden="false" customHeight="false" outlineLevel="0" collapsed="false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</row>
    <row r="1463" customFormat="false" ht="15" hidden="false" customHeight="false" outlineLevel="0" collapsed="false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</row>
    <row r="1464" customFormat="false" ht="15" hidden="false" customHeight="false" outlineLevel="0" collapsed="false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</row>
    <row r="1465" customFormat="false" ht="15" hidden="false" customHeight="false" outlineLevel="0" collapsed="false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</row>
    <row r="1466" customFormat="false" ht="15" hidden="false" customHeight="false" outlineLevel="0" collapsed="false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</row>
    <row r="1467" customFormat="false" ht="15" hidden="false" customHeight="false" outlineLevel="0" collapsed="false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</row>
    <row r="1468" customFormat="false" ht="15" hidden="false" customHeight="false" outlineLevel="0" collapsed="false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</row>
    <row r="1469" customFormat="false" ht="15" hidden="false" customHeight="false" outlineLevel="0" collapsed="false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</row>
    <row r="1470" customFormat="false" ht="15" hidden="false" customHeight="false" outlineLevel="0" collapsed="false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</row>
    <row r="1471" customFormat="false" ht="15" hidden="false" customHeight="false" outlineLevel="0" collapsed="false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</row>
    <row r="1472" customFormat="false" ht="15" hidden="false" customHeight="false" outlineLevel="0" collapsed="false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</row>
    <row r="1473" customFormat="false" ht="15" hidden="false" customHeight="false" outlineLevel="0" collapsed="false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</row>
    <row r="1474" customFormat="false" ht="15" hidden="false" customHeight="false" outlineLevel="0" collapsed="false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</row>
    <row r="1475" customFormat="false" ht="15" hidden="false" customHeight="false" outlineLevel="0" collapsed="false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</row>
    <row r="1476" customFormat="false" ht="15" hidden="false" customHeight="false" outlineLevel="0" collapsed="false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</row>
    <row r="1477" customFormat="false" ht="15" hidden="false" customHeight="false" outlineLevel="0" collapsed="false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</row>
    <row r="1478" customFormat="false" ht="15" hidden="false" customHeight="false" outlineLevel="0" collapsed="false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</row>
    <row r="1479" customFormat="false" ht="15" hidden="false" customHeight="false" outlineLevel="0" collapsed="false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</row>
    <row r="1480" customFormat="false" ht="15" hidden="false" customHeight="false" outlineLevel="0" collapsed="false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</row>
    <row r="1481" customFormat="false" ht="15" hidden="false" customHeight="false" outlineLevel="0" collapsed="false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</row>
    <row r="1482" customFormat="false" ht="15" hidden="false" customHeight="false" outlineLevel="0" collapsed="false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</row>
    <row r="1483" customFormat="false" ht="15" hidden="false" customHeight="false" outlineLevel="0" collapsed="false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</row>
    <row r="1484" customFormat="false" ht="15" hidden="false" customHeight="false" outlineLevel="0" collapsed="false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</row>
    <row r="1485" customFormat="false" ht="15" hidden="false" customHeight="false" outlineLevel="0" collapsed="false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</row>
    <row r="1486" customFormat="false" ht="15" hidden="false" customHeight="false" outlineLevel="0" collapsed="false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</row>
    <row r="1487" customFormat="false" ht="15" hidden="false" customHeight="false" outlineLevel="0" collapsed="false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</row>
    <row r="1488" customFormat="false" ht="15" hidden="false" customHeight="false" outlineLevel="0" collapsed="false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</row>
    <row r="1489" customFormat="false" ht="15" hidden="false" customHeight="false" outlineLevel="0" collapsed="false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</row>
    <row r="1490" customFormat="false" ht="15" hidden="false" customHeight="false" outlineLevel="0" collapsed="false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</row>
    <row r="1491" customFormat="false" ht="15" hidden="false" customHeight="false" outlineLevel="0" collapsed="false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</row>
    <row r="1492" customFormat="false" ht="15" hidden="false" customHeight="false" outlineLevel="0" collapsed="false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</row>
    <row r="1493" customFormat="false" ht="15" hidden="false" customHeight="false" outlineLevel="0" collapsed="false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</row>
    <row r="1494" customFormat="false" ht="15" hidden="false" customHeight="false" outlineLevel="0" collapsed="false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</row>
    <row r="1495" customFormat="false" ht="15" hidden="false" customHeight="false" outlineLevel="0" collapsed="false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</row>
    <row r="1496" customFormat="false" ht="15" hidden="false" customHeight="false" outlineLevel="0" collapsed="false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</row>
    <row r="1497" customFormat="false" ht="15" hidden="false" customHeight="false" outlineLevel="0" collapsed="false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</row>
    <row r="1498" customFormat="false" ht="15" hidden="false" customHeight="false" outlineLevel="0" collapsed="false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</row>
    <row r="1499" customFormat="false" ht="15" hidden="false" customHeight="false" outlineLevel="0" collapsed="false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</row>
    <row r="1500" customFormat="false" ht="15" hidden="false" customHeight="false" outlineLevel="0" collapsed="false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</row>
    <row r="1501" customFormat="false" ht="15" hidden="false" customHeight="false" outlineLevel="0" collapsed="false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</row>
    <row r="1502" customFormat="false" ht="15" hidden="false" customHeight="false" outlineLevel="0" collapsed="false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</row>
    <row r="1503" customFormat="false" ht="15" hidden="false" customHeight="false" outlineLevel="0" collapsed="false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</row>
  </sheetData>
  <mergeCells count="8">
    <mergeCell ref="A1:AJ1"/>
    <mergeCell ref="A2:B2"/>
    <mergeCell ref="E2:G2"/>
    <mergeCell ref="H2:J2"/>
    <mergeCell ref="K2:R2"/>
    <mergeCell ref="S2:AB2"/>
    <mergeCell ref="AC2:AI2"/>
    <mergeCell ref="AJ2:AO2"/>
  </mergeCells>
  <conditionalFormatting sqref="AH4:AH503">
    <cfRule type="expression" priority="2" aboveAverage="0" equalAverage="0" bottom="0" percent="0" rank="0" text="" dxfId="0">
      <formula>AH4="Win"</formula>
    </cfRule>
    <cfRule type="expression" priority="3" aboveAverage="0" equalAverage="0" bottom="0" percent="0" rank="0" text="" dxfId="1">
      <formula>AH4="Loss"</formula>
    </cfRule>
    <cfRule type="expression" priority="4" aboveAverage="0" equalAverage="0" bottom="0" percent="0" rank="0" text="" dxfId="2">
      <formula>AH4="Breakeven"</formula>
    </cfRule>
  </conditionalFormatting>
  <conditionalFormatting sqref="AG4:AG503">
    <cfRule type="colorScale" priority="5">
      <colorScale>
        <cfvo type="num" val="-3"/>
        <cfvo type="num" val="0"/>
        <cfvo type="num" val="5"/>
        <color rgb="FFE63946"/>
        <color rgb="FF333333"/>
        <color rgb="FF2DC653"/>
      </colorScale>
    </cfRule>
  </conditionalFormatting>
  <conditionalFormatting sqref="AE4:AE503">
    <cfRule type="colorScale" priority="6">
      <colorScale>
        <cfvo type="num" val="-5000"/>
        <cfvo type="num" val="0"/>
        <cfvo type="num" val="5000"/>
        <color rgb="FFE63946"/>
        <color rgb="FF333333"/>
        <color rgb="FF2DC653"/>
      </colorScale>
    </cfRule>
  </conditionalFormatting>
  <conditionalFormatting sqref="AO4:AO503">
    <cfRule type="dataBar" priority="7">
      <dataBar showValue="1" minLength="10" maxLength="90">
        <cfvo type="min" val="0"/>
        <cfvo type="max" val="0"/>
        <color rgb="FF00B4D8"/>
      </dataBar>
      <extLst>
        <ext xmlns:x14="http://schemas.microsoft.com/office/spreadsheetml/2009/9/main" uri="{B025F937-C7B1-47D3-B67F-A62EFF666E3E}">
          <x14:id>{758C54EB-C8D2-4464-8BAE-618E4B3A658C}</x14:id>
        </ext>
      </extLst>
    </cfRule>
  </conditionalFormatting>
  <dataValidations count="5">
    <dataValidation allowBlank="true" errorStyle="stop" operator="between" showDropDown="false" showErrorMessage="false" showInputMessage="false" sqref="E4:E1503" type="list">
      <formula1>"EUR/USD,GBP/USD,USD/JPY,GBP/JPY,AUD/USD,USD/CAD,EUR/JPY,XAU/USD,US30,SPX500,NAS100,UK100,Other"</formula1>
      <formula2>0</formula2>
    </dataValidation>
    <dataValidation allowBlank="true" errorStyle="stop" operator="between" showDropDown="false" showErrorMessage="false" showInputMessage="false" sqref="F4:F1503" type="list">
      <formula1>"Buy,Sell"</formula1>
      <formula2>0</formula2>
    </dataValidation>
    <dataValidation allowBlank="true" errorStyle="stop" operator="between" showDropDown="false" showErrorMessage="false" showInputMessage="false" sqref="H4:H1503" type="list">
      <formula1>"Breakout,Trend Follow,Mean Reversion,Scalp,News Trade,Support/Resistance,ICT/SMC,Price Action,Harmonic,Other"</formula1>
      <formula2>0</formula2>
    </dataValidation>
    <dataValidation allowBlank="true" errorStyle="stop" operator="between" showDropDown="false" showErrorMessage="false" showInputMessage="false" sqref="I4:I1503" type="list">
      <formula1>"M1,M5,M15,M30,H1,H4,D1,W1,MN"</formula1>
      <formula2>0</formula2>
    </dataValidation>
    <dataValidation allowBlank="true" errorStyle="stop" operator="between" showDropDown="false" showErrorMessage="false" showInputMessage="false" sqref="G4:G1503" type="list">
      <formula1>"London,New York,Asian,London/NY Overlap,Asian/London Overlap"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8C54EB-C8D2-4464-8BAE-618E4B3A658C}">
            <x14:dataBar minLength="10" maxLength="90" axisPosition="none" gradient="true">
              <x14:cfvo type="min"/>
              <x14:cfvo type="max"/>
              <x14:negativeFillColor rgb="FF00B4D8"/>
              <x14:axisColor rgb="FF000000"/>
            </x14:dataBar>
          </x14:cfRule>
          <xm:sqref>AO4:AO503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5" t="s">
        <v>157</v>
      </c>
      <c r="B1" s="15"/>
      <c r="C1" s="15"/>
      <c r="D1" s="15"/>
      <c r="E1" s="15"/>
      <c r="F1" s="15"/>
      <c r="G1" s="15"/>
      <c r="H1" s="15"/>
      <c r="I1" s="15"/>
      <c r="J1" s="15"/>
      <c r="K1" s="2"/>
      <c r="L1" s="2"/>
    </row>
    <row r="2" customFormat="false" ht="15" hidden="false" customHeight="false" outlineLevel="0" collapsed="false">
      <c r="A2" s="3" t="s">
        <v>158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.75" hidden="false" customHeight="true" outlineLevel="0" collapsed="false">
      <c r="A4" s="4" t="s">
        <v>159</v>
      </c>
      <c r="B4" s="4"/>
      <c r="C4" s="4"/>
      <c r="D4" s="4"/>
      <c r="E4" s="4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37" t="s">
        <v>160</v>
      </c>
      <c r="B5" s="2"/>
      <c r="C5" s="38" t="n">
        <f aca="false">SETTINGS!B6</f>
        <v>50000</v>
      </c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37" t="s">
        <v>161</v>
      </c>
      <c r="B6" s="2"/>
      <c r="C6" s="39" t="n">
        <f aca="false">SETTINGS!B8</f>
        <v>0.01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37" t="s">
        <v>162</v>
      </c>
      <c r="B7" s="2"/>
      <c r="C7" s="38" t="n">
        <f aca="false">C5*C6</f>
        <v>500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37" t="s">
        <v>163</v>
      </c>
      <c r="B8" s="2"/>
      <c r="C8" s="40" t="s">
        <v>16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37" t="s">
        <v>164</v>
      </c>
      <c r="B9" s="2"/>
      <c r="C9" s="40" t="s">
        <v>46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37" t="s">
        <v>112</v>
      </c>
      <c r="B10" s="2"/>
      <c r="C10" s="41" t="n">
        <v>1.085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37" t="s">
        <v>165</v>
      </c>
      <c r="B11" s="2"/>
      <c r="C11" s="41" t="n">
        <v>1.083</v>
      </c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37" t="s">
        <v>166</v>
      </c>
      <c r="B12" s="2"/>
      <c r="C12" s="42" t="n">
        <f aca="false">IFERROR(ABS(C10-C11)/IF(C8="Forex JPY",0.01,IF(C8="Gold XAUUSD",0.01,IF(C8="Indices",1,0.0001))),0)</f>
        <v>20</v>
      </c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37" t="s">
        <v>3</v>
      </c>
      <c r="B13" s="2"/>
      <c r="C13" s="43" t="str">
        <f aca="false">SETTINGS!B5</f>
        <v>USD</v>
      </c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1.75" hidden="false" customHeight="true" outlineLevel="0" collapsed="false">
      <c r="A16" s="4" t="s">
        <v>167</v>
      </c>
      <c r="B16" s="4"/>
      <c r="C16" s="4"/>
      <c r="D16" s="4"/>
      <c r="E16" s="4"/>
      <c r="F16" s="4"/>
      <c r="G16" s="4"/>
      <c r="H16" s="4"/>
      <c r="I16" s="4"/>
      <c r="J16" s="4"/>
      <c r="K16" s="2"/>
      <c r="L16" s="2"/>
    </row>
    <row r="17" customFormat="false" ht="15" hidden="false" customHeight="false" outlineLevel="0" collapsed="false">
      <c r="A17" s="9" t="s">
        <v>11</v>
      </c>
      <c r="B17" s="9" t="s">
        <v>168</v>
      </c>
      <c r="C17" s="9" t="s">
        <v>119</v>
      </c>
      <c r="D17" s="9" t="s">
        <v>169</v>
      </c>
      <c r="E17" s="9" t="s">
        <v>170</v>
      </c>
      <c r="F17" s="9" t="s">
        <v>171</v>
      </c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44" t="s">
        <v>16</v>
      </c>
      <c r="B18" s="45" t="n">
        <f aca="false">10</f>
        <v>10</v>
      </c>
      <c r="C18" s="46" t="n">
        <f aca="false">IFERROR(C7/(ABS(C10-C11)/0.0001*10),0)</f>
        <v>2.5</v>
      </c>
      <c r="D18" s="47" t="n">
        <f aca="false">G18*10</f>
        <v>0</v>
      </c>
      <c r="E18" s="47" t="n">
        <f aca="false">G18*100000</f>
        <v>0</v>
      </c>
      <c r="F18" s="45" t="str">
        <f aca="false">IF(ABS(G18*ABS(C10-C11)/0.0001*10-C7)&lt;0.01,"✓ OK","⚠ Check")</f>
        <v>⚠ Check</v>
      </c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44" t="s">
        <v>19</v>
      </c>
      <c r="B19" s="45" t="n">
        <f aca="false">9.09</f>
        <v>9.09</v>
      </c>
      <c r="C19" s="46" t="n">
        <f aca="false">IFERROR(C7/(ABS(C10-C11)/0.01*9.09),0)</f>
        <v>275.027502750275</v>
      </c>
      <c r="D19" s="47" t="n">
        <f aca="false">G19*10</f>
        <v>0</v>
      </c>
      <c r="E19" s="47" t="n">
        <f aca="false">G19*100000</f>
        <v>0</v>
      </c>
      <c r="F19" s="45" t="str">
        <f aca="false">IF(ABS(G19*ABS(C10-C11)/0.01*9.09-C7)&lt;0.01,"✓ OK","⚠ Check")</f>
        <v>⚠ Check</v>
      </c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44" t="s">
        <v>23</v>
      </c>
      <c r="B20" s="45" t="n">
        <f aca="false">1</f>
        <v>1</v>
      </c>
      <c r="C20" s="46" t="n">
        <f aca="false">IFERROR(C7/(ABS(C10-C11)/0.01*1),0)</f>
        <v>2500</v>
      </c>
      <c r="D20" s="47" t="n">
        <f aca="false">G20*10</f>
        <v>0</v>
      </c>
      <c r="E20" s="47" t="n">
        <f aca="false">G20*100</f>
        <v>0</v>
      </c>
      <c r="F20" s="45" t="str">
        <f aca="false">IF(ABS(G20*ABS(C10-C11)/0.01*1-C7)&lt;0.01,"✓ OK","⚠ Check")</f>
        <v>⚠ Check</v>
      </c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44" t="s">
        <v>172</v>
      </c>
      <c r="B21" s="45" t="n">
        <f aca="false">1</f>
        <v>1</v>
      </c>
      <c r="C21" s="46" t="n">
        <f aca="false">IFERROR(C7/(ABS(C10-C11)/1*1),0)</f>
        <v>250000</v>
      </c>
      <c r="D21" s="47" t="n">
        <f aca="false">G21*10</f>
        <v>0</v>
      </c>
      <c r="E21" s="47" t="n">
        <f aca="false">G21*100</f>
        <v>0</v>
      </c>
      <c r="F21" s="45" t="str">
        <f aca="false">IF(ABS(G21*ABS(C10-C11)/1*1-C7)&lt;0.01,"✓ OK","⚠ Check")</f>
        <v>⚠ Check</v>
      </c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.75" hidden="false" customHeight="true" outlineLevel="0" collapsed="false">
      <c r="A24" s="4" t="s">
        <v>173</v>
      </c>
      <c r="B24" s="4"/>
      <c r="C24" s="4"/>
      <c r="D24" s="4"/>
      <c r="E24" s="4"/>
      <c r="F24" s="4"/>
      <c r="G24" s="4"/>
      <c r="H24" s="4"/>
      <c r="I24" s="4"/>
      <c r="J24" s="4"/>
      <c r="K24" s="2"/>
      <c r="L24" s="2"/>
    </row>
    <row r="25" customFormat="false" ht="17.35" hidden="false" customHeight="false" outlineLevel="0" collapsed="false">
      <c r="A25" s="48" t="s">
        <v>174</v>
      </c>
      <c r="B25" s="48"/>
      <c r="C25" s="49" t="n">
        <f aca="false">IFERROR(IF(C8="Forex Non-JPY",G18,IF(C8="Forex JPY",G19,IF(C8="Gold XAUUSD",G20,IF(C8="Indices",G21,0)))),0)</f>
        <v>0</v>
      </c>
      <c r="D25" s="48" t="s">
        <v>175</v>
      </c>
      <c r="E25" s="48"/>
      <c r="F25" s="50" t="n">
        <f aca="false">C7</f>
        <v>500</v>
      </c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79.5" hidden="false" customHeight="true" outlineLevel="0" collapsed="false">
      <c r="A28" s="51" t="s">
        <v>176</v>
      </c>
      <c r="B28" s="51"/>
      <c r="C28" s="51"/>
      <c r="D28" s="51"/>
      <c r="E28" s="51"/>
      <c r="F28" s="51"/>
      <c r="G28" s="51"/>
      <c r="H28" s="51"/>
      <c r="I28" s="51"/>
      <c r="J28" s="51"/>
      <c r="K28" s="2"/>
      <c r="L28" s="2"/>
    </row>
    <row r="29" customFormat="false" ht="15" hidden="false" customHeight="false" outlineLevel="0" collapsed="false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2"/>
      <c r="L29" s="2"/>
    </row>
    <row r="30" customFormat="false" ht="15" hidden="false" customHeight="false" outlineLevel="0" collapsed="false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2"/>
      <c r="L30" s="2"/>
    </row>
    <row r="31" customFormat="false" ht="15" hidden="false" customHeight="false" outlineLevel="0" collapsed="false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2"/>
      <c r="L31" s="2"/>
    </row>
    <row r="32" customFormat="false" ht="15" hidden="false" customHeight="false" outlineLevel="0" collapsed="false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</sheetData>
  <mergeCells count="8">
    <mergeCell ref="A1:J1"/>
    <mergeCell ref="A2:J2"/>
    <mergeCell ref="A4:E4"/>
    <mergeCell ref="A16:J16"/>
    <mergeCell ref="A24:J24"/>
    <mergeCell ref="A25:B25"/>
    <mergeCell ref="D25:E25"/>
    <mergeCell ref="A28:J32"/>
  </mergeCells>
  <dataValidations count="1">
    <dataValidation allowBlank="false" errorStyle="stop" operator="between" showDropDown="false" showErrorMessage="false" showInputMessage="false" sqref="C8" type="list">
      <formula1>"Forex Non-JPY,Forex JPY,Gold XAUUSD,Indices"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11" min="8" style="0" width="11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5" t="s">
        <v>177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5" hidden="false" customHeight="false" outlineLevel="0" collapsed="false">
      <c r="A2" s="3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0" hidden="false" customHeight="true" outlineLevel="0" collapsed="false">
      <c r="A4" s="52" t="s">
        <v>110</v>
      </c>
      <c r="B4" s="52" t="s">
        <v>179</v>
      </c>
      <c r="C4" s="52" t="s">
        <v>180</v>
      </c>
      <c r="D4" s="52" t="s">
        <v>181</v>
      </c>
      <c r="E4" s="52" t="s">
        <v>62</v>
      </c>
      <c r="F4" s="52" t="s">
        <v>182</v>
      </c>
      <c r="G4" s="52" t="s">
        <v>183</v>
      </c>
      <c r="H4" s="52" t="s">
        <v>184</v>
      </c>
      <c r="I4" s="52" t="s">
        <v>185</v>
      </c>
      <c r="J4" s="52" t="s">
        <v>186</v>
      </c>
      <c r="K4" s="52" t="s">
        <v>187</v>
      </c>
      <c r="L4" s="52" t="s">
        <v>132</v>
      </c>
      <c r="M4" s="52" t="s">
        <v>188</v>
      </c>
      <c r="N4" s="52" t="s">
        <v>189</v>
      </c>
      <c r="O4" s="52" t="s">
        <v>190</v>
      </c>
      <c r="P4" s="52" t="s">
        <v>15</v>
      </c>
    </row>
    <row r="5" customFormat="false" ht="15" hidden="false" customHeight="false" outlineLevel="0" collapsed="false">
      <c r="A5" s="53" t="s">
        <v>44</v>
      </c>
      <c r="B5" s="10" t="n">
        <f aca="false">COUNTIF(TRADE_LOG!$H$4:$H$5003,A5)</f>
        <v>1</v>
      </c>
      <c r="C5" s="10" t="n">
        <f aca="false">COUNTIFS(TRADE_LOG!$H$4:$H$5003,A5,TRADE_LOG!$AH$4:$AH$5003,"Win")</f>
        <v>1</v>
      </c>
      <c r="D5" s="10" t="n">
        <f aca="false">COUNTIFS(TRADE_LOG!$H$4:$H$5003,A5,TRADE_LOG!$AH$4:$AH$5003,"Loss")</f>
        <v>0</v>
      </c>
      <c r="E5" s="10" t="n">
        <f aca="false">COUNTIFS(TRADE_LOG!$H$4:$H$5003,A5,TRADE_LOG!$AH$4:$AH$5003,"Breakeven")</f>
        <v>0</v>
      </c>
      <c r="F5" s="54" t="n">
        <f aca="false">IFERROR(C5/B5,0)</f>
        <v>1</v>
      </c>
      <c r="G5" s="55" t="n">
        <f aca="false">IFERROR(AVERAGEIF(TRADE_LOG!$H$4:$H$5003,A5,TRADE_LOG!$AG$4:$AG$5003),0)</f>
        <v>2.39333333333333</v>
      </c>
      <c r="H5" s="55" t="n">
        <f aca="false">IFERROR(AVERAGEIFS(TRADE_LOG!$AG$4:$AG$5003,TRADE_LOG!$H$4:$H$5003,A5,TRADE_LOG!$AH$4:$AH$5003,"Win"),0)</f>
        <v>2.39333333333333</v>
      </c>
      <c r="I5" s="55" t="n">
        <f aca="false">IFERROR(AVERAGEIFS(TRADE_LOG!$AG$4:$AG$5003,TRADE_LOG!$H$4:$H$5003,A5,TRADE_LOG!$AH$4:$AH$5003,"Loss"),0)</f>
        <v>0</v>
      </c>
      <c r="J5" s="55" t="n">
        <f aca="false">IFERROR(maxifs(TRADE_LOG!$AG$4:$AG$5003,TRADE_LOG!$H$4:$H$5003,A5),0)</f>
        <v>0</v>
      </c>
      <c r="K5" s="55" t="n">
        <f aca="false">IFERROR(minifs(TRADE_LOG!$AG$4:$AG$5003,TRADE_LOG!$H$4:$H$5003,A5),0)</f>
        <v>0</v>
      </c>
      <c r="L5" s="56" t="n">
        <f aca="false">IFERROR(SUMIF(TRADE_LOG!$H$4:$H$5003,A5,TRADE_LOG!$AE$4:$AE$5003),0)</f>
        <v>1795</v>
      </c>
      <c r="M5" s="56" t="n">
        <f aca="false">IFERROR(L5/B5,0)</f>
        <v>1795</v>
      </c>
      <c r="N5" s="55" t="n">
        <f aca="false">IFERROR(F5*H5+(1-F5)*I5,0)</f>
        <v>2.39333333333333</v>
      </c>
      <c r="O5" s="57" t="n">
        <f aca="false">IFERROR((C5*H5)/(D5*ABS(I5)),0)</f>
        <v>0</v>
      </c>
      <c r="P5" s="2"/>
    </row>
    <row r="6" customFormat="false" ht="15" hidden="false" customHeight="false" outlineLevel="0" collapsed="false">
      <c r="A6" s="58" t="s">
        <v>51</v>
      </c>
      <c r="B6" s="10" t="n">
        <f aca="false">COUNTIF(TRADE_LOG!$H$4:$H$5003,A6)</f>
        <v>1</v>
      </c>
      <c r="C6" s="10" t="n">
        <f aca="false">COUNTIFS(TRADE_LOG!$H$4:$H$5003,A6,TRADE_LOG!$AH$4:$AH$5003,"Win")</f>
        <v>1</v>
      </c>
      <c r="D6" s="10" t="n">
        <f aca="false">COUNTIFS(TRADE_LOG!$H$4:$H$5003,A6,TRADE_LOG!$AH$4:$AH$5003,"Loss")</f>
        <v>0</v>
      </c>
      <c r="E6" s="10" t="n">
        <f aca="false">COUNTIFS(TRADE_LOG!$H$4:$H$5003,A6,TRADE_LOG!$AH$4:$AH$5003,"Breakeven")</f>
        <v>0</v>
      </c>
      <c r="F6" s="54" t="n">
        <f aca="false">IFERROR(C6/B6,0)</f>
        <v>1</v>
      </c>
      <c r="G6" s="55" t="n">
        <f aca="false">IFERROR(AVERAGEIF(TRADE_LOG!$H$4:$H$5003,A6,TRADE_LOG!$AG$4:$AG$5003),0)</f>
        <v>2.27500000000003</v>
      </c>
      <c r="H6" s="55" t="n">
        <f aca="false">IFERROR(AVERAGEIFS(TRADE_LOG!$AG$4:$AG$5003,TRADE_LOG!$H$4:$H$5003,A6,TRADE_LOG!$AH$4:$AH$5003,"Win"),0)</f>
        <v>2.27500000000003</v>
      </c>
      <c r="I6" s="55" t="n">
        <f aca="false">IFERROR(AVERAGEIFS(TRADE_LOG!$AG$4:$AG$5003,TRADE_LOG!$H$4:$H$5003,A6,TRADE_LOG!$AH$4:$AH$5003,"Loss"),0)</f>
        <v>0</v>
      </c>
      <c r="J6" s="55" t="n">
        <f aca="false">IFERROR(maxifs(TRADE_LOG!$AG$4:$AG$5003,TRADE_LOG!$H$4:$H$5003,A6),0)</f>
        <v>0</v>
      </c>
      <c r="K6" s="55" t="n">
        <f aca="false">IFERROR(minifs(TRADE_LOG!$AG$4:$AG$5003,TRADE_LOG!$H$4:$H$5003,A6),0)</f>
        <v>0</v>
      </c>
      <c r="L6" s="56" t="n">
        <f aca="false">IFERROR(SUMIF(TRADE_LOG!$H$4:$H$5003,A6,TRADE_LOG!$AE$4:$AE$5003),0)</f>
        <v>1137.50000000001</v>
      </c>
      <c r="M6" s="56" t="n">
        <f aca="false">IFERROR(L6/B6,0)</f>
        <v>1137.50000000001</v>
      </c>
      <c r="N6" s="55" t="n">
        <f aca="false">IFERROR(F6*H6+(1-F6)*I6,0)</f>
        <v>2.27500000000003</v>
      </c>
      <c r="O6" s="57" t="n">
        <f aca="false">IFERROR((C6*H6)/(D6*ABS(I6)),0)</f>
        <v>0</v>
      </c>
      <c r="P6" s="2"/>
    </row>
    <row r="7" customFormat="false" ht="15" hidden="false" customHeight="false" outlineLevel="0" collapsed="false">
      <c r="A7" s="53" t="s">
        <v>58</v>
      </c>
      <c r="B7" s="10" t="n">
        <f aca="false">COUNTIF(TRADE_LOG!$H$4:$H$5003,A7)</f>
        <v>1</v>
      </c>
      <c r="C7" s="10" t="n">
        <f aca="false">COUNTIFS(TRADE_LOG!$H$4:$H$5003,A7,TRADE_LOG!$AH$4:$AH$5003,"Win")</f>
        <v>1</v>
      </c>
      <c r="D7" s="10" t="n">
        <f aca="false">COUNTIFS(TRADE_LOG!$H$4:$H$5003,A7,TRADE_LOG!$AH$4:$AH$5003,"Loss")</f>
        <v>0</v>
      </c>
      <c r="E7" s="10" t="n">
        <f aca="false">COUNTIFS(TRADE_LOG!$H$4:$H$5003,A7,TRADE_LOG!$AH$4:$AH$5003,"Breakeven")</f>
        <v>0</v>
      </c>
      <c r="F7" s="54" t="n">
        <f aca="false">IFERROR(C7/B7,0)</f>
        <v>1</v>
      </c>
      <c r="G7" s="55" t="n">
        <f aca="false">IFERROR(AVERAGEIF(TRADE_LOG!$H$4:$H$5003,A7,TRADE_LOG!$AG$4:$AG$5003),0)</f>
        <v>1.23762376237619</v>
      </c>
      <c r="H7" s="55" t="n">
        <f aca="false">IFERROR(AVERAGEIFS(TRADE_LOG!$AG$4:$AG$5003,TRADE_LOG!$H$4:$H$5003,A7,TRADE_LOG!$AH$4:$AH$5003,"Win"),0)</f>
        <v>1.23762376237619</v>
      </c>
      <c r="I7" s="55" t="n">
        <f aca="false">IFERROR(AVERAGEIFS(TRADE_LOG!$AG$4:$AG$5003,TRADE_LOG!$H$4:$H$5003,A7,TRADE_LOG!$AH$4:$AH$5003,"Loss"),0)</f>
        <v>0</v>
      </c>
      <c r="J7" s="55" t="n">
        <f aca="false">IFERROR(maxifs(TRADE_LOG!$AG$4:$AG$5003,TRADE_LOG!$H$4:$H$5003,A7),0)</f>
        <v>0</v>
      </c>
      <c r="K7" s="55" t="n">
        <f aca="false">IFERROR(minifs(TRADE_LOG!$AG$4:$AG$5003,TRADE_LOG!$H$4:$H$5003,A7),0)</f>
        <v>0</v>
      </c>
      <c r="L7" s="56" t="n">
        <f aca="false">IFERROR(SUMIF(TRADE_LOG!$H$4:$H$5003,A7,TRADE_LOG!$AE$4:$AE$5003),0)</f>
        <v>618.811881188095</v>
      </c>
      <c r="M7" s="56" t="n">
        <f aca="false">IFERROR(L7/B7,0)</f>
        <v>618.811881188095</v>
      </c>
      <c r="N7" s="55" t="n">
        <f aca="false">IFERROR(F7*H7+(1-F7)*I7,0)</f>
        <v>1.23762376237619</v>
      </c>
      <c r="O7" s="57" t="n">
        <f aca="false">IFERROR((C7*H7)/(D7*ABS(I7)),0)</f>
        <v>0</v>
      </c>
      <c r="P7" s="2"/>
    </row>
    <row r="8" customFormat="false" ht="15" hidden="false" customHeight="false" outlineLevel="0" collapsed="false">
      <c r="A8" s="58" t="s">
        <v>64</v>
      </c>
      <c r="B8" s="10" t="n">
        <f aca="false">COUNTIF(TRADE_LOG!$H$4:$H$5003,A8)</f>
        <v>0</v>
      </c>
      <c r="C8" s="10" t="n">
        <f aca="false">COUNTIFS(TRADE_LOG!$H$4:$H$5003,A8,TRADE_LOG!$AH$4:$AH$5003,"Win")</f>
        <v>0</v>
      </c>
      <c r="D8" s="10" t="n">
        <f aca="false">COUNTIFS(TRADE_LOG!$H$4:$H$5003,A8,TRADE_LOG!$AH$4:$AH$5003,"Loss")</f>
        <v>0</v>
      </c>
      <c r="E8" s="10" t="n">
        <f aca="false">COUNTIFS(TRADE_LOG!$H$4:$H$5003,A8,TRADE_LOG!$AH$4:$AH$5003,"Breakeven")</f>
        <v>0</v>
      </c>
      <c r="F8" s="54" t="n">
        <f aca="false">IFERROR(C8/B8,0)</f>
        <v>0</v>
      </c>
      <c r="G8" s="55" t="n">
        <f aca="false">IFERROR(AVERAGEIF(TRADE_LOG!$H$4:$H$5003,A8,TRADE_LOG!$AG$4:$AG$5003),0)</f>
        <v>0</v>
      </c>
      <c r="H8" s="55" t="n">
        <f aca="false">IFERROR(AVERAGEIFS(TRADE_LOG!$AG$4:$AG$5003,TRADE_LOG!$H$4:$H$5003,A8,TRADE_LOG!$AH$4:$AH$5003,"Win"),0)</f>
        <v>0</v>
      </c>
      <c r="I8" s="55" t="n">
        <f aca="false">IFERROR(AVERAGEIFS(TRADE_LOG!$AG$4:$AG$5003,TRADE_LOG!$H$4:$H$5003,A8,TRADE_LOG!$AH$4:$AH$5003,"Loss"),0)</f>
        <v>0</v>
      </c>
      <c r="J8" s="55" t="n">
        <f aca="false">IFERROR(maxifs(TRADE_LOG!$AG$4:$AG$5003,TRADE_LOG!$H$4:$H$5003,A8),0)</f>
        <v>0</v>
      </c>
      <c r="K8" s="55" t="n">
        <f aca="false">IFERROR(minifs(TRADE_LOG!$AG$4:$AG$5003,TRADE_LOG!$H$4:$H$5003,A8),0)</f>
        <v>0</v>
      </c>
      <c r="L8" s="56" t="n">
        <f aca="false">IFERROR(SUMIF(TRADE_LOG!$H$4:$H$5003,A8,TRADE_LOG!$AE$4:$AE$5003),0)</f>
        <v>0</v>
      </c>
      <c r="M8" s="56" t="n">
        <f aca="false">IFERROR(L8/B8,0)</f>
        <v>0</v>
      </c>
      <c r="N8" s="55" t="n">
        <f aca="false">IFERROR(F8*H8+(1-F8)*I8,0)</f>
        <v>0</v>
      </c>
      <c r="O8" s="57" t="n">
        <f aca="false">IFERROR((C8*H8)/(D8*ABS(I8)),0)</f>
        <v>0</v>
      </c>
      <c r="P8" s="2"/>
    </row>
    <row r="9" customFormat="false" ht="15" hidden="false" customHeight="false" outlineLevel="0" collapsed="false">
      <c r="A9" s="53" t="s">
        <v>70</v>
      </c>
      <c r="B9" s="10" t="n">
        <f aca="false">COUNTIF(TRADE_LOG!$H$4:$H$5003,A9)</f>
        <v>0</v>
      </c>
      <c r="C9" s="10" t="n">
        <f aca="false">COUNTIFS(TRADE_LOG!$H$4:$H$5003,A9,TRADE_LOG!$AH$4:$AH$5003,"Win")</f>
        <v>0</v>
      </c>
      <c r="D9" s="10" t="n">
        <f aca="false">COUNTIFS(TRADE_LOG!$H$4:$H$5003,A9,TRADE_LOG!$AH$4:$AH$5003,"Loss")</f>
        <v>0</v>
      </c>
      <c r="E9" s="10" t="n">
        <f aca="false">COUNTIFS(TRADE_LOG!$H$4:$H$5003,A9,TRADE_LOG!$AH$4:$AH$5003,"Breakeven")</f>
        <v>0</v>
      </c>
      <c r="F9" s="54" t="n">
        <f aca="false">IFERROR(C9/B9,0)</f>
        <v>0</v>
      </c>
      <c r="G9" s="55" t="n">
        <f aca="false">IFERROR(AVERAGEIF(TRADE_LOG!$H$4:$H$5003,A9,TRADE_LOG!$AG$4:$AG$5003),0)</f>
        <v>0</v>
      </c>
      <c r="H9" s="55" t="n">
        <f aca="false">IFERROR(AVERAGEIFS(TRADE_LOG!$AG$4:$AG$5003,TRADE_LOG!$H$4:$H$5003,A9,TRADE_LOG!$AH$4:$AH$5003,"Win"),0)</f>
        <v>0</v>
      </c>
      <c r="I9" s="55" t="n">
        <f aca="false">IFERROR(AVERAGEIFS(TRADE_LOG!$AG$4:$AG$5003,TRADE_LOG!$H$4:$H$5003,A9,TRADE_LOG!$AH$4:$AH$5003,"Loss"),0)</f>
        <v>0</v>
      </c>
      <c r="J9" s="55" t="n">
        <f aca="false">IFERROR(maxifs(TRADE_LOG!$AG$4:$AG$5003,TRADE_LOG!$H$4:$H$5003,A9),0)</f>
        <v>0</v>
      </c>
      <c r="K9" s="55" t="n">
        <f aca="false">IFERROR(minifs(TRADE_LOG!$AG$4:$AG$5003,TRADE_LOG!$H$4:$H$5003,A9),0)</f>
        <v>0</v>
      </c>
      <c r="L9" s="56" t="n">
        <f aca="false">IFERROR(SUMIF(TRADE_LOG!$H$4:$H$5003,A9,TRADE_LOG!$AE$4:$AE$5003),0)</f>
        <v>0</v>
      </c>
      <c r="M9" s="56" t="n">
        <f aca="false">IFERROR(L9/B9,0)</f>
        <v>0</v>
      </c>
      <c r="N9" s="55" t="n">
        <f aca="false">IFERROR(F9*H9+(1-F9)*I9,0)</f>
        <v>0</v>
      </c>
      <c r="O9" s="57" t="n">
        <f aca="false">IFERROR((C9*H9)/(D9*ABS(I9)),0)</f>
        <v>0</v>
      </c>
      <c r="P9" s="2"/>
    </row>
    <row r="10" customFormat="false" ht="15" hidden="false" customHeight="false" outlineLevel="0" collapsed="false">
      <c r="A10" s="58" t="s">
        <v>76</v>
      </c>
      <c r="B10" s="10" t="n">
        <f aca="false">COUNTIF(TRADE_LOG!$H$4:$H$5003,A10)</f>
        <v>0</v>
      </c>
      <c r="C10" s="10" t="n">
        <f aca="false">COUNTIFS(TRADE_LOG!$H$4:$H$5003,A10,TRADE_LOG!$AH$4:$AH$5003,"Win")</f>
        <v>0</v>
      </c>
      <c r="D10" s="10" t="n">
        <f aca="false">COUNTIFS(TRADE_LOG!$H$4:$H$5003,A10,TRADE_LOG!$AH$4:$AH$5003,"Loss")</f>
        <v>0</v>
      </c>
      <c r="E10" s="10" t="n">
        <f aca="false">COUNTIFS(TRADE_LOG!$H$4:$H$5003,A10,TRADE_LOG!$AH$4:$AH$5003,"Breakeven")</f>
        <v>0</v>
      </c>
      <c r="F10" s="54" t="n">
        <f aca="false">IFERROR(C10/B10,0)</f>
        <v>0</v>
      </c>
      <c r="G10" s="55" t="n">
        <f aca="false">IFERROR(AVERAGEIF(TRADE_LOG!$H$4:$H$5003,A10,TRADE_LOG!$AG$4:$AG$5003),0)</f>
        <v>0</v>
      </c>
      <c r="H10" s="55" t="n">
        <f aca="false">IFERROR(AVERAGEIFS(TRADE_LOG!$AG$4:$AG$5003,TRADE_LOG!$H$4:$H$5003,A10,TRADE_LOG!$AH$4:$AH$5003,"Win"),0)</f>
        <v>0</v>
      </c>
      <c r="I10" s="55" t="n">
        <f aca="false">IFERROR(AVERAGEIFS(TRADE_LOG!$AG$4:$AG$5003,TRADE_LOG!$H$4:$H$5003,A10,TRADE_LOG!$AH$4:$AH$5003,"Loss"),0)</f>
        <v>0</v>
      </c>
      <c r="J10" s="55" t="n">
        <f aca="false">IFERROR(maxifs(TRADE_LOG!$AG$4:$AG$5003,TRADE_LOG!$H$4:$H$5003,A10),0)</f>
        <v>0</v>
      </c>
      <c r="K10" s="55" t="n">
        <f aca="false">IFERROR(minifs(TRADE_LOG!$AG$4:$AG$5003,TRADE_LOG!$H$4:$H$5003,A10),0)</f>
        <v>0</v>
      </c>
      <c r="L10" s="56" t="n">
        <f aca="false">IFERROR(SUMIF(TRADE_LOG!$H$4:$H$5003,A10,TRADE_LOG!$AE$4:$AE$5003),0)</f>
        <v>0</v>
      </c>
      <c r="M10" s="56" t="n">
        <f aca="false">IFERROR(L10/B10,0)</f>
        <v>0</v>
      </c>
      <c r="N10" s="55" t="n">
        <f aca="false">IFERROR(F10*H10+(1-F10)*I10,0)</f>
        <v>0</v>
      </c>
      <c r="O10" s="57" t="n">
        <f aca="false">IFERROR((C10*H10)/(D10*ABS(I10)),0)</f>
        <v>0</v>
      </c>
      <c r="P10" s="2"/>
    </row>
    <row r="11" customFormat="false" ht="15" hidden="false" customHeight="false" outlineLevel="0" collapsed="false">
      <c r="A11" s="53" t="s">
        <v>80</v>
      </c>
      <c r="B11" s="10" t="n">
        <f aca="false">COUNTIF(TRADE_LOG!$H$4:$H$5003,A11)</f>
        <v>1</v>
      </c>
      <c r="C11" s="10" t="n">
        <f aca="false">COUNTIFS(TRADE_LOG!$H$4:$H$5003,A11,TRADE_LOG!$AH$4:$AH$5003,"Win")</f>
        <v>1</v>
      </c>
      <c r="D11" s="10" t="n">
        <f aca="false">COUNTIFS(TRADE_LOG!$H$4:$H$5003,A11,TRADE_LOG!$AH$4:$AH$5003,"Loss")</f>
        <v>0</v>
      </c>
      <c r="E11" s="10" t="n">
        <f aca="false">COUNTIFS(TRADE_LOG!$H$4:$H$5003,A11,TRADE_LOG!$AH$4:$AH$5003,"Breakeven")</f>
        <v>0</v>
      </c>
      <c r="F11" s="54" t="n">
        <f aca="false">IFERROR(C11/B11,0)</f>
        <v>1</v>
      </c>
      <c r="G11" s="55" t="n">
        <f aca="false">IFERROR(AVERAGEIF(TRADE_LOG!$H$4:$H$5003,A11,TRADE_LOG!$AG$4:$AG$5003),0)</f>
        <v>1.49999999999994</v>
      </c>
      <c r="H11" s="55" t="n">
        <f aca="false">IFERROR(AVERAGEIFS(TRADE_LOG!$AG$4:$AG$5003,TRADE_LOG!$H$4:$H$5003,A11,TRADE_LOG!$AH$4:$AH$5003,"Win"),0)</f>
        <v>1.49999999999994</v>
      </c>
      <c r="I11" s="55" t="n">
        <f aca="false">IFERROR(AVERAGEIFS(TRADE_LOG!$AG$4:$AG$5003,TRADE_LOG!$H$4:$H$5003,A11,TRADE_LOG!$AH$4:$AH$5003,"Loss"),0)</f>
        <v>0</v>
      </c>
      <c r="J11" s="55" t="n">
        <f aca="false">IFERROR(maxifs(TRADE_LOG!$AG$4:$AG$5003,TRADE_LOG!$H$4:$H$5003,A11),0)</f>
        <v>0</v>
      </c>
      <c r="K11" s="55" t="n">
        <f aca="false">IFERROR(minifs(TRADE_LOG!$AG$4:$AG$5003,TRADE_LOG!$H$4:$H$5003,A11),0)</f>
        <v>0</v>
      </c>
      <c r="L11" s="56" t="n">
        <f aca="false">IFERROR(SUMIF(TRADE_LOG!$H$4:$H$5003,A11,TRADE_LOG!$AE$4:$AE$5003),0)</f>
        <v>749.999999999972</v>
      </c>
      <c r="M11" s="56" t="n">
        <f aca="false">IFERROR(L11/B11,0)</f>
        <v>749.999999999972</v>
      </c>
      <c r="N11" s="55" t="n">
        <f aca="false">IFERROR(F11*H11+(1-F11)*I11,0)</f>
        <v>1.49999999999994</v>
      </c>
      <c r="O11" s="57" t="n">
        <f aca="false">IFERROR((C11*H11)/(D11*ABS(I11)),0)</f>
        <v>0</v>
      </c>
      <c r="P11" s="2"/>
    </row>
    <row r="12" customFormat="false" ht="15" hidden="false" customHeight="false" outlineLevel="0" collapsed="false">
      <c r="A12" s="58" t="s">
        <v>84</v>
      </c>
      <c r="B12" s="10" t="n">
        <f aca="false">COUNTIF(TRADE_LOG!$H$4:$H$5003,A12)</f>
        <v>1</v>
      </c>
      <c r="C12" s="10" t="n">
        <f aca="false">COUNTIFS(TRADE_LOG!$H$4:$H$5003,A12,TRADE_LOG!$AH$4:$AH$5003,"Win")</f>
        <v>1</v>
      </c>
      <c r="D12" s="10" t="n">
        <f aca="false">COUNTIFS(TRADE_LOG!$H$4:$H$5003,A12,TRADE_LOG!$AH$4:$AH$5003,"Loss")</f>
        <v>0</v>
      </c>
      <c r="E12" s="10" t="n">
        <f aca="false">COUNTIFS(TRADE_LOG!$H$4:$H$5003,A12,TRADE_LOG!$AH$4:$AH$5003,"Breakeven")</f>
        <v>0</v>
      </c>
      <c r="F12" s="54" t="n">
        <f aca="false">IFERROR(C12/B12,0)</f>
        <v>1</v>
      </c>
      <c r="G12" s="55" t="n">
        <f aca="false">IFERROR(AVERAGEIF(TRADE_LOG!$H$4:$H$5003,A12,TRADE_LOG!$AG$4:$AG$5003),0)</f>
        <v>1.83333333333328</v>
      </c>
      <c r="H12" s="55" t="n">
        <f aca="false">IFERROR(AVERAGEIFS(TRADE_LOG!$AG$4:$AG$5003,TRADE_LOG!$H$4:$H$5003,A12,TRADE_LOG!$AH$4:$AH$5003,"Win"),0)</f>
        <v>1.83333333333328</v>
      </c>
      <c r="I12" s="55" t="n">
        <f aca="false">IFERROR(AVERAGEIFS(TRADE_LOG!$AG$4:$AG$5003,TRADE_LOG!$H$4:$H$5003,A12,TRADE_LOG!$AH$4:$AH$5003,"Loss"),0)</f>
        <v>0</v>
      </c>
      <c r="J12" s="55" t="n">
        <f aca="false">IFERROR(maxifs(TRADE_LOG!$AG$4:$AG$5003,TRADE_LOG!$H$4:$H$5003,A12),0)</f>
        <v>0</v>
      </c>
      <c r="K12" s="55" t="n">
        <f aca="false">IFERROR(minifs(TRADE_LOG!$AG$4:$AG$5003,TRADE_LOG!$H$4:$H$5003,A12),0)</f>
        <v>0</v>
      </c>
      <c r="L12" s="56" t="n">
        <f aca="false">IFERROR(SUMIF(TRADE_LOG!$H$4:$H$5003,A12,TRADE_LOG!$AE$4:$AE$5003),0)</f>
        <v>916.666666666642</v>
      </c>
      <c r="M12" s="56" t="n">
        <f aca="false">IFERROR(L12/B12,0)</f>
        <v>916.666666666642</v>
      </c>
      <c r="N12" s="55" t="n">
        <f aca="false">IFERROR(F12*H12+(1-F12)*I12,0)</f>
        <v>1.83333333333328</v>
      </c>
      <c r="O12" s="57" t="n">
        <f aca="false">IFERROR((C12*H12)/(D12*ABS(I12)),0)</f>
        <v>0</v>
      </c>
      <c r="P12" s="2"/>
    </row>
    <row r="13" customFormat="false" ht="15" hidden="false" customHeight="false" outlineLevel="0" collapsed="false">
      <c r="A13" s="53" t="s">
        <v>87</v>
      </c>
      <c r="B13" s="10" t="n">
        <f aca="false">COUNTIF(TRADE_LOG!$H$4:$H$5003,A13)</f>
        <v>0</v>
      </c>
      <c r="C13" s="10" t="n">
        <f aca="false">COUNTIFS(TRADE_LOG!$H$4:$H$5003,A13,TRADE_LOG!$AH$4:$AH$5003,"Win")</f>
        <v>0</v>
      </c>
      <c r="D13" s="10" t="n">
        <f aca="false">COUNTIFS(TRADE_LOG!$H$4:$H$5003,A13,TRADE_LOG!$AH$4:$AH$5003,"Loss")</f>
        <v>0</v>
      </c>
      <c r="E13" s="10" t="n">
        <f aca="false">COUNTIFS(TRADE_LOG!$H$4:$H$5003,A13,TRADE_LOG!$AH$4:$AH$5003,"Breakeven")</f>
        <v>0</v>
      </c>
      <c r="F13" s="54" t="n">
        <f aca="false">IFERROR(C13/B13,0)</f>
        <v>0</v>
      </c>
      <c r="G13" s="55" t="n">
        <f aca="false">IFERROR(AVERAGEIF(TRADE_LOG!$H$4:$H$5003,A13,TRADE_LOG!$AG$4:$AG$5003),0)</f>
        <v>0</v>
      </c>
      <c r="H13" s="55" t="n">
        <f aca="false">IFERROR(AVERAGEIFS(TRADE_LOG!$AG$4:$AG$5003,TRADE_LOG!$H$4:$H$5003,A13,TRADE_LOG!$AH$4:$AH$5003,"Win"),0)</f>
        <v>0</v>
      </c>
      <c r="I13" s="55" t="n">
        <f aca="false">IFERROR(AVERAGEIFS(TRADE_LOG!$AG$4:$AG$5003,TRADE_LOG!$H$4:$H$5003,A13,TRADE_LOG!$AH$4:$AH$5003,"Loss"),0)</f>
        <v>0</v>
      </c>
      <c r="J13" s="55" t="n">
        <f aca="false">IFERROR(maxifs(TRADE_LOG!$AG$4:$AG$5003,TRADE_LOG!$H$4:$H$5003,A13),0)</f>
        <v>0</v>
      </c>
      <c r="K13" s="55" t="n">
        <f aca="false">IFERROR(minifs(TRADE_LOG!$AG$4:$AG$5003,TRADE_LOG!$H$4:$H$5003,A13),0)</f>
        <v>0</v>
      </c>
      <c r="L13" s="56" t="n">
        <f aca="false">IFERROR(SUMIF(TRADE_LOG!$H$4:$H$5003,A13,TRADE_LOG!$AE$4:$AE$5003),0)</f>
        <v>0</v>
      </c>
      <c r="M13" s="56" t="n">
        <f aca="false">IFERROR(L13/B13,0)</f>
        <v>0</v>
      </c>
      <c r="N13" s="55" t="n">
        <f aca="false">IFERROR(F13*H13+(1-F13)*I13,0)</f>
        <v>0</v>
      </c>
      <c r="O13" s="57" t="n">
        <f aca="false">IFERROR((C13*H13)/(D13*ABS(I13)),0)</f>
        <v>0</v>
      </c>
      <c r="P13" s="2"/>
    </row>
    <row r="14" customFormat="false" ht="15" hidden="false" customHeight="false" outlineLevel="0" collapsed="false">
      <c r="A14" s="58" t="s">
        <v>91</v>
      </c>
      <c r="B14" s="10" t="n">
        <f aca="false">COUNTIF(TRADE_LOG!$H$4:$H$5003,A14)</f>
        <v>0</v>
      </c>
      <c r="C14" s="10" t="n">
        <f aca="false">COUNTIFS(TRADE_LOG!$H$4:$H$5003,A14,TRADE_LOG!$AH$4:$AH$5003,"Win")</f>
        <v>0</v>
      </c>
      <c r="D14" s="10" t="n">
        <f aca="false">COUNTIFS(TRADE_LOG!$H$4:$H$5003,A14,TRADE_LOG!$AH$4:$AH$5003,"Loss")</f>
        <v>0</v>
      </c>
      <c r="E14" s="10" t="n">
        <f aca="false">COUNTIFS(TRADE_LOG!$H$4:$H$5003,A14,TRADE_LOG!$AH$4:$AH$5003,"Breakeven")</f>
        <v>0</v>
      </c>
      <c r="F14" s="54" t="n">
        <f aca="false">IFERROR(C14/B14,0)</f>
        <v>0</v>
      </c>
      <c r="G14" s="55" t="n">
        <f aca="false">IFERROR(AVERAGEIF(TRADE_LOG!$H$4:$H$5003,A14,TRADE_LOG!$AG$4:$AG$5003),0)</f>
        <v>0</v>
      </c>
      <c r="H14" s="55" t="n">
        <f aca="false">IFERROR(AVERAGEIFS(TRADE_LOG!$AG$4:$AG$5003,TRADE_LOG!$H$4:$H$5003,A14,TRADE_LOG!$AH$4:$AH$5003,"Win"),0)</f>
        <v>0</v>
      </c>
      <c r="I14" s="55" t="n">
        <f aca="false">IFERROR(AVERAGEIFS(TRADE_LOG!$AG$4:$AG$5003,TRADE_LOG!$H$4:$H$5003,A14,TRADE_LOG!$AH$4:$AH$5003,"Loss"),0)</f>
        <v>0</v>
      </c>
      <c r="J14" s="55" t="n">
        <f aca="false">IFERROR(maxifs(TRADE_LOG!$AG$4:$AG$5003,TRADE_LOG!$H$4:$H$5003,A14),0)</f>
        <v>0</v>
      </c>
      <c r="K14" s="55" t="n">
        <f aca="false">IFERROR(minifs(TRADE_LOG!$AG$4:$AG$5003,TRADE_LOG!$H$4:$H$5003,A14),0)</f>
        <v>0</v>
      </c>
      <c r="L14" s="56" t="n">
        <f aca="false">IFERROR(SUMIF(TRADE_LOG!$H$4:$H$5003,A14,TRADE_LOG!$AE$4:$AE$5003),0)</f>
        <v>0</v>
      </c>
      <c r="M14" s="56" t="n">
        <f aca="false">IFERROR(L14/B14,0)</f>
        <v>0</v>
      </c>
      <c r="N14" s="55" t="n">
        <f aca="false">IFERROR(F14*H14+(1-F14)*I14,0)</f>
        <v>0</v>
      </c>
      <c r="O14" s="57" t="n">
        <f aca="false">IFERROR((C14*H14)/(D14*ABS(I14)),0)</f>
        <v>0</v>
      </c>
      <c r="P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59" t="s">
        <v>191</v>
      </c>
      <c r="B16" s="60" t="n">
        <f aca="false">COUNTA(TRADE_LOG!H4:H5003)</f>
        <v>5</v>
      </c>
      <c r="C16" s="60" t="n">
        <f aca="false">COUNTIF(TRADE_LOG!AH4:AH5003,"Win")</f>
        <v>5</v>
      </c>
      <c r="D16" s="60" t="n">
        <f aca="false">COUNTIF(TRADE_LOG!AH4:AH5003,"Loss")</f>
        <v>0</v>
      </c>
      <c r="E16" s="60" t="n">
        <f aca="false">COUNTIF(TRADE_LOG!AH4:AH5003,"Breakeven")</f>
        <v>0</v>
      </c>
      <c r="F16" s="61" t="n">
        <f aca="false">IFERROR(C16/B16,0)</f>
        <v>1</v>
      </c>
      <c r="G16" s="62" t="n">
        <f aca="false">IFERROR(AVERAGE(TRADE_LOG!AG4:AG5003),0)</f>
        <v>1.84785808580856</v>
      </c>
      <c r="H16" s="60"/>
      <c r="I16" s="60"/>
      <c r="J16" s="60"/>
      <c r="K16" s="60"/>
      <c r="L16" s="63" t="n">
        <f aca="false">IFERROR(SUM(TRADE_LOG!AE4:AE5003),0)</f>
        <v>5217.97854785472</v>
      </c>
      <c r="M16" s="60"/>
      <c r="N16" s="60"/>
      <c r="O16" s="60"/>
      <c r="P16" s="60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</sheetData>
  <mergeCells count="2">
    <mergeCell ref="A1:P1"/>
    <mergeCell ref="A2:P2"/>
  </mergeCells>
  <conditionalFormatting sqref="F5:F14">
    <cfRule type="colorScale" priority="2">
      <colorScale>
        <cfvo type="num" val="0"/>
        <cfvo type="num" val="0.5"/>
        <cfvo type="num" val="1"/>
        <color rgb="FFE63946"/>
        <color rgb="FFFFB703"/>
        <color rgb="FF2DC653"/>
      </colorScale>
    </cfRule>
  </conditionalFormatting>
  <conditionalFormatting sqref="G5:G14">
    <cfRule type="colorScale" priority="3">
      <colorScale>
        <cfvo type="num" val="-3"/>
        <cfvo type="num" val="0"/>
        <cfvo type="num" val="5"/>
        <color rgb="FFE63946"/>
        <color rgb="FF333333"/>
        <color rgb="FF2DC653"/>
      </colorScale>
    </cfRule>
  </conditionalFormatting>
  <conditionalFormatting sqref="L5:L14">
    <cfRule type="colorScale" priority="4">
      <colorScale>
        <cfvo type="min" val="0"/>
        <cfvo type="num" val="0"/>
        <cfvo type="max" val="0"/>
        <color rgb="FFE63946"/>
        <color rgb="FF222222"/>
        <color rgb="FF2DC65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30" hidden="false" customHeight="true" outlineLevel="0" collapsed="false">
      <c r="A1" s="15" t="s">
        <v>192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52" t="s">
        <v>193</v>
      </c>
      <c r="B3" s="52" t="s">
        <v>179</v>
      </c>
      <c r="C3" s="52" t="s">
        <v>180</v>
      </c>
      <c r="D3" s="52" t="s">
        <v>181</v>
      </c>
      <c r="E3" s="52" t="s">
        <v>182</v>
      </c>
      <c r="F3" s="52" t="s">
        <v>194</v>
      </c>
      <c r="G3" s="52" t="s">
        <v>183</v>
      </c>
      <c r="H3" s="52" t="s">
        <v>186</v>
      </c>
      <c r="I3" s="52" t="s">
        <v>187</v>
      </c>
      <c r="J3" s="52" t="s">
        <v>195</v>
      </c>
      <c r="K3" s="52" t="s">
        <v>196</v>
      </c>
      <c r="L3" s="52" t="s">
        <v>197</v>
      </c>
      <c r="M3" s="52" t="s">
        <v>198</v>
      </c>
      <c r="N3" s="52" t="s">
        <v>199</v>
      </c>
    </row>
    <row r="4" customFormat="false" ht="15" hidden="false" customHeight="false" outlineLevel="0" collapsed="false">
      <c r="A4" s="58" t="s">
        <v>46</v>
      </c>
      <c r="B4" s="10" t="n">
        <f aca="false">COUNTIF(TRADE_LOG!$E$4:$E$5003,A4)</f>
        <v>2</v>
      </c>
      <c r="C4" s="10" t="n">
        <f aca="false">COUNTIFS(TRADE_LOG!$E$4:$E$5003,A4,TRADE_LOG!$AH$4:$AH$5003,"Win")</f>
        <v>2</v>
      </c>
      <c r="D4" s="10" t="n">
        <f aca="false">COUNTIFS(TRADE_LOG!$E$4:$E$5003,A4,TRADE_LOG!$AH$4:$AH$5003,"Loss")</f>
        <v>0</v>
      </c>
      <c r="E4" s="54" t="n">
        <f aca="false">IFERROR(C4/B4,0)</f>
        <v>1</v>
      </c>
      <c r="F4" s="56" t="n">
        <f aca="false">IFERROR(SUMIF(TRADE_LOG!$E$4:$E$5003,A4,TRADE_LOG!$AE$4:$AE$5003),0)</f>
        <v>1887.49999999998</v>
      </c>
      <c r="G4" s="55" t="n">
        <f aca="false">IFERROR(AVERAGEIF(TRADE_LOG!$E$4:$E$5003,A4,TRADE_LOG!$AG$4:$AG$5003),0)</f>
        <v>1.88749999999998</v>
      </c>
      <c r="H4" s="55" t="n">
        <f aca="false">IFERROR(maxifs(TRADE_LOG!$AG$4:$AG$5003,TRADE_LOG!$E$4:$E$5003,A4),0)</f>
        <v>0</v>
      </c>
      <c r="I4" s="55" t="n">
        <f aca="false">IFERROR(minifs(TRADE_LOG!$AG$4:$AG$5003,TRADE_LOG!$E$4:$E$5003,A4),0)</f>
        <v>0</v>
      </c>
      <c r="J4" s="64" t="n">
        <f aca="false">IFERROR(AVERAGEIF(TRADE_LOG!$E$4:$E$5003,A4,TRADE_LOG!$AJ$4:$AJ$5003),0)</f>
        <v>37.7499999999997</v>
      </c>
      <c r="K4" s="64" t="n">
        <f aca="false">IFERROR(SUMIF(TRADE_LOG!$E$4:$E$5003,A4,TRADE_LOG!$AJ$4:$AJ$5003),0)</f>
        <v>75.4999999999995</v>
      </c>
      <c r="L4" s="10" t="n">
        <f aca="false">IFERROR(RANK(F4,$F$4:$F$15,0),"-")</f>
        <v>1</v>
      </c>
      <c r="M4" s="10" t="n">
        <f aca="false">COUNTIFS(TRADE_LOG!$E$4:$E$5003,A4,TRADE_LOG!$F$4:$F$5003,"Buy")</f>
        <v>2</v>
      </c>
      <c r="N4" s="10" t="n">
        <f aca="false">COUNTIFS(TRADE_LOG!$E$4:$E$5003,A4,TRADE_LOG!$F$4:$F$5003,"Sell")</f>
        <v>0</v>
      </c>
    </row>
    <row r="5" customFormat="false" ht="15" hidden="false" customHeight="false" outlineLevel="0" collapsed="false">
      <c r="A5" s="53" t="s">
        <v>53</v>
      </c>
      <c r="B5" s="10" t="n">
        <f aca="false">COUNTIF(TRADE_LOG!$E$4:$E$5003,A5)</f>
        <v>1</v>
      </c>
      <c r="C5" s="10" t="n">
        <f aca="false">COUNTIFS(TRADE_LOG!$E$4:$E$5003,A5,TRADE_LOG!$AH$4:$AH$5003,"Win")</f>
        <v>1</v>
      </c>
      <c r="D5" s="10" t="n">
        <f aca="false">COUNTIFS(TRADE_LOG!$E$4:$E$5003,A5,TRADE_LOG!$AH$4:$AH$5003,"Loss")</f>
        <v>0</v>
      </c>
      <c r="E5" s="54" t="n">
        <f aca="false">IFERROR(C5/B5,0)</f>
        <v>1</v>
      </c>
      <c r="F5" s="56" t="n">
        <f aca="false">IFERROR(SUMIF(TRADE_LOG!$E$4:$E$5003,A5,TRADE_LOG!$AE$4:$AE$5003),0)</f>
        <v>916.666666666642</v>
      </c>
      <c r="G5" s="55" t="n">
        <f aca="false">IFERROR(AVERAGEIF(TRADE_LOG!$E$4:$E$5003,A5,TRADE_LOG!$AG$4:$AG$5003),0)</f>
        <v>1.83333333333328</v>
      </c>
      <c r="H5" s="55" t="n">
        <f aca="false">IFERROR(maxifs(TRADE_LOG!$AG$4:$AG$5003,TRADE_LOG!$E$4:$E$5003,A5),0)</f>
        <v>0</v>
      </c>
      <c r="I5" s="55" t="n">
        <f aca="false">IFERROR(minifs(TRADE_LOG!$AG$4:$AG$5003,TRADE_LOG!$E$4:$E$5003,A5),0)</f>
        <v>0</v>
      </c>
      <c r="J5" s="64" t="n">
        <f aca="false">IFERROR(AVERAGEIF(TRADE_LOG!$E$4:$E$5003,A5,TRADE_LOG!$AJ$4:$AJ$5003),0)</f>
        <v>55.0000000000006</v>
      </c>
      <c r="K5" s="64" t="n">
        <f aca="false">IFERROR(SUMIF(TRADE_LOG!$E$4:$E$5003,A5,TRADE_LOG!$AJ$4:$AJ$5003),0)</f>
        <v>55.0000000000006</v>
      </c>
      <c r="L5" s="10" t="n">
        <f aca="false">IFERROR(RANK(F5,$F$4:$F$15,0),"-")</f>
        <v>3</v>
      </c>
      <c r="M5" s="10" t="n">
        <f aca="false">COUNTIFS(TRADE_LOG!$E$4:$E$5003,A5,TRADE_LOG!$F$4:$F$5003,"Buy")</f>
        <v>0</v>
      </c>
      <c r="N5" s="10" t="n">
        <f aca="false">COUNTIFS(TRADE_LOG!$E$4:$E$5003,A5,TRADE_LOG!$F$4:$F$5003,"Sell")</f>
        <v>1</v>
      </c>
    </row>
    <row r="6" customFormat="false" ht="15" hidden="false" customHeight="false" outlineLevel="0" collapsed="false">
      <c r="A6" s="58" t="s">
        <v>60</v>
      </c>
      <c r="B6" s="10" t="n">
        <f aca="false">COUNTIF(TRADE_LOG!$E$4:$E$5003,A6)</f>
        <v>1</v>
      </c>
      <c r="C6" s="10" t="n">
        <f aca="false">COUNTIFS(TRADE_LOG!$E$4:$E$5003,A6,TRADE_LOG!$AH$4:$AH$5003,"Win")</f>
        <v>1</v>
      </c>
      <c r="D6" s="10" t="n">
        <f aca="false">COUNTIFS(TRADE_LOG!$E$4:$E$5003,A6,TRADE_LOG!$AH$4:$AH$5003,"Loss")</f>
        <v>0</v>
      </c>
      <c r="E6" s="54" t="n">
        <f aca="false">IFERROR(C6/B6,0)</f>
        <v>1</v>
      </c>
      <c r="F6" s="56" t="n">
        <f aca="false">IFERROR(SUMIF(TRADE_LOG!$E$4:$E$5003,A6,TRADE_LOG!$AE$4:$AE$5003),0)</f>
        <v>618.811881188095</v>
      </c>
      <c r="G6" s="55" t="n">
        <f aca="false">IFERROR(AVERAGEIF(TRADE_LOG!$E$4:$E$5003,A6,TRADE_LOG!$AG$4:$AG$5003),0)</f>
        <v>1.23762376237619</v>
      </c>
      <c r="H6" s="55" t="n">
        <f aca="false">IFERROR(maxifs(TRADE_LOG!$AG$4:$AG$5003,TRADE_LOG!$E$4:$E$5003,A6),0)</f>
        <v>0</v>
      </c>
      <c r="I6" s="55" t="n">
        <f aca="false">IFERROR(minifs(TRADE_LOG!$AG$4:$AG$5003,TRADE_LOG!$E$4:$E$5003,A6),0)</f>
        <v>0</v>
      </c>
      <c r="J6" s="64" t="n">
        <f aca="false">IFERROR(AVERAGEIF(TRADE_LOG!$E$4:$E$5003,A6,TRADE_LOG!$AJ$4:$AJ$5003),0)</f>
        <v>44.9999999999989</v>
      </c>
      <c r="K6" s="64" t="n">
        <f aca="false">IFERROR(SUMIF(TRADE_LOG!$E$4:$E$5003,A6,TRADE_LOG!$AJ$4:$AJ$5003),0)</f>
        <v>44.9999999999989</v>
      </c>
      <c r="L6" s="10" t="n">
        <f aca="false">IFERROR(RANK(F6,$F$4:$F$15,0),"-")</f>
        <v>4</v>
      </c>
      <c r="M6" s="10" t="n">
        <f aca="false">COUNTIFS(TRADE_LOG!$E$4:$E$5003,A6,TRADE_LOG!$F$4:$F$5003,"Buy")</f>
        <v>0</v>
      </c>
      <c r="N6" s="10" t="n">
        <f aca="false">COUNTIFS(TRADE_LOG!$E$4:$E$5003,A6,TRADE_LOG!$F$4:$F$5003,"Sell")</f>
        <v>1</v>
      </c>
    </row>
    <row r="7" customFormat="false" ht="15" hidden="false" customHeight="false" outlineLevel="0" collapsed="false">
      <c r="A7" s="53" t="s">
        <v>66</v>
      </c>
      <c r="B7" s="10" t="n">
        <f aca="false">COUNTIF(TRADE_LOG!$E$4:$E$5003,A7)</f>
        <v>0</v>
      </c>
      <c r="C7" s="10" t="n">
        <f aca="false">COUNTIFS(TRADE_LOG!$E$4:$E$5003,A7,TRADE_LOG!$AH$4:$AH$5003,"Win")</f>
        <v>0</v>
      </c>
      <c r="D7" s="10" t="n">
        <f aca="false">COUNTIFS(TRADE_LOG!$E$4:$E$5003,A7,TRADE_LOG!$AH$4:$AH$5003,"Loss")</f>
        <v>0</v>
      </c>
      <c r="E7" s="54" t="n">
        <f aca="false">IFERROR(C7/B7,0)</f>
        <v>0</v>
      </c>
      <c r="F7" s="56" t="n">
        <f aca="false">IFERROR(SUMIF(TRADE_LOG!$E$4:$E$5003,A7,TRADE_LOG!$AE$4:$AE$5003),0)</f>
        <v>0</v>
      </c>
      <c r="G7" s="55" t="n">
        <f aca="false">IFERROR(AVERAGEIF(TRADE_LOG!$E$4:$E$5003,A7,TRADE_LOG!$AG$4:$AG$5003),0)</f>
        <v>0</v>
      </c>
      <c r="H7" s="55" t="n">
        <f aca="false">IFERROR(maxifs(TRADE_LOG!$AG$4:$AG$5003,TRADE_LOG!$E$4:$E$5003,A7),0)</f>
        <v>0</v>
      </c>
      <c r="I7" s="55" t="n">
        <f aca="false">IFERROR(minifs(TRADE_LOG!$AG$4:$AG$5003,TRADE_LOG!$E$4:$E$5003,A7),0)</f>
        <v>0</v>
      </c>
      <c r="J7" s="64" t="n">
        <f aca="false">IFERROR(AVERAGEIF(TRADE_LOG!$E$4:$E$5003,A7,TRADE_LOG!$AJ$4:$AJ$5003),0)</f>
        <v>0</v>
      </c>
      <c r="K7" s="64" t="n">
        <f aca="false">IFERROR(SUMIF(TRADE_LOG!$E$4:$E$5003,A7,TRADE_LOG!$AJ$4:$AJ$5003),0)</f>
        <v>0</v>
      </c>
      <c r="L7" s="10" t="n">
        <f aca="false">IFERROR(RANK(F7,$F$4:$F$15,0),"-")</f>
        <v>5</v>
      </c>
      <c r="M7" s="10" t="n">
        <f aca="false">COUNTIFS(TRADE_LOG!$E$4:$E$5003,A7,TRADE_LOG!$F$4:$F$5003,"Buy")</f>
        <v>0</v>
      </c>
      <c r="N7" s="10" t="n">
        <f aca="false">COUNTIFS(TRADE_LOG!$E$4:$E$5003,A7,TRADE_LOG!$F$4:$F$5003,"Sell")</f>
        <v>0</v>
      </c>
    </row>
    <row r="8" customFormat="false" ht="15" hidden="false" customHeight="false" outlineLevel="0" collapsed="false">
      <c r="A8" s="58" t="s">
        <v>72</v>
      </c>
      <c r="B8" s="10" t="n">
        <f aca="false">COUNTIF(TRADE_LOG!$E$4:$E$5003,A8)</f>
        <v>0</v>
      </c>
      <c r="C8" s="10" t="n">
        <f aca="false">COUNTIFS(TRADE_LOG!$E$4:$E$5003,A8,TRADE_LOG!$AH$4:$AH$5003,"Win")</f>
        <v>0</v>
      </c>
      <c r="D8" s="10" t="n">
        <f aca="false">COUNTIFS(TRADE_LOG!$E$4:$E$5003,A8,TRADE_LOG!$AH$4:$AH$5003,"Loss")</f>
        <v>0</v>
      </c>
      <c r="E8" s="54" t="n">
        <f aca="false">IFERROR(C8/B8,0)</f>
        <v>0</v>
      </c>
      <c r="F8" s="56" t="n">
        <f aca="false">IFERROR(SUMIF(TRADE_LOG!$E$4:$E$5003,A8,TRADE_LOG!$AE$4:$AE$5003),0)</f>
        <v>0</v>
      </c>
      <c r="G8" s="55" t="n">
        <f aca="false">IFERROR(AVERAGEIF(TRADE_LOG!$E$4:$E$5003,A8,TRADE_LOG!$AG$4:$AG$5003),0)</f>
        <v>0</v>
      </c>
      <c r="H8" s="55" t="n">
        <f aca="false">IFERROR(maxifs(TRADE_LOG!$AG$4:$AG$5003,TRADE_LOG!$E$4:$E$5003,A8),0)</f>
        <v>0</v>
      </c>
      <c r="I8" s="55" t="n">
        <f aca="false">IFERROR(minifs(TRADE_LOG!$AG$4:$AG$5003,TRADE_LOG!$E$4:$E$5003,A8),0)</f>
        <v>0</v>
      </c>
      <c r="J8" s="64" t="n">
        <f aca="false">IFERROR(AVERAGEIF(TRADE_LOG!$E$4:$E$5003,A8,TRADE_LOG!$AJ$4:$AJ$5003),0)</f>
        <v>0</v>
      </c>
      <c r="K8" s="64" t="n">
        <f aca="false">IFERROR(SUMIF(TRADE_LOG!$E$4:$E$5003,A8,TRADE_LOG!$AJ$4:$AJ$5003),0)</f>
        <v>0</v>
      </c>
      <c r="L8" s="10" t="n">
        <f aca="false">IFERROR(RANK(F8,$F$4:$F$15,0),"-")</f>
        <v>5</v>
      </c>
      <c r="M8" s="10" t="n">
        <f aca="false">COUNTIFS(TRADE_LOG!$E$4:$E$5003,A8,TRADE_LOG!$F$4:$F$5003,"Buy")</f>
        <v>0</v>
      </c>
      <c r="N8" s="10" t="n">
        <f aca="false">COUNTIFS(TRADE_LOG!$E$4:$E$5003,A8,TRADE_LOG!$F$4:$F$5003,"Sell")</f>
        <v>0</v>
      </c>
    </row>
    <row r="9" customFormat="false" ht="15" hidden="false" customHeight="false" outlineLevel="0" collapsed="false">
      <c r="A9" s="53" t="s">
        <v>78</v>
      </c>
      <c r="B9" s="10" t="n">
        <f aca="false">COUNTIF(TRADE_LOG!$E$4:$E$5003,A9)</f>
        <v>0</v>
      </c>
      <c r="C9" s="10" t="n">
        <f aca="false">COUNTIFS(TRADE_LOG!$E$4:$E$5003,A9,TRADE_LOG!$AH$4:$AH$5003,"Win")</f>
        <v>0</v>
      </c>
      <c r="D9" s="10" t="n">
        <f aca="false">COUNTIFS(TRADE_LOG!$E$4:$E$5003,A9,TRADE_LOG!$AH$4:$AH$5003,"Loss")</f>
        <v>0</v>
      </c>
      <c r="E9" s="54" t="n">
        <f aca="false">IFERROR(C9/B9,0)</f>
        <v>0</v>
      </c>
      <c r="F9" s="56" t="n">
        <f aca="false">IFERROR(SUMIF(TRADE_LOG!$E$4:$E$5003,A9,TRADE_LOG!$AE$4:$AE$5003),0)</f>
        <v>0</v>
      </c>
      <c r="G9" s="55" t="n">
        <f aca="false">IFERROR(AVERAGEIF(TRADE_LOG!$E$4:$E$5003,A9,TRADE_LOG!$AG$4:$AG$5003),0)</f>
        <v>0</v>
      </c>
      <c r="H9" s="55" t="n">
        <f aca="false">IFERROR(maxifs(TRADE_LOG!$AG$4:$AG$5003,TRADE_LOG!$E$4:$E$5003,A9),0)</f>
        <v>0</v>
      </c>
      <c r="I9" s="55" t="n">
        <f aca="false">IFERROR(minifs(TRADE_LOG!$AG$4:$AG$5003,TRADE_LOG!$E$4:$E$5003,A9),0)</f>
        <v>0</v>
      </c>
      <c r="J9" s="64" t="n">
        <f aca="false">IFERROR(AVERAGEIF(TRADE_LOG!$E$4:$E$5003,A9,TRADE_LOG!$AJ$4:$AJ$5003),0)</f>
        <v>0</v>
      </c>
      <c r="K9" s="64" t="n">
        <f aca="false">IFERROR(SUMIF(TRADE_LOG!$E$4:$E$5003,A9,TRADE_LOG!$AJ$4:$AJ$5003),0)</f>
        <v>0</v>
      </c>
      <c r="L9" s="10" t="n">
        <f aca="false">IFERROR(RANK(F9,$F$4:$F$15,0),"-")</f>
        <v>5</v>
      </c>
      <c r="M9" s="10" t="n">
        <f aca="false">COUNTIFS(TRADE_LOG!$E$4:$E$5003,A9,TRADE_LOG!$F$4:$F$5003,"Buy")</f>
        <v>0</v>
      </c>
      <c r="N9" s="10" t="n">
        <f aca="false">COUNTIFS(TRADE_LOG!$E$4:$E$5003,A9,TRADE_LOG!$F$4:$F$5003,"Sell")</f>
        <v>0</v>
      </c>
    </row>
    <row r="10" customFormat="false" ht="15" hidden="false" customHeight="false" outlineLevel="0" collapsed="false">
      <c r="A10" s="58" t="s">
        <v>82</v>
      </c>
      <c r="B10" s="10" t="n">
        <f aca="false">COUNTIF(TRADE_LOG!$E$4:$E$5003,A10)</f>
        <v>0</v>
      </c>
      <c r="C10" s="10" t="n">
        <f aca="false">COUNTIFS(TRADE_LOG!$E$4:$E$5003,A10,TRADE_LOG!$AH$4:$AH$5003,"Win")</f>
        <v>0</v>
      </c>
      <c r="D10" s="10" t="n">
        <f aca="false">COUNTIFS(TRADE_LOG!$E$4:$E$5003,A10,TRADE_LOG!$AH$4:$AH$5003,"Loss")</f>
        <v>0</v>
      </c>
      <c r="E10" s="54" t="n">
        <f aca="false">IFERROR(C10/B10,0)</f>
        <v>0</v>
      </c>
      <c r="F10" s="56" t="n">
        <f aca="false">IFERROR(SUMIF(TRADE_LOG!$E$4:$E$5003,A10,TRADE_LOG!$AE$4:$AE$5003),0)</f>
        <v>0</v>
      </c>
      <c r="G10" s="55" t="n">
        <f aca="false">IFERROR(AVERAGEIF(TRADE_LOG!$E$4:$E$5003,A10,TRADE_LOG!$AG$4:$AG$5003),0)</f>
        <v>0</v>
      </c>
      <c r="H10" s="55" t="n">
        <f aca="false">IFERROR(maxifs(TRADE_LOG!$AG$4:$AG$5003,TRADE_LOG!$E$4:$E$5003,A10),0)</f>
        <v>0</v>
      </c>
      <c r="I10" s="55" t="n">
        <f aca="false">IFERROR(minifs(TRADE_LOG!$AG$4:$AG$5003,TRADE_LOG!$E$4:$E$5003,A10),0)</f>
        <v>0</v>
      </c>
      <c r="J10" s="64" t="n">
        <f aca="false">IFERROR(AVERAGEIF(TRADE_LOG!$E$4:$E$5003,A10,TRADE_LOG!$AJ$4:$AJ$5003),0)</f>
        <v>0</v>
      </c>
      <c r="K10" s="64" t="n">
        <f aca="false">IFERROR(SUMIF(TRADE_LOG!$E$4:$E$5003,A10,TRADE_LOG!$AJ$4:$AJ$5003),0)</f>
        <v>0</v>
      </c>
      <c r="L10" s="10" t="n">
        <f aca="false">IFERROR(RANK(F10,$F$4:$F$15,0),"-")</f>
        <v>5</v>
      </c>
      <c r="M10" s="10" t="n">
        <f aca="false">COUNTIFS(TRADE_LOG!$E$4:$E$5003,A10,TRADE_LOG!$F$4:$F$5003,"Buy")</f>
        <v>0</v>
      </c>
      <c r="N10" s="10" t="n">
        <f aca="false">COUNTIFS(TRADE_LOG!$E$4:$E$5003,A10,TRADE_LOG!$F$4:$F$5003,"Sell")</f>
        <v>0</v>
      </c>
    </row>
    <row r="11" customFormat="false" ht="15" hidden="false" customHeight="false" outlineLevel="0" collapsed="false">
      <c r="A11" s="53" t="s">
        <v>24</v>
      </c>
      <c r="B11" s="10" t="n">
        <f aca="false">COUNTIF(TRADE_LOG!$E$4:$E$5003,A11)</f>
        <v>1</v>
      </c>
      <c r="C11" s="10" t="n">
        <f aca="false">COUNTIFS(TRADE_LOG!$E$4:$E$5003,A11,TRADE_LOG!$AH$4:$AH$5003,"Win")</f>
        <v>1</v>
      </c>
      <c r="D11" s="10" t="n">
        <f aca="false">COUNTIFS(TRADE_LOG!$E$4:$E$5003,A11,TRADE_LOG!$AH$4:$AH$5003,"Loss")</f>
        <v>0</v>
      </c>
      <c r="E11" s="54" t="n">
        <f aca="false">IFERROR(C11/B11,0)</f>
        <v>1</v>
      </c>
      <c r="F11" s="56" t="n">
        <f aca="false">IFERROR(SUMIF(TRADE_LOG!$E$4:$E$5003,A11,TRADE_LOG!$AE$4:$AE$5003),0)</f>
        <v>1795</v>
      </c>
      <c r="G11" s="55" t="n">
        <f aca="false">IFERROR(AVERAGEIF(TRADE_LOG!$E$4:$E$5003,A11,TRADE_LOG!$AG$4:$AG$5003),0)</f>
        <v>2.39333333333333</v>
      </c>
      <c r="H11" s="55" t="n">
        <f aca="false">IFERROR(maxifs(TRADE_LOG!$AG$4:$AG$5003,TRADE_LOG!$E$4:$E$5003,A11),0)</f>
        <v>0</v>
      </c>
      <c r="I11" s="55" t="n">
        <f aca="false">IFERROR(minifs(TRADE_LOG!$AG$4:$AG$5003,TRADE_LOG!$E$4:$E$5003,A11),0)</f>
        <v>0</v>
      </c>
      <c r="J11" s="64" t="n">
        <f aca="false">IFERROR(AVERAGEIF(TRADE_LOG!$E$4:$E$5003,A11,TRADE_LOG!$AJ$4:$AJ$5003),0)</f>
        <v>1795</v>
      </c>
      <c r="K11" s="64" t="n">
        <f aca="false">IFERROR(SUMIF(TRADE_LOG!$E$4:$E$5003,A11,TRADE_LOG!$AJ$4:$AJ$5003),0)</f>
        <v>1795</v>
      </c>
      <c r="L11" s="10" t="n">
        <f aca="false">IFERROR(RANK(F11,$F$4:$F$15,0),"-")</f>
        <v>2</v>
      </c>
      <c r="M11" s="10" t="n">
        <f aca="false">COUNTIFS(TRADE_LOG!$E$4:$E$5003,A11,TRADE_LOG!$F$4:$F$5003,"Buy")</f>
        <v>1</v>
      </c>
      <c r="N11" s="10" t="n">
        <f aca="false">COUNTIFS(TRADE_LOG!$E$4:$E$5003,A11,TRADE_LOG!$F$4:$F$5003,"Sell")</f>
        <v>0</v>
      </c>
    </row>
    <row r="12" customFormat="false" ht="15" hidden="false" customHeight="false" outlineLevel="0" collapsed="false">
      <c r="A12" s="58" t="s">
        <v>89</v>
      </c>
      <c r="B12" s="10" t="n">
        <f aca="false">COUNTIF(TRADE_LOG!$E$4:$E$5003,A12)</f>
        <v>0</v>
      </c>
      <c r="C12" s="10" t="n">
        <f aca="false">COUNTIFS(TRADE_LOG!$E$4:$E$5003,A12,TRADE_LOG!$AH$4:$AH$5003,"Win")</f>
        <v>0</v>
      </c>
      <c r="D12" s="10" t="n">
        <f aca="false">COUNTIFS(TRADE_LOG!$E$4:$E$5003,A12,TRADE_LOG!$AH$4:$AH$5003,"Loss")</f>
        <v>0</v>
      </c>
      <c r="E12" s="54" t="n">
        <f aca="false">IFERROR(C12/B12,0)</f>
        <v>0</v>
      </c>
      <c r="F12" s="56" t="n">
        <f aca="false">IFERROR(SUMIF(TRADE_LOG!$E$4:$E$5003,A12,TRADE_LOG!$AE$4:$AE$5003),0)</f>
        <v>0</v>
      </c>
      <c r="G12" s="55" t="n">
        <f aca="false">IFERROR(AVERAGEIF(TRADE_LOG!$E$4:$E$5003,A12,TRADE_LOG!$AG$4:$AG$5003),0)</f>
        <v>0</v>
      </c>
      <c r="H12" s="55" t="n">
        <f aca="false">IFERROR(maxifs(TRADE_LOG!$AG$4:$AG$5003,TRADE_LOG!$E$4:$E$5003,A12),0)</f>
        <v>0</v>
      </c>
      <c r="I12" s="55" t="n">
        <f aca="false">IFERROR(minifs(TRADE_LOG!$AG$4:$AG$5003,TRADE_LOG!$E$4:$E$5003,A12),0)</f>
        <v>0</v>
      </c>
      <c r="J12" s="64" t="n">
        <f aca="false">IFERROR(AVERAGEIF(TRADE_LOG!$E$4:$E$5003,A12,TRADE_LOG!$AJ$4:$AJ$5003),0)</f>
        <v>0</v>
      </c>
      <c r="K12" s="64" t="n">
        <f aca="false">IFERROR(SUMIF(TRADE_LOG!$E$4:$E$5003,A12,TRADE_LOG!$AJ$4:$AJ$5003),0)</f>
        <v>0</v>
      </c>
      <c r="L12" s="10" t="n">
        <f aca="false">IFERROR(RANK(F12,$F$4:$F$15,0),"-")</f>
        <v>5</v>
      </c>
      <c r="M12" s="10" t="n">
        <f aca="false">COUNTIFS(TRADE_LOG!$E$4:$E$5003,A12,TRADE_LOG!$F$4:$F$5003,"Buy")</f>
        <v>0</v>
      </c>
      <c r="N12" s="10" t="n">
        <f aca="false">COUNTIFS(TRADE_LOG!$E$4:$E$5003,A12,TRADE_LOG!$F$4:$F$5003,"Sell")</f>
        <v>0</v>
      </c>
    </row>
    <row r="13" customFormat="false" ht="15" hidden="false" customHeight="false" outlineLevel="0" collapsed="false">
      <c r="A13" s="53" t="s">
        <v>92</v>
      </c>
      <c r="B13" s="10" t="n">
        <f aca="false">COUNTIF(TRADE_LOG!$E$4:$E$5003,A13)</f>
        <v>0</v>
      </c>
      <c r="C13" s="10" t="n">
        <f aca="false">COUNTIFS(TRADE_LOG!$E$4:$E$5003,A13,TRADE_LOG!$AH$4:$AH$5003,"Win")</f>
        <v>0</v>
      </c>
      <c r="D13" s="10" t="n">
        <f aca="false">COUNTIFS(TRADE_LOG!$E$4:$E$5003,A13,TRADE_LOG!$AH$4:$AH$5003,"Loss")</f>
        <v>0</v>
      </c>
      <c r="E13" s="54" t="n">
        <f aca="false">IFERROR(C13/B13,0)</f>
        <v>0</v>
      </c>
      <c r="F13" s="56" t="n">
        <f aca="false">IFERROR(SUMIF(TRADE_LOG!$E$4:$E$5003,A13,TRADE_LOG!$AE$4:$AE$5003),0)</f>
        <v>0</v>
      </c>
      <c r="G13" s="55" t="n">
        <f aca="false">IFERROR(AVERAGEIF(TRADE_LOG!$E$4:$E$5003,A13,TRADE_LOG!$AG$4:$AG$5003),0)</f>
        <v>0</v>
      </c>
      <c r="H13" s="55" t="n">
        <f aca="false">IFERROR(maxifs(TRADE_LOG!$AG$4:$AG$5003,TRADE_LOG!$E$4:$E$5003,A13),0)</f>
        <v>0</v>
      </c>
      <c r="I13" s="55" t="n">
        <f aca="false">IFERROR(minifs(TRADE_LOG!$AG$4:$AG$5003,TRADE_LOG!$E$4:$E$5003,A13),0)</f>
        <v>0</v>
      </c>
      <c r="J13" s="64" t="n">
        <f aca="false">IFERROR(AVERAGEIF(TRADE_LOG!$E$4:$E$5003,A13,TRADE_LOG!$AJ$4:$AJ$5003),0)</f>
        <v>0</v>
      </c>
      <c r="K13" s="64" t="n">
        <f aca="false">IFERROR(SUMIF(TRADE_LOG!$E$4:$E$5003,A13,TRADE_LOG!$AJ$4:$AJ$5003),0)</f>
        <v>0</v>
      </c>
      <c r="L13" s="10" t="n">
        <f aca="false">IFERROR(RANK(F13,$F$4:$F$15,0),"-")</f>
        <v>5</v>
      </c>
      <c r="M13" s="10" t="n">
        <f aca="false">COUNTIFS(TRADE_LOG!$E$4:$E$5003,A13,TRADE_LOG!$F$4:$F$5003,"Buy")</f>
        <v>0</v>
      </c>
      <c r="N13" s="10" t="n">
        <f aca="false">COUNTIFS(TRADE_LOG!$E$4:$E$5003,A13,TRADE_LOG!$F$4:$F$5003,"Sell")</f>
        <v>0</v>
      </c>
    </row>
    <row r="14" customFormat="false" ht="15" hidden="false" customHeight="false" outlineLevel="0" collapsed="false">
      <c r="A14" s="58" t="s">
        <v>94</v>
      </c>
      <c r="B14" s="10" t="n">
        <f aca="false">COUNTIF(TRADE_LOG!$E$4:$E$5003,A14)</f>
        <v>0</v>
      </c>
      <c r="C14" s="10" t="n">
        <f aca="false">COUNTIFS(TRADE_LOG!$E$4:$E$5003,A14,TRADE_LOG!$AH$4:$AH$5003,"Win")</f>
        <v>0</v>
      </c>
      <c r="D14" s="10" t="n">
        <f aca="false">COUNTIFS(TRADE_LOG!$E$4:$E$5003,A14,TRADE_LOG!$AH$4:$AH$5003,"Loss")</f>
        <v>0</v>
      </c>
      <c r="E14" s="54" t="n">
        <f aca="false">IFERROR(C14/B14,0)</f>
        <v>0</v>
      </c>
      <c r="F14" s="56" t="n">
        <f aca="false">IFERROR(SUMIF(TRADE_LOG!$E$4:$E$5003,A14,TRADE_LOG!$AE$4:$AE$5003),0)</f>
        <v>0</v>
      </c>
      <c r="G14" s="55" t="n">
        <f aca="false">IFERROR(AVERAGEIF(TRADE_LOG!$E$4:$E$5003,A14,TRADE_LOG!$AG$4:$AG$5003),0)</f>
        <v>0</v>
      </c>
      <c r="H14" s="55" t="n">
        <f aca="false">IFERROR(maxifs(TRADE_LOG!$AG$4:$AG$5003,TRADE_LOG!$E$4:$E$5003,A14),0)</f>
        <v>0</v>
      </c>
      <c r="I14" s="55" t="n">
        <f aca="false">IFERROR(minifs(TRADE_LOG!$AG$4:$AG$5003,TRADE_LOG!$E$4:$E$5003,A14),0)</f>
        <v>0</v>
      </c>
      <c r="J14" s="64" t="n">
        <f aca="false">IFERROR(AVERAGEIF(TRADE_LOG!$E$4:$E$5003,A14,TRADE_LOG!$AJ$4:$AJ$5003),0)</f>
        <v>0</v>
      </c>
      <c r="K14" s="64" t="n">
        <f aca="false">IFERROR(SUMIF(TRADE_LOG!$E$4:$E$5003,A14,TRADE_LOG!$AJ$4:$AJ$5003),0)</f>
        <v>0</v>
      </c>
      <c r="L14" s="10" t="n">
        <f aca="false">IFERROR(RANK(F14,$F$4:$F$15,0),"-")</f>
        <v>5</v>
      </c>
      <c r="M14" s="10" t="n">
        <f aca="false">COUNTIFS(TRADE_LOG!$E$4:$E$5003,A14,TRADE_LOG!$F$4:$F$5003,"Buy")</f>
        <v>0</v>
      </c>
      <c r="N14" s="10" t="n">
        <f aca="false">COUNTIFS(TRADE_LOG!$E$4:$E$5003,A14,TRADE_LOG!$F$4:$F$5003,"Sell")</f>
        <v>0</v>
      </c>
    </row>
    <row r="15" customFormat="false" ht="15" hidden="false" customHeight="false" outlineLevel="0" collapsed="false">
      <c r="A15" s="53" t="s">
        <v>30</v>
      </c>
      <c r="B15" s="10" t="n">
        <f aca="false">COUNTIF(TRADE_LOG!$E$4:$E$5003,A15)</f>
        <v>0</v>
      </c>
      <c r="C15" s="10" t="n">
        <f aca="false">COUNTIFS(TRADE_LOG!$E$4:$E$5003,A15,TRADE_LOG!$AH$4:$AH$5003,"Win")</f>
        <v>0</v>
      </c>
      <c r="D15" s="10" t="n">
        <f aca="false">COUNTIFS(TRADE_LOG!$E$4:$E$5003,A15,TRADE_LOG!$AH$4:$AH$5003,"Loss")</f>
        <v>0</v>
      </c>
      <c r="E15" s="54" t="n">
        <f aca="false">IFERROR(C15/B15,0)</f>
        <v>0</v>
      </c>
      <c r="F15" s="56" t="n">
        <f aca="false">IFERROR(SUMIF(TRADE_LOG!$E$4:$E$5003,A15,TRADE_LOG!$AE$4:$AE$5003),0)</f>
        <v>0</v>
      </c>
      <c r="G15" s="55" t="n">
        <f aca="false">IFERROR(AVERAGEIF(TRADE_LOG!$E$4:$E$5003,A15,TRADE_LOG!$AG$4:$AG$5003),0)</f>
        <v>0</v>
      </c>
      <c r="H15" s="55" t="n">
        <f aca="false">IFERROR(maxifs(TRADE_LOG!$AG$4:$AG$5003,TRADE_LOG!$E$4:$E$5003,A15),0)</f>
        <v>0</v>
      </c>
      <c r="I15" s="55" t="n">
        <f aca="false">IFERROR(minifs(TRADE_LOG!$AG$4:$AG$5003,TRADE_LOG!$E$4:$E$5003,A15),0)</f>
        <v>0</v>
      </c>
      <c r="J15" s="64" t="n">
        <f aca="false">IFERROR(AVERAGEIF(TRADE_LOG!$E$4:$E$5003,A15,TRADE_LOG!$AJ$4:$AJ$5003),0)</f>
        <v>0</v>
      </c>
      <c r="K15" s="64" t="n">
        <f aca="false">IFERROR(SUMIF(TRADE_LOG!$E$4:$E$5003,A15,TRADE_LOG!$AJ$4:$AJ$5003),0)</f>
        <v>0</v>
      </c>
      <c r="L15" s="10" t="n">
        <f aca="false">IFERROR(RANK(F15,$F$4:$F$15,0),"-")</f>
        <v>5</v>
      </c>
      <c r="M15" s="10" t="n">
        <f aca="false">COUNTIFS(TRADE_LOG!$E$4:$E$5003,A15,TRADE_LOG!$F$4:$F$5003,"Buy")</f>
        <v>0</v>
      </c>
      <c r="N15" s="10" t="n">
        <f aca="false">COUNTIFS(TRADE_LOG!$E$4:$E$5003,A15,TRADE_LOG!$F$4:$F$5003,"Sell")</f>
        <v>0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1">
    <mergeCell ref="A1:N1"/>
  </mergeCells>
  <conditionalFormatting sqref="F4:F15">
    <cfRule type="colorScale" priority="2">
      <colorScale>
        <cfvo type="min" val="0"/>
        <cfvo type="num" val="0"/>
        <cfvo type="max" val="0"/>
        <color rgb="FFE63946"/>
        <color rgb="FF222222"/>
        <color rgb="FF2DC653"/>
      </colorScale>
    </cfRule>
  </conditionalFormatting>
  <conditionalFormatting sqref="E4:E15">
    <cfRule type="colorScale" priority="3">
      <colorScale>
        <cfvo type="num" val="0"/>
        <cfvo type="num" val="0.5"/>
        <cfvo type="num" val="1"/>
        <color rgb="FFE63946"/>
        <color rgb="FFFFB703"/>
        <color rgb="FF2DC65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8"/>
    <col collapsed="false" customWidth="true" hidden="false" outlineLevel="0" max="5" min="4" style="0" width="7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5" t="s">
        <v>200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2"/>
      <c r="T1" s="2"/>
    </row>
    <row r="2" customFormat="false" ht="15" hidden="false" customHeight="false" outlineLevel="0" collapsed="false">
      <c r="A2" s="3" t="s">
        <v>201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65" t="s">
        <v>202</v>
      </c>
      <c r="B4" s="66" t="n">
        <v>2024</v>
      </c>
      <c r="C4" s="65" t="s">
        <v>203</v>
      </c>
      <c r="D4" s="66" t="n">
        <v>1</v>
      </c>
      <c r="E4" s="67" t="s">
        <v>204</v>
      </c>
      <c r="F4" s="68" t="n">
        <f aca="false">SUMPRODUCT((MONTH(TRADE_LOG!B4:B5003)=D4)*(YEAR(TRADE_LOG!B4:B5003)=B4)*N(TRADE_LOG!AG4:AG5003))</f>
        <v>9.23929042904278</v>
      </c>
      <c r="G4" s="67" t="s">
        <v>205</v>
      </c>
      <c r="H4" s="68" t="n">
        <f aca="false">SUMPRODUCT((MONTH(TRADE_LOG!B4:B5003)=D4)*(YEAR(TRADE_LOG!B4:B5003)=B4)*N(TRADE_LOG!AE4:AE5003))</f>
        <v>5217.97854785472</v>
      </c>
      <c r="I4" s="67" t="s">
        <v>206</v>
      </c>
      <c r="J4" s="68" t="n">
        <f aca="false">SUMPRODUCT((MONTH(TRADE_LOG!B4:B5003)=D4)*(YEAR(TRADE_LOG!B4:B5003)=B4)*(TRADE_LOG!B4:B5003&lt;&gt;""))</f>
        <v>5</v>
      </c>
      <c r="K4" s="67" t="s">
        <v>207</v>
      </c>
      <c r="L4" s="68" t="n">
        <f aca="false">COUNTIF(F7:F37,"&gt;0.05")</f>
        <v>5</v>
      </c>
      <c r="M4" s="67" t="s">
        <v>208</v>
      </c>
      <c r="N4" s="68" t="n">
        <f aca="false">COUNTIF(F7:F37,"&lt;-0.05")</f>
        <v>0</v>
      </c>
      <c r="O4" s="67" t="s">
        <v>209</v>
      </c>
      <c r="P4" s="68" t="n">
        <f aca="false">IFERROR(L4/(L4+N4),0)</f>
        <v>1</v>
      </c>
      <c r="Q4" s="2"/>
      <c r="R4" s="2"/>
      <c r="S4" s="2"/>
      <c r="T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24" hidden="false" customHeight="true" outlineLevel="0" collapsed="false">
      <c r="A6" s="9" t="s">
        <v>210</v>
      </c>
      <c r="B6" s="9" t="s">
        <v>211</v>
      </c>
      <c r="C6" s="9" t="s">
        <v>212</v>
      </c>
      <c r="D6" s="9" t="s">
        <v>180</v>
      </c>
      <c r="E6" s="9" t="s">
        <v>181</v>
      </c>
      <c r="F6" s="9" t="s">
        <v>213</v>
      </c>
      <c r="G6" s="9" t="s">
        <v>194</v>
      </c>
      <c r="H6" s="9" t="s">
        <v>214</v>
      </c>
      <c r="I6" s="9" t="s">
        <v>215</v>
      </c>
      <c r="J6" s="9" t="s">
        <v>216</v>
      </c>
      <c r="K6" s="9" t="s">
        <v>141</v>
      </c>
      <c r="L6" s="9" t="s">
        <v>217</v>
      </c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69" t="n">
        <f aca="false">IFERROR(IF(DAY(DATE($B$4,$D$4,1))=1,DATE($B$4,$D$4,1),""),"")</f>
        <v>45292</v>
      </c>
      <c r="B7" s="10" t="str">
        <f aca="false">IF(A7="","",TEXT(A7,"DDD"))</f>
        <v>Mon</v>
      </c>
      <c r="C7" s="10" t="n">
        <f aca="false">IF(A7="","",COUNTIF(TRADE_LOG!$B$4:$B$5003,A7))</f>
        <v>0</v>
      </c>
      <c r="D7" s="10" t="n">
        <f aca="false">IF(A7="","",COUNTIFS(TRADE_LOG!$B$4:$B$5003,A7,TRADE_LOG!$AH$4:$AH$5003,"Win"))</f>
        <v>0</v>
      </c>
      <c r="E7" s="10" t="n">
        <f aca="false">IF(A7="","",COUNTIFS(TRADE_LOG!$B$4:$B$5003,A7,TRADE_LOG!$AH$4:$AH$5003,"Loss"))</f>
        <v>0</v>
      </c>
      <c r="F7" s="55" t="n">
        <f aca="false">IF(A7="","",SUMPRODUCT((TRADE_LOG!$B$4:$B$5003=A7)*N(TRADE_LOG!$AG$4:$AG$5003)))</f>
        <v>0</v>
      </c>
      <c r="G7" s="56" t="n">
        <f aca="false">IF(A7="","",SUMPRODUCT((TRADE_LOG!$B$4:$B$5003=A7)*N(TRADE_LOG!$AE$4:$AE$5003)))</f>
        <v>0</v>
      </c>
      <c r="H7" s="55" t="n">
        <f aca="false">IF(A7="","",IFERROR(maxifs(TRADE_LOG!$AG$4:$AG$5003,TRADE_LOG!$B$4:$B$5003,A7,TRADE_LOG!$AG$4:$AG$5003,"&lt;&gt;"),0))</f>
        <v>0</v>
      </c>
      <c r="I7" s="55" t="n">
        <f aca="false">IF(A7="","",IFERROR(minifs(TRADE_LOG!$AG$4:$AG$5003,TRADE_LOG!$B$4:$B$5003,A7,TRADE_LOG!$AG$4:$AG$5003,"&lt;&gt;"),0))</f>
        <v>0</v>
      </c>
      <c r="J7" s="64" t="n">
        <f aca="false">IF(A7="","",SUMPRODUCT((TRADE_LOG!$B$4:$B$5003=A7)*N(TRADE_LOG!$AJ$4:$AJ$5003)))</f>
        <v>0</v>
      </c>
      <c r="K7" s="56" t="n">
        <f aca="false">IF(A7="","",SETTINGS!$B$6+SUMPRODUCT((TRADE_LOG!$B$4:$B$5003&lt;&gt;"")*N(TRADE_LOG!$B$4:$B$5003&lt;=A7)*N(TRADE_LOG!$AE$4:$AE$5003)))</f>
        <v>50000</v>
      </c>
      <c r="L7" s="10" t="str">
        <f aca="false">IF(A7="","",IF(C7=0,"—",IF(F7&gt;0.05,"✅ WIN DAY",IF(F7&lt;-0.05,"❌ LOSS DAY","🔶 BE DAY"))))</f>
        <v>—</v>
      </c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69" t="n">
        <f aca="false">IFERROR(IF(DAY(DATE($B$4,$D$4,2))=2,DATE($B$4,$D$4,2),""),"")</f>
        <v>45293</v>
      </c>
      <c r="B8" s="10" t="str">
        <f aca="false">IF(A8="","",TEXT(A8,"DDD"))</f>
        <v>Tue</v>
      </c>
      <c r="C8" s="10" t="n">
        <f aca="false">IF(A8="","",COUNTIF(TRADE_LOG!$B$4:$B$5003,A8))</f>
        <v>0</v>
      </c>
      <c r="D8" s="10" t="n">
        <f aca="false">IF(A8="","",COUNTIFS(TRADE_LOG!$B$4:$B$5003,A8,TRADE_LOG!$AH$4:$AH$5003,"Win"))</f>
        <v>0</v>
      </c>
      <c r="E8" s="10" t="n">
        <f aca="false">IF(A8="","",COUNTIFS(TRADE_LOG!$B$4:$B$5003,A8,TRADE_LOG!$AH$4:$AH$5003,"Loss"))</f>
        <v>0</v>
      </c>
      <c r="F8" s="55" t="n">
        <f aca="false">IF(A8="","",SUMPRODUCT((TRADE_LOG!$B$4:$B$5003=A8)*N(TRADE_LOG!$AG$4:$AG$5003)))</f>
        <v>0</v>
      </c>
      <c r="G8" s="56" t="n">
        <f aca="false">IF(A8="","",SUMPRODUCT((TRADE_LOG!$B$4:$B$5003=A8)*N(TRADE_LOG!$AE$4:$AE$5003)))</f>
        <v>0</v>
      </c>
      <c r="H8" s="55" t="n">
        <f aca="false">IF(A8="","",IFERROR(maxifs(TRADE_LOG!$AG$4:$AG$5003,TRADE_LOG!$B$4:$B$5003,A8,TRADE_LOG!$AG$4:$AG$5003,"&lt;&gt;"),0))</f>
        <v>0</v>
      </c>
      <c r="I8" s="55" t="n">
        <f aca="false">IF(A8="","",IFERROR(minifs(TRADE_LOG!$AG$4:$AG$5003,TRADE_LOG!$B$4:$B$5003,A8,TRADE_LOG!$AG$4:$AG$5003,"&lt;&gt;"),0))</f>
        <v>0</v>
      </c>
      <c r="J8" s="64" t="n">
        <f aca="false">IF(A8="","",SUMPRODUCT((TRADE_LOG!$B$4:$B$5003=A8)*N(TRADE_LOG!$AJ$4:$AJ$5003)))</f>
        <v>0</v>
      </c>
      <c r="K8" s="56" t="n">
        <f aca="false">IF(A8="","",SETTINGS!$B$6+SUMPRODUCT((TRADE_LOG!$B$4:$B$5003&lt;&gt;"")*N(TRADE_LOG!$B$4:$B$5003&lt;=A8)*N(TRADE_LOG!$AE$4:$AE$5003)))</f>
        <v>50000</v>
      </c>
      <c r="L8" s="10" t="str">
        <f aca="false">IF(A8="","",IF(C8=0,"—",IF(F8&gt;0.05,"✅ WIN DAY",IF(F8&lt;-0.05,"❌ LOSS DAY","🔶 BE DAY"))))</f>
        <v>—</v>
      </c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69" t="n">
        <f aca="false">IFERROR(IF(DAY(DATE($B$4,$D$4,3))=3,DATE($B$4,$D$4,3),""),"")</f>
        <v>45294</v>
      </c>
      <c r="B9" s="10" t="str">
        <f aca="false">IF(A9="","",TEXT(A9,"DDD"))</f>
        <v>Wed</v>
      </c>
      <c r="C9" s="10" t="n">
        <f aca="false">IF(A9="","",COUNTIF(TRADE_LOG!$B$4:$B$5003,A9))</f>
        <v>0</v>
      </c>
      <c r="D9" s="10" t="n">
        <f aca="false">IF(A9="","",COUNTIFS(TRADE_LOG!$B$4:$B$5003,A9,TRADE_LOG!$AH$4:$AH$5003,"Win"))</f>
        <v>0</v>
      </c>
      <c r="E9" s="10" t="n">
        <f aca="false">IF(A9="","",COUNTIFS(TRADE_LOG!$B$4:$B$5003,A9,TRADE_LOG!$AH$4:$AH$5003,"Loss"))</f>
        <v>0</v>
      </c>
      <c r="F9" s="55" t="n">
        <f aca="false">IF(A9="","",SUMPRODUCT((TRADE_LOG!$B$4:$B$5003=A9)*N(TRADE_LOG!$AG$4:$AG$5003)))</f>
        <v>0</v>
      </c>
      <c r="G9" s="56" t="n">
        <f aca="false">IF(A9="","",SUMPRODUCT((TRADE_LOG!$B$4:$B$5003=A9)*N(TRADE_LOG!$AE$4:$AE$5003)))</f>
        <v>0</v>
      </c>
      <c r="H9" s="55" t="n">
        <f aca="false">IF(A9="","",IFERROR(maxifs(TRADE_LOG!$AG$4:$AG$5003,TRADE_LOG!$B$4:$B$5003,A9,TRADE_LOG!$AG$4:$AG$5003,"&lt;&gt;"),0))</f>
        <v>0</v>
      </c>
      <c r="I9" s="55" t="n">
        <f aca="false">IF(A9="","",IFERROR(minifs(TRADE_LOG!$AG$4:$AG$5003,TRADE_LOG!$B$4:$B$5003,A9,TRADE_LOG!$AG$4:$AG$5003,"&lt;&gt;"),0))</f>
        <v>0</v>
      </c>
      <c r="J9" s="64" t="n">
        <f aca="false">IF(A9="","",SUMPRODUCT((TRADE_LOG!$B$4:$B$5003=A9)*N(TRADE_LOG!$AJ$4:$AJ$5003)))</f>
        <v>0</v>
      </c>
      <c r="K9" s="56" t="n">
        <f aca="false">IF(A9="","",SETTINGS!$B$6+SUMPRODUCT((TRADE_LOG!$B$4:$B$5003&lt;&gt;"")*N(TRADE_LOG!$B$4:$B$5003&lt;=A9)*N(TRADE_LOG!$AE$4:$AE$5003)))</f>
        <v>50000</v>
      </c>
      <c r="L9" s="10" t="str">
        <f aca="false">IF(A9="","",IF(C9=0,"—",IF(F9&gt;0.05,"✅ WIN DAY",IF(F9&lt;-0.05,"❌ LOSS DAY","🔶 BE DAY"))))</f>
        <v>—</v>
      </c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69" t="n">
        <f aca="false">IFERROR(IF(DAY(DATE($B$4,$D$4,4))=4,DATE($B$4,$D$4,4),""),"")</f>
        <v>45295</v>
      </c>
      <c r="B10" s="10" t="str">
        <f aca="false">IF(A10="","",TEXT(A10,"DDD"))</f>
        <v>Thu</v>
      </c>
      <c r="C10" s="10" t="n">
        <f aca="false">IF(A10="","",COUNTIF(TRADE_LOG!$B$4:$B$5003,A10))</f>
        <v>0</v>
      </c>
      <c r="D10" s="10" t="n">
        <f aca="false">IF(A10="","",COUNTIFS(TRADE_LOG!$B$4:$B$5003,A10,TRADE_LOG!$AH$4:$AH$5003,"Win"))</f>
        <v>0</v>
      </c>
      <c r="E10" s="10" t="n">
        <f aca="false">IF(A10="","",COUNTIFS(TRADE_LOG!$B$4:$B$5003,A10,TRADE_LOG!$AH$4:$AH$5003,"Loss"))</f>
        <v>0</v>
      </c>
      <c r="F10" s="55" t="n">
        <f aca="false">IF(A10="","",SUMPRODUCT((TRADE_LOG!$B$4:$B$5003=A10)*N(TRADE_LOG!$AG$4:$AG$5003)))</f>
        <v>0</v>
      </c>
      <c r="G10" s="56" t="n">
        <f aca="false">IF(A10="","",SUMPRODUCT((TRADE_LOG!$B$4:$B$5003=A10)*N(TRADE_LOG!$AE$4:$AE$5003)))</f>
        <v>0</v>
      </c>
      <c r="H10" s="55" t="n">
        <f aca="false">IF(A10="","",IFERROR(maxifs(TRADE_LOG!$AG$4:$AG$5003,TRADE_LOG!$B$4:$B$5003,A10,TRADE_LOG!$AG$4:$AG$5003,"&lt;&gt;"),0))</f>
        <v>0</v>
      </c>
      <c r="I10" s="55" t="n">
        <f aca="false">IF(A10="","",IFERROR(minifs(TRADE_LOG!$AG$4:$AG$5003,TRADE_LOG!$B$4:$B$5003,A10,TRADE_LOG!$AG$4:$AG$5003,"&lt;&gt;"),0))</f>
        <v>0</v>
      </c>
      <c r="J10" s="64" t="n">
        <f aca="false">IF(A10="","",SUMPRODUCT((TRADE_LOG!$B$4:$B$5003=A10)*N(TRADE_LOG!$AJ$4:$AJ$5003)))</f>
        <v>0</v>
      </c>
      <c r="K10" s="56" t="n">
        <f aca="false">IF(A10="","",SETTINGS!$B$6+SUMPRODUCT((TRADE_LOG!$B$4:$B$5003&lt;&gt;"")*N(TRADE_LOG!$B$4:$B$5003&lt;=A10)*N(TRADE_LOG!$AE$4:$AE$5003)))</f>
        <v>50000</v>
      </c>
      <c r="L10" s="10" t="str">
        <f aca="false">IF(A10="","",IF(C10=0,"—",IF(F10&gt;0.05,"✅ WIN DAY",IF(F10&lt;-0.05,"❌ LOSS DAY","🔶 BE DAY"))))</f>
        <v>—</v>
      </c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69" t="n">
        <f aca="false">IFERROR(IF(DAY(DATE($B$4,$D$4,5))=5,DATE($B$4,$D$4,5),""),"")</f>
        <v>45296</v>
      </c>
      <c r="B11" s="10" t="str">
        <f aca="false">IF(A11="","",TEXT(A11,"DDD"))</f>
        <v>Fri</v>
      </c>
      <c r="C11" s="10" t="n">
        <f aca="false">IF(A11="","",COUNTIF(TRADE_LOG!$B$4:$B$5003,A11))</f>
        <v>0</v>
      </c>
      <c r="D11" s="10" t="n">
        <f aca="false">IF(A11="","",COUNTIFS(TRADE_LOG!$B$4:$B$5003,A11,TRADE_LOG!$AH$4:$AH$5003,"Win"))</f>
        <v>0</v>
      </c>
      <c r="E11" s="10" t="n">
        <f aca="false">IF(A11="","",COUNTIFS(TRADE_LOG!$B$4:$B$5003,A11,TRADE_LOG!$AH$4:$AH$5003,"Loss"))</f>
        <v>0</v>
      </c>
      <c r="F11" s="55" t="n">
        <f aca="false">IF(A11="","",SUMPRODUCT((TRADE_LOG!$B$4:$B$5003=A11)*N(TRADE_LOG!$AG$4:$AG$5003)))</f>
        <v>0</v>
      </c>
      <c r="G11" s="56" t="n">
        <f aca="false">IF(A11="","",SUMPRODUCT((TRADE_LOG!$B$4:$B$5003=A11)*N(TRADE_LOG!$AE$4:$AE$5003)))</f>
        <v>0</v>
      </c>
      <c r="H11" s="55" t="n">
        <f aca="false">IF(A11="","",IFERROR(maxifs(TRADE_LOG!$AG$4:$AG$5003,TRADE_LOG!$B$4:$B$5003,A11,TRADE_LOG!$AG$4:$AG$5003,"&lt;&gt;"),0))</f>
        <v>0</v>
      </c>
      <c r="I11" s="55" t="n">
        <f aca="false">IF(A11="","",IFERROR(minifs(TRADE_LOG!$AG$4:$AG$5003,TRADE_LOG!$B$4:$B$5003,A11,TRADE_LOG!$AG$4:$AG$5003,"&lt;&gt;"),0))</f>
        <v>0</v>
      </c>
      <c r="J11" s="64" t="n">
        <f aca="false">IF(A11="","",SUMPRODUCT((TRADE_LOG!$B$4:$B$5003=A11)*N(TRADE_LOG!$AJ$4:$AJ$5003)))</f>
        <v>0</v>
      </c>
      <c r="K11" s="56" t="n">
        <f aca="false">IF(A11="","",SETTINGS!$B$6+SUMPRODUCT((TRADE_LOG!$B$4:$B$5003&lt;&gt;"")*N(TRADE_LOG!$B$4:$B$5003&lt;=A11)*N(TRADE_LOG!$AE$4:$AE$5003)))</f>
        <v>50000</v>
      </c>
      <c r="L11" s="10" t="str">
        <f aca="false">IF(A11="","",IF(C11=0,"—",IF(F11&gt;0.05,"✅ WIN DAY",IF(F11&lt;-0.05,"❌ LOSS DAY","🔶 BE DAY"))))</f>
        <v>—</v>
      </c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69" t="n">
        <f aca="false">IFERROR(IF(DAY(DATE($B$4,$D$4,6))=6,DATE($B$4,$D$4,6),""),"")</f>
        <v>45297</v>
      </c>
      <c r="B12" s="10" t="str">
        <f aca="false">IF(A12="","",TEXT(A12,"DDD"))</f>
        <v>Sat</v>
      </c>
      <c r="C12" s="10" t="n">
        <f aca="false">IF(A12="","",COUNTIF(TRADE_LOG!$B$4:$B$5003,A12))</f>
        <v>0</v>
      </c>
      <c r="D12" s="10" t="n">
        <f aca="false">IF(A12="","",COUNTIFS(TRADE_LOG!$B$4:$B$5003,A12,TRADE_LOG!$AH$4:$AH$5003,"Win"))</f>
        <v>0</v>
      </c>
      <c r="E12" s="10" t="n">
        <f aca="false">IF(A12="","",COUNTIFS(TRADE_LOG!$B$4:$B$5003,A12,TRADE_LOG!$AH$4:$AH$5003,"Loss"))</f>
        <v>0</v>
      </c>
      <c r="F12" s="55" t="n">
        <f aca="false">IF(A12="","",SUMPRODUCT((TRADE_LOG!$B$4:$B$5003=A12)*N(TRADE_LOG!$AG$4:$AG$5003)))</f>
        <v>0</v>
      </c>
      <c r="G12" s="56" t="n">
        <f aca="false">IF(A12="","",SUMPRODUCT((TRADE_LOG!$B$4:$B$5003=A12)*N(TRADE_LOG!$AE$4:$AE$5003)))</f>
        <v>0</v>
      </c>
      <c r="H12" s="55" t="n">
        <f aca="false">IF(A12="","",IFERROR(maxifs(TRADE_LOG!$AG$4:$AG$5003,TRADE_LOG!$B$4:$B$5003,A12,TRADE_LOG!$AG$4:$AG$5003,"&lt;&gt;"),0))</f>
        <v>0</v>
      </c>
      <c r="I12" s="55" t="n">
        <f aca="false">IF(A12="","",IFERROR(minifs(TRADE_LOG!$AG$4:$AG$5003,TRADE_LOG!$B$4:$B$5003,A12,TRADE_LOG!$AG$4:$AG$5003,"&lt;&gt;"),0))</f>
        <v>0</v>
      </c>
      <c r="J12" s="64" t="n">
        <f aca="false">IF(A12="","",SUMPRODUCT((TRADE_LOG!$B$4:$B$5003=A12)*N(TRADE_LOG!$AJ$4:$AJ$5003)))</f>
        <v>0</v>
      </c>
      <c r="K12" s="56" t="n">
        <f aca="false">IF(A12="","",SETTINGS!$B$6+SUMPRODUCT((TRADE_LOG!$B$4:$B$5003&lt;&gt;"")*N(TRADE_LOG!$B$4:$B$5003&lt;=A12)*N(TRADE_LOG!$AE$4:$AE$5003)))</f>
        <v>50000</v>
      </c>
      <c r="L12" s="10" t="str">
        <f aca="false">IF(A12="","",IF(C12=0,"—",IF(F12&gt;0.05,"✅ WIN DAY",IF(F12&lt;-0.05,"❌ LOSS DAY","🔶 BE DAY"))))</f>
        <v>—</v>
      </c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69" t="n">
        <f aca="false">IFERROR(IF(DAY(DATE($B$4,$D$4,7))=7,DATE($B$4,$D$4,7),""),"")</f>
        <v>45298</v>
      </c>
      <c r="B13" s="10" t="str">
        <f aca="false">IF(A13="","",TEXT(A13,"DDD"))</f>
        <v>Sun</v>
      </c>
      <c r="C13" s="10" t="n">
        <f aca="false">IF(A13="","",COUNTIF(TRADE_LOG!$B$4:$B$5003,A13))</f>
        <v>0</v>
      </c>
      <c r="D13" s="10" t="n">
        <f aca="false">IF(A13="","",COUNTIFS(TRADE_LOG!$B$4:$B$5003,A13,TRADE_LOG!$AH$4:$AH$5003,"Win"))</f>
        <v>0</v>
      </c>
      <c r="E13" s="10" t="n">
        <f aca="false">IF(A13="","",COUNTIFS(TRADE_LOG!$B$4:$B$5003,A13,TRADE_LOG!$AH$4:$AH$5003,"Loss"))</f>
        <v>0</v>
      </c>
      <c r="F13" s="55" t="n">
        <f aca="false">IF(A13="","",SUMPRODUCT((TRADE_LOG!$B$4:$B$5003=A13)*N(TRADE_LOG!$AG$4:$AG$5003)))</f>
        <v>0</v>
      </c>
      <c r="G13" s="56" t="n">
        <f aca="false">IF(A13="","",SUMPRODUCT((TRADE_LOG!$B$4:$B$5003=A13)*N(TRADE_LOG!$AE$4:$AE$5003)))</f>
        <v>0</v>
      </c>
      <c r="H13" s="55" t="n">
        <f aca="false">IF(A13="","",IFERROR(maxifs(TRADE_LOG!$AG$4:$AG$5003,TRADE_LOG!$B$4:$B$5003,A13,TRADE_LOG!$AG$4:$AG$5003,"&lt;&gt;"),0))</f>
        <v>0</v>
      </c>
      <c r="I13" s="55" t="n">
        <f aca="false">IF(A13="","",IFERROR(minifs(TRADE_LOG!$AG$4:$AG$5003,TRADE_LOG!$B$4:$B$5003,A13,TRADE_LOG!$AG$4:$AG$5003,"&lt;&gt;"),0))</f>
        <v>0</v>
      </c>
      <c r="J13" s="64" t="n">
        <f aca="false">IF(A13="","",SUMPRODUCT((TRADE_LOG!$B$4:$B$5003=A13)*N(TRADE_LOG!$AJ$4:$AJ$5003)))</f>
        <v>0</v>
      </c>
      <c r="K13" s="56" t="n">
        <f aca="false">IF(A13="","",SETTINGS!$B$6+SUMPRODUCT((TRADE_LOG!$B$4:$B$5003&lt;&gt;"")*N(TRADE_LOG!$B$4:$B$5003&lt;=A13)*N(TRADE_LOG!$AE$4:$AE$5003)))</f>
        <v>50000</v>
      </c>
      <c r="L13" s="10" t="str">
        <f aca="false">IF(A13="","",IF(C13=0,"—",IF(F13&gt;0.05,"✅ WIN DAY",IF(F13&lt;-0.05,"❌ LOSS DAY","🔶 BE DAY"))))</f>
        <v>—</v>
      </c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69" t="n">
        <f aca="false">IFERROR(IF(DAY(DATE($B$4,$D$4,8))=8,DATE($B$4,$D$4,8),""),"")</f>
        <v>45299</v>
      </c>
      <c r="B14" s="10" t="str">
        <f aca="false">IF(A14="","",TEXT(A14,"DDD"))</f>
        <v>Mon</v>
      </c>
      <c r="C14" s="10" t="n">
        <f aca="false">IF(A14="","",COUNTIF(TRADE_LOG!$B$4:$B$5003,A14))</f>
        <v>0</v>
      </c>
      <c r="D14" s="10" t="n">
        <f aca="false">IF(A14="","",COUNTIFS(TRADE_LOG!$B$4:$B$5003,A14,TRADE_LOG!$AH$4:$AH$5003,"Win"))</f>
        <v>0</v>
      </c>
      <c r="E14" s="10" t="n">
        <f aca="false">IF(A14="","",COUNTIFS(TRADE_LOG!$B$4:$B$5003,A14,TRADE_LOG!$AH$4:$AH$5003,"Loss"))</f>
        <v>0</v>
      </c>
      <c r="F14" s="55" t="n">
        <f aca="false">IF(A14="","",SUMPRODUCT((TRADE_LOG!$B$4:$B$5003=A14)*N(TRADE_LOG!$AG$4:$AG$5003)))</f>
        <v>0</v>
      </c>
      <c r="G14" s="56" t="n">
        <f aca="false">IF(A14="","",SUMPRODUCT((TRADE_LOG!$B$4:$B$5003=A14)*N(TRADE_LOG!$AE$4:$AE$5003)))</f>
        <v>0</v>
      </c>
      <c r="H14" s="55" t="n">
        <f aca="false">IF(A14="","",IFERROR(maxifs(TRADE_LOG!$AG$4:$AG$5003,TRADE_LOG!$B$4:$B$5003,A14,TRADE_LOG!$AG$4:$AG$5003,"&lt;&gt;"),0))</f>
        <v>0</v>
      </c>
      <c r="I14" s="55" t="n">
        <f aca="false">IF(A14="","",IFERROR(minifs(TRADE_LOG!$AG$4:$AG$5003,TRADE_LOG!$B$4:$B$5003,A14,TRADE_LOG!$AG$4:$AG$5003,"&lt;&gt;"),0))</f>
        <v>0</v>
      </c>
      <c r="J14" s="64" t="n">
        <f aca="false">IF(A14="","",SUMPRODUCT((TRADE_LOG!$B$4:$B$5003=A14)*N(TRADE_LOG!$AJ$4:$AJ$5003)))</f>
        <v>0</v>
      </c>
      <c r="K14" s="56" t="n">
        <f aca="false">IF(A14="","",SETTINGS!$B$6+SUMPRODUCT((TRADE_LOG!$B$4:$B$5003&lt;&gt;"")*N(TRADE_LOG!$B$4:$B$5003&lt;=A14)*N(TRADE_LOG!$AE$4:$AE$5003)))</f>
        <v>50000</v>
      </c>
      <c r="L14" s="10" t="str">
        <f aca="false">IF(A14="","",IF(C14=0,"—",IF(F14&gt;0.05,"✅ WIN DAY",IF(F14&lt;-0.05,"❌ LOSS DAY","🔶 BE DAY"))))</f>
        <v>—</v>
      </c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69" t="n">
        <f aca="false">IFERROR(IF(DAY(DATE($B$4,$D$4,9))=9,DATE($B$4,$D$4,9),""),"")</f>
        <v>45300</v>
      </c>
      <c r="B15" s="10" t="str">
        <f aca="false">IF(A15="","",TEXT(A15,"DDD"))</f>
        <v>Tue</v>
      </c>
      <c r="C15" s="10" t="n">
        <f aca="false">IF(A15="","",COUNTIF(TRADE_LOG!$B$4:$B$5003,A15))</f>
        <v>0</v>
      </c>
      <c r="D15" s="10" t="n">
        <f aca="false">IF(A15="","",COUNTIFS(TRADE_LOG!$B$4:$B$5003,A15,TRADE_LOG!$AH$4:$AH$5003,"Win"))</f>
        <v>0</v>
      </c>
      <c r="E15" s="10" t="n">
        <f aca="false">IF(A15="","",COUNTIFS(TRADE_LOG!$B$4:$B$5003,A15,TRADE_LOG!$AH$4:$AH$5003,"Loss"))</f>
        <v>0</v>
      </c>
      <c r="F15" s="55" t="n">
        <f aca="false">IF(A15="","",SUMPRODUCT((TRADE_LOG!$B$4:$B$5003=A15)*N(TRADE_LOG!$AG$4:$AG$5003)))</f>
        <v>0</v>
      </c>
      <c r="G15" s="56" t="n">
        <f aca="false">IF(A15="","",SUMPRODUCT((TRADE_LOG!$B$4:$B$5003=A15)*N(TRADE_LOG!$AE$4:$AE$5003)))</f>
        <v>0</v>
      </c>
      <c r="H15" s="55" t="n">
        <f aca="false">IF(A15="","",IFERROR(maxifs(TRADE_LOG!$AG$4:$AG$5003,TRADE_LOG!$B$4:$B$5003,A15,TRADE_LOG!$AG$4:$AG$5003,"&lt;&gt;"),0))</f>
        <v>0</v>
      </c>
      <c r="I15" s="55" t="n">
        <f aca="false">IF(A15="","",IFERROR(minifs(TRADE_LOG!$AG$4:$AG$5003,TRADE_LOG!$B$4:$B$5003,A15,TRADE_LOG!$AG$4:$AG$5003,"&lt;&gt;"),0))</f>
        <v>0</v>
      </c>
      <c r="J15" s="64" t="n">
        <f aca="false">IF(A15="","",SUMPRODUCT((TRADE_LOG!$B$4:$B$5003=A15)*N(TRADE_LOG!$AJ$4:$AJ$5003)))</f>
        <v>0</v>
      </c>
      <c r="K15" s="56" t="n">
        <f aca="false">IF(A15="","",SETTINGS!$B$6+SUMPRODUCT((TRADE_LOG!$B$4:$B$5003&lt;&gt;"")*N(TRADE_LOG!$B$4:$B$5003&lt;=A15)*N(TRADE_LOG!$AE$4:$AE$5003)))</f>
        <v>50000</v>
      </c>
      <c r="L15" s="10" t="str">
        <f aca="false">IF(A15="","",IF(C15=0,"—",IF(F15&gt;0.05,"✅ WIN DAY",IF(F15&lt;-0.05,"❌ LOSS DAY","🔶 BE DAY"))))</f>
        <v>—</v>
      </c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69" t="n">
        <f aca="false">IFERROR(IF(DAY(DATE($B$4,$D$4,10))=10,DATE($B$4,$D$4,10),""),"")</f>
        <v>45301</v>
      </c>
      <c r="B16" s="10" t="str">
        <f aca="false">IF(A16="","",TEXT(A16,"DDD"))</f>
        <v>Wed</v>
      </c>
      <c r="C16" s="10" t="n">
        <f aca="false">IF(A16="","",COUNTIF(TRADE_LOG!$B$4:$B$5003,A16))</f>
        <v>0</v>
      </c>
      <c r="D16" s="10" t="n">
        <f aca="false">IF(A16="","",COUNTIFS(TRADE_LOG!$B$4:$B$5003,A16,TRADE_LOG!$AH$4:$AH$5003,"Win"))</f>
        <v>0</v>
      </c>
      <c r="E16" s="10" t="n">
        <f aca="false">IF(A16="","",COUNTIFS(TRADE_LOG!$B$4:$B$5003,A16,TRADE_LOG!$AH$4:$AH$5003,"Loss"))</f>
        <v>0</v>
      </c>
      <c r="F16" s="55" t="n">
        <f aca="false">IF(A16="","",SUMPRODUCT((TRADE_LOG!$B$4:$B$5003=A16)*N(TRADE_LOG!$AG$4:$AG$5003)))</f>
        <v>0</v>
      </c>
      <c r="G16" s="56" t="n">
        <f aca="false">IF(A16="","",SUMPRODUCT((TRADE_LOG!$B$4:$B$5003=A16)*N(TRADE_LOG!$AE$4:$AE$5003)))</f>
        <v>0</v>
      </c>
      <c r="H16" s="55" t="n">
        <f aca="false">IF(A16="","",IFERROR(maxifs(TRADE_LOG!$AG$4:$AG$5003,TRADE_LOG!$B$4:$B$5003,A16,TRADE_LOG!$AG$4:$AG$5003,"&lt;&gt;"),0))</f>
        <v>0</v>
      </c>
      <c r="I16" s="55" t="n">
        <f aca="false">IF(A16="","",IFERROR(minifs(TRADE_LOG!$AG$4:$AG$5003,TRADE_LOG!$B$4:$B$5003,A16,TRADE_LOG!$AG$4:$AG$5003,"&lt;&gt;"),0))</f>
        <v>0</v>
      </c>
      <c r="J16" s="64" t="n">
        <f aca="false">IF(A16="","",SUMPRODUCT((TRADE_LOG!$B$4:$B$5003=A16)*N(TRADE_LOG!$AJ$4:$AJ$5003)))</f>
        <v>0</v>
      </c>
      <c r="K16" s="56" t="n">
        <f aca="false">IF(A16="","",SETTINGS!$B$6+SUMPRODUCT((TRADE_LOG!$B$4:$B$5003&lt;&gt;"")*N(TRADE_LOG!$B$4:$B$5003&lt;=A16)*N(TRADE_LOG!$AE$4:$AE$5003)))</f>
        <v>50000</v>
      </c>
      <c r="L16" s="10" t="str">
        <f aca="false">IF(A16="","",IF(C16=0,"—",IF(F16&gt;0.05,"✅ WIN DAY",IF(F16&lt;-0.05,"❌ LOSS DAY","🔶 BE DAY"))))</f>
        <v>—</v>
      </c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69" t="n">
        <f aca="false">IFERROR(IF(DAY(DATE($B$4,$D$4,11))=11,DATE($B$4,$D$4,11),""),"")</f>
        <v>45302</v>
      </c>
      <c r="B17" s="10" t="str">
        <f aca="false">IF(A17="","",TEXT(A17,"DDD"))</f>
        <v>Thu</v>
      </c>
      <c r="C17" s="10" t="n">
        <f aca="false">IF(A17="","",COUNTIF(TRADE_LOG!$B$4:$B$5003,A17))</f>
        <v>0</v>
      </c>
      <c r="D17" s="10" t="n">
        <f aca="false">IF(A17="","",COUNTIFS(TRADE_LOG!$B$4:$B$5003,A17,TRADE_LOG!$AH$4:$AH$5003,"Win"))</f>
        <v>0</v>
      </c>
      <c r="E17" s="10" t="n">
        <f aca="false">IF(A17="","",COUNTIFS(TRADE_LOG!$B$4:$B$5003,A17,TRADE_LOG!$AH$4:$AH$5003,"Loss"))</f>
        <v>0</v>
      </c>
      <c r="F17" s="55" t="n">
        <f aca="false">IF(A17="","",SUMPRODUCT((TRADE_LOG!$B$4:$B$5003=A17)*N(TRADE_LOG!$AG$4:$AG$5003)))</f>
        <v>0</v>
      </c>
      <c r="G17" s="56" t="n">
        <f aca="false">IF(A17="","",SUMPRODUCT((TRADE_LOG!$B$4:$B$5003=A17)*N(TRADE_LOG!$AE$4:$AE$5003)))</f>
        <v>0</v>
      </c>
      <c r="H17" s="55" t="n">
        <f aca="false">IF(A17="","",IFERROR(maxifs(TRADE_LOG!$AG$4:$AG$5003,TRADE_LOG!$B$4:$B$5003,A17,TRADE_LOG!$AG$4:$AG$5003,"&lt;&gt;"),0))</f>
        <v>0</v>
      </c>
      <c r="I17" s="55" t="n">
        <f aca="false">IF(A17="","",IFERROR(minifs(TRADE_LOG!$AG$4:$AG$5003,TRADE_LOG!$B$4:$B$5003,A17,TRADE_LOG!$AG$4:$AG$5003,"&lt;&gt;"),0))</f>
        <v>0</v>
      </c>
      <c r="J17" s="64" t="n">
        <f aca="false">IF(A17="","",SUMPRODUCT((TRADE_LOG!$B$4:$B$5003=A17)*N(TRADE_LOG!$AJ$4:$AJ$5003)))</f>
        <v>0</v>
      </c>
      <c r="K17" s="56" t="n">
        <f aca="false">IF(A17="","",SETTINGS!$B$6+SUMPRODUCT((TRADE_LOG!$B$4:$B$5003&lt;&gt;"")*N(TRADE_LOG!$B$4:$B$5003&lt;=A17)*N(TRADE_LOG!$AE$4:$AE$5003)))</f>
        <v>50000</v>
      </c>
      <c r="L17" s="10" t="str">
        <f aca="false">IF(A17="","",IF(C17=0,"—",IF(F17&gt;0.05,"✅ WIN DAY",IF(F17&lt;-0.05,"❌ LOSS DAY","🔶 BE DAY"))))</f>
        <v>—</v>
      </c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69" t="n">
        <f aca="false">IFERROR(IF(DAY(DATE($B$4,$D$4,12))=12,DATE($B$4,$D$4,12),""),"")</f>
        <v>45303</v>
      </c>
      <c r="B18" s="10" t="str">
        <f aca="false">IF(A18="","",TEXT(A18,"DDD"))</f>
        <v>Fri</v>
      </c>
      <c r="C18" s="10" t="n">
        <f aca="false">IF(A18="","",COUNTIF(TRADE_LOG!$B$4:$B$5003,A18))</f>
        <v>0</v>
      </c>
      <c r="D18" s="10" t="n">
        <f aca="false">IF(A18="","",COUNTIFS(TRADE_LOG!$B$4:$B$5003,A18,TRADE_LOG!$AH$4:$AH$5003,"Win"))</f>
        <v>0</v>
      </c>
      <c r="E18" s="10" t="n">
        <f aca="false">IF(A18="","",COUNTIFS(TRADE_LOG!$B$4:$B$5003,A18,TRADE_LOG!$AH$4:$AH$5003,"Loss"))</f>
        <v>0</v>
      </c>
      <c r="F18" s="55" t="n">
        <f aca="false">IF(A18="","",SUMPRODUCT((TRADE_LOG!$B$4:$B$5003=A18)*N(TRADE_LOG!$AG$4:$AG$5003)))</f>
        <v>0</v>
      </c>
      <c r="G18" s="56" t="n">
        <f aca="false">IF(A18="","",SUMPRODUCT((TRADE_LOG!$B$4:$B$5003=A18)*N(TRADE_LOG!$AE$4:$AE$5003)))</f>
        <v>0</v>
      </c>
      <c r="H18" s="55" t="n">
        <f aca="false">IF(A18="","",IFERROR(maxifs(TRADE_LOG!$AG$4:$AG$5003,TRADE_LOG!$B$4:$B$5003,A18,TRADE_LOG!$AG$4:$AG$5003,"&lt;&gt;"),0))</f>
        <v>0</v>
      </c>
      <c r="I18" s="55" t="n">
        <f aca="false">IF(A18="","",IFERROR(minifs(TRADE_LOG!$AG$4:$AG$5003,TRADE_LOG!$B$4:$B$5003,A18,TRADE_LOG!$AG$4:$AG$5003,"&lt;&gt;"),0))</f>
        <v>0</v>
      </c>
      <c r="J18" s="64" t="n">
        <f aca="false">IF(A18="","",SUMPRODUCT((TRADE_LOG!$B$4:$B$5003=A18)*N(TRADE_LOG!$AJ$4:$AJ$5003)))</f>
        <v>0</v>
      </c>
      <c r="K18" s="56" t="n">
        <f aca="false">IF(A18="","",SETTINGS!$B$6+SUMPRODUCT((TRADE_LOG!$B$4:$B$5003&lt;&gt;"")*N(TRADE_LOG!$B$4:$B$5003&lt;=A18)*N(TRADE_LOG!$AE$4:$AE$5003)))</f>
        <v>50000</v>
      </c>
      <c r="L18" s="10" t="str">
        <f aca="false">IF(A18="","",IF(C18=0,"—",IF(F18&gt;0.05,"✅ WIN DAY",IF(F18&lt;-0.05,"❌ LOSS DAY","🔶 BE DAY"))))</f>
        <v>—</v>
      </c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69" t="n">
        <f aca="false">IFERROR(IF(DAY(DATE($B$4,$D$4,13))=13,DATE($B$4,$D$4,13),""),"")</f>
        <v>45304</v>
      </c>
      <c r="B19" s="10" t="str">
        <f aca="false">IF(A19="","",TEXT(A19,"DDD"))</f>
        <v>Sat</v>
      </c>
      <c r="C19" s="10" t="n">
        <f aca="false">IF(A19="","",COUNTIF(TRADE_LOG!$B$4:$B$5003,A19))</f>
        <v>0</v>
      </c>
      <c r="D19" s="10" t="n">
        <f aca="false">IF(A19="","",COUNTIFS(TRADE_LOG!$B$4:$B$5003,A19,TRADE_LOG!$AH$4:$AH$5003,"Win"))</f>
        <v>0</v>
      </c>
      <c r="E19" s="10" t="n">
        <f aca="false">IF(A19="","",COUNTIFS(TRADE_LOG!$B$4:$B$5003,A19,TRADE_LOG!$AH$4:$AH$5003,"Loss"))</f>
        <v>0</v>
      </c>
      <c r="F19" s="55" t="n">
        <f aca="false">IF(A19="","",SUMPRODUCT((TRADE_LOG!$B$4:$B$5003=A19)*N(TRADE_LOG!$AG$4:$AG$5003)))</f>
        <v>0</v>
      </c>
      <c r="G19" s="56" t="n">
        <f aca="false">IF(A19="","",SUMPRODUCT((TRADE_LOG!$B$4:$B$5003=A19)*N(TRADE_LOG!$AE$4:$AE$5003)))</f>
        <v>0</v>
      </c>
      <c r="H19" s="55" t="n">
        <f aca="false">IF(A19="","",IFERROR(maxifs(TRADE_LOG!$AG$4:$AG$5003,TRADE_LOG!$B$4:$B$5003,A19,TRADE_LOG!$AG$4:$AG$5003,"&lt;&gt;"),0))</f>
        <v>0</v>
      </c>
      <c r="I19" s="55" t="n">
        <f aca="false">IF(A19="","",IFERROR(minifs(TRADE_LOG!$AG$4:$AG$5003,TRADE_LOG!$B$4:$B$5003,A19,TRADE_LOG!$AG$4:$AG$5003,"&lt;&gt;"),0))</f>
        <v>0</v>
      </c>
      <c r="J19" s="64" t="n">
        <f aca="false">IF(A19="","",SUMPRODUCT((TRADE_LOG!$B$4:$B$5003=A19)*N(TRADE_LOG!$AJ$4:$AJ$5003)))</f>
        <v>0</v>
      </c>
      <c r="K19" s="56" t="n">
        <f aca="false">IF(A19="","",SETTINGS!$B$6+SUMPRODUCT((TRADE_LOG!$B$4:$B$5003&lt;&gt;"")*N(TRADE_LOG!$B$4:$B$5003&lt;=A19)*N(TRADE_LOG!$AE$4:$AE$5003)))</f>
        <v>50000</v>
      </c>
      <c r="L19" s="10" t="str">
        <f aca="false">IF(A19="","",IF(C19=0,"—",IF(F19&gt;0.05,"✅ WIN DAY",IF(F19&lt;-0.05,"❌ LOSS DAY","🔶 BE DAY"))))</f>
        <v>—</v>
      </c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69" t="n">
        <f aca="false">IFERROR(IF(DAY(DATE($B$4,$D$4,14))=14,DATE($B$4,$D$4,14),""),"")</f>
        <v>45305</v>
      </c>
      <c r="B20" s="10" t="str">
        <f aca="false">IF(A20="","",TEXT(A20,"DDD"))</f>
        <v>Sun</v>
      </c>
      <c r="C20" s="10" t="n">
        <f aca="false">IF(A20="","",COUNTIF(TRADE_LOG!$B$4:$B$5003,A20))</f>
        <v>0</v>
      </c>
      <c r="D20" s="10" t="n">
        <f aca="false">IF(A20="","",COUNTIFS(TRADE_LOG!$B$4:$B$5003,A20,TRADE_LOG!$AH$4:$AH$5003,"Win"))</f>
        <v>0</v>
      </c>
      <c r="E20" s="10" t="n">
        <f aca="false">IF(A20="","",COUNTIFS(TRADE_LOG!$B$4:$B$5003,A20,TRADE_LOG!$AH$4:$AH$5003,"Loss"))</f>
        <v>0</v>
      </c>
      <c r="F20" s="55" t="n">
        <f aca="false">IF(A20="","",SUMPRODUCT((TRADE_LOG!$B$4:$B$5003=A20)*N(TRADE_LOG!$AG$4:$AG$5003)))</f>
        <v>0</v>
      </c>
      <c r="G20" s="56" t="n">
        <f aca="false">IF(A20="","",SUMPRODUCT((TRADE_LOG!$B$4:$B$5003=A20)*N(TRADE_LOG!$AE$4:$AE$5003)))</f>
        <v>0</v>
      </c>
      <c r="H20" s="55" t="n">
        <f aca="false">IF(A20="","",IFERROR(maxifs(TRADE_LOG!$AG$4:$AG$5003,TRADE_LOG!$B$4:$B$5003,A20,TRADE_LOG!$AG$4:$AG$5003,"&lt;&gt;"),0))</f>
        <v>0</v>
      </c>
      <c r="I20" s="55" t="n">
        <f aca="false">IF(A20="","",IFERROR(minifs(TRADE_LOG!$AG$4:$AG$5003,TRADE_LOG!$B$4:$B$5003,A20,TRADE_LOG!$AG$4:$AG$5003,"&lt;&gt;"),0))</f>
        <v>0</v>
      </c>
      <c r="J20" s="64" t="n">
        <f aca="false">IF(A20="","",SUMPRODUCT((TRADE_LOG!$B$4:$B$5003=A20)*N(TRADE_LOG!$AJ$4:$AJ$5003)))</f>
        <v>0</v>
      </c>
      <c r="K20" s="56" t="n">
        <f aca="false">IF(A20="","",SETTINGS!$B$6+SUMPRODUCT((TRADE_LOG!$B$4:$B$5003&lt;&gt;"")*N(TRADE_LOG!$B$4:$B$5003&lt;=A20)*N(TRADE_LOG!$AE$4:$AE$5003)))</f>
        <v>50000</v>
      </c>
      <c r="L20" s="10" t="str">
        <f aca="false">IF(A20="","",IF(C20=0,"—",IF(F20&gt;0.05,"✅ WIN DAY",IF(F20&lt;-0.05,"❌ LOSS DAY","🔶 BE DAY"))))</f>
        <v>—</v>
      </c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69" t="n">
        <f aca="false">IFERROR(IF(DAY(DATE($B$4,$D$4,15))=15,DATE($B$4,$D$4,15),""),"")</f>
        <v>45306</v>
      </c>
      <c r="B21" s="10" t="str">
        <f aca="false">IF(A21="","",TEXT(A21,"DDD"))</f>
        <v>Mon</v>
      </c>
      <c r="C21" s="10" t="n">
        <f aca="false">IF(A21="","",COUNTIF(TRADE_LOG!$B$4:$B$5003,A21))</f>
        <v>1</v>
      </c>
      <c r="D21" s="10" t="n">
        <f aca="false">IF(A21="","",COUNTIFS(TRADE_LOG!$B$4:$B$5003,A21,TRADE_LOG!$AH$4:$AH$5003,"Win"))</f>
        <v>1</v>
      </c>
      <c r="E21" s="10" t="n">
        <f aca="false">IF(A21="","",COUNTIFS(TRADE_LOG!$B$4:$B$5003,A21,TRADE_LOG!$AH$4:$AH$5003,"Loss"))</f>
        <v>0</v>
      </c>
      <c r="F21" s="55" t="n">
        <f aca="false">IF(A21="","",SUMPRODUCT((TRADE_LOG!$B$4:$B$5003=A21)*N(TRADE_LOG!$AG$4:$AG$5003)))</f>
        <v>2.27500000000003</v>
      </c>
      <c r="G21" s="56" t="n">
        <f aca="false">IF(A21="","",SUMPRODUCT((TRADE_LOG!$B$4:$B$5003=A21)*N(TRADE_LOG!$AE$4:$AE$5003)))</f>
        <v>1137.50000000001</v>
      </c>
      <c r="H21" s="55" t="n">
        <f aca="false">IF(A21="","",IFERROR(maxifs(TRADE_LOG!$AG$4:$AG$5003,TRADE_LOG!$B$4:$B$5003,A21,TRADE_LOG!$AG$4:$AG$5003,"&lt;&gt;"),0))</f>
        <v>0</v>
      </c>
      <c r="I21" s="55" t="n">
        <f aca="false">IF(A21="","",IFERROR(minifs(TRADE_LOG!$AG$4:$AG$5003,TRADE_LOG!$B$4:$B$5003,A21,TRADE_LOG!$AG$4:$AG$5003,"&lt;&gt;"),0))</f>
        <v>0</v>
      </c>
      <c r="J21" s="64" t="n">
        <f aca="false">IF(A21="","",SUMPRODUCT((TRADE_LOG!$B$4:$B$5003=A21)*N(TRADE_LOG!$AJ$4:$AJ$5003)))</f>
        <v>45.5000000000005</v>
      </c>
      <c r="K21" s="56" t="n">
        <f aca="false">IF(A21="","",SETTINGS!$B$6+SUMPRODUCT((TRADE_LOG!$B$4:$B$5003&lt;&gt;"")*N(TRADE_LOG!$B$4:$B$5003&lt;=A21)*N(TRADE_LOG!$AE$4:$AE$5003)))</f>
        <v>51137.5</v>
      </c>
      <c r="L21" s="10" t="str">
        <f aca="false">IF(A21="","",IF(C21=0,"—",IF(F21&gt;0.05,"✅ WIN DAY",IF(F21&lt;-0.05,"❌ LOSS DAY","🔶 BE DAY"))))</f>
        <v>✅ WIN DAY</v>
      </c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69" t="n">
        <f aca="false">IFERROR(IF(DAY(DATE($B$4,$D$4,16))=16,DATE($B$4,$D$4,16),""),"")</f>
        <v>45307</v>
      </c>
      <c r="B22" s="10" t="str">
        <f aca="false">IF(A22="","",TEXT(A22,"DDD"))</f>
        <v>Tue</v>
      </c>
      <c r="C22" s="10" t="n">
        <f aca="false">IF(A22="","",COUNTIF(TRADE_LOG!$B$4:$B$5003,A22))</f>
        <v>1</v>
      </c>
      <c r="D22" s="10" t="n">
        <f aca="false">IF(A22="","",COUNTIFS(TRADE_LOG!$B$4:$B$5003,A22,TRADE_LOG!$AH$4:$AH$5003,"Win"))</f>
        <v>1</v>
      </c>
      <c r="E22" s="10" t="n">
        <f aca="false">IF(A22="","",COUNTIFS(TRADE_LOG!$B$4:$B$5003,A22,TRADE_LOG!$AH$4:$AH$5003,"Loss"))</f>
        <v>0</v>
      </c>
      <c r="F22" s="55" t="n">
        <f aca="false">IF(A22="","",SUMPRODUCT((TRADE_LOG!$B$4:$B$5003=A22)*N(TRADE_LOG!$AG$4:$AG$5003)))</f>
        <v>1.83333333333328</v>
      </c>
      <c r="G22" s="56" t="n">
        <f aca="false">IF(A22="","",SUMPRODUCT((TRADE_LOG!$B$4:$B$5003=A22)*N(TRADE_LOG!$AE$4:$AE$5003)))</f>
        <v>916.666666666642</v>
      </c>
      <c r="H22" s="55" t="n">
        <f aca="false">IF(A22="","",IFERROR(maxifs(TRADE_LOG!$AG$4:$AG$5003,TRADE_LOG!$B$4:$B$5003,A22,TRADE_LOG!$AG$4:$AG$5003,"&lt;&gt;"),0))</f>
        <v>0</v>
      </c>
      <c r="I22" s="55" t="n">
        <f aca="false">IF(A22="","",IFERROR(minifs(TRADE_LOG!$AG$4:$AG$5003,TRADE_LOG!$B$4:$B$5003,A22,TRADE_LOG!$AG$4:$AG$5003,"&lt;&gt;"),0))</f>
        <v>0</v>
      </c>
      <c r="J22" s="64" t="n">
        <f aca="false">IF(A22="","",SUMPRODUCT((TRADE_LOG!$B$4:$B$5003=A22)*N(TRADE_LOG!$AJ$4:$AJ$5003)))</f>
        <v>55.0000000000006</v>
      </c>
      <c r="K22" s="56" t="n">
        <f aca="false">IF(A22="","",SETTINGS!$B$6+SUMPRODUCT((TRADE_LOG!$B$4:$B$5003&lt;&gt;"")*N(TRADE_LOG!$B$4:$B$5003&lt;=A22)*N(TRADE_LOG!$AE$4:$AE$5003)))</f>
        <v>52054.1666666667</v>
      </c>
      <c r="L22" s="10" t="str">
        <f aca="false">IF(A22="","",IF(C22=0,"—",IF(F22&gt;0.05,"✅ WIN DAY",IF(F22&lt;-0.05,"❌ LOSS DAY","🔶 BE DAY"))))</f>
        <v>✅ WIN DAY</v>
      </c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69" t="n">
        <f aca="false">IFERROR(IF(DAY(DATE($B$4,$D$4,17))=17,DATE($B$4,$D$4,17),""),"")</f>
        <v>45308</v>
      </c>
      <c r="B23" s="10" t="str">
        <f aca="false">IF(A23="","",TEXT(A23,"DDD"))</f>
        <v>Wed</v>
      </c>
      <c r="C23" s="10" t="n">
        <f aca="false">IF(A23="","",COUNTIF(TRADE_LOG!$B$4:$B$5003,A23))</f>
        <v>1</v>
      </c>
      <c r="D23" s="10" t="n">
        <f aca="false">IF(A23="","",COUNTIFS(TRADE_LOG!$B$4:$B$5003,A23,TRADE_LOG!$AH$4:$AH$5003,"Win"))</f>
        <v>1</v>
      </c>
      <c r="E23" s="10" t="n">
        <f aca="false">IF(A23="","",COUNTIFS(TRADE_LOG!$B$4:$B$5003,A23,TRADE_LOG!$AH$4:$AH$5003,"Loss"))</f>
        <v>0</v>
      </c>
      <c r="F23" s="55" t="n">
        <f aca="false">IF(A23="","",SUMPRODUCT((TRADE_LOG!$B$4:$B$5003=A23)*N(TRADE_LOG!$AG$4:$AG$5003)))</f>
        <v>2.39333333333333</v>
      </c>
      <c r="G23" s="56" t="n">
        <f aca="false">IF(A23="","",SUMPRODUCT((TRADE_LOG!$B$4:$B$5003=A23)*N(TRADE_LOG!$AE$4:$AE$5003)))</f>
        <v>1795</v>
      </c>
      <c r="H23" s="55" t="n">
        <f aca="false">IF(A23="","",IFERROR(maxifs(TRADE_LOG!$AG$4:$AG$5003,TRADE_LOG!$B$4:$B$5003,A23,TRADE_LOG!$AG$4:$AG$5003,"&lt;&gt;"),0))</f>
        <v>0</v>
      </c>
      <c r="I23" s="55" t="n">
        <f aca="false">IF(A23="","",IFERROR(minifs(TRADE_LOG!$AG$4:$AG$5003,TRADE_LOG!$B$4:$B$5003,A23,TRADE_LOG!$AG$4:$AG$5003,"&lt;&gt;"),0))</f>
        <v>0</v>
      </c>
      <c r="J23" s="64" t="n">
        <f aca="false">IF(A23="","",SUMPRODUCT((TRADE_LOG!$B$4:$B$5003=A23)*N(TRADE_LOG!$AJ$4:$AJ$5003)))</f>
        <v>1795</v>
      </c>
      <c r="K23" s="56" t="n">
        <f aca="false">IF(A23="","",SETTINGS!$B$6+SUMPRODUCT((TRADE_LOG!$B$4:$B$5003&lt;&gt;"")*N(TRADE_LOG!$B$4:$B$5003&lt;=A23)*N(TRADE_LOG!$AE$4:$AE$5003)))</f>
        <v>53849.1666666667</v>
      </c>
      <c r="L23" s="10" t="str">
        <f aca="false">IF(A23="","",IF(C23=0,"—",IF(F23&gt;0.05,"✅ WIN DAY",IF(F23&lt;-0.05,"❌ LOSS DAY","🔶 BE DAY"))))</f>
        <v>✅ WIN DAY</v>
      </c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69" t="n">
        <f aca="false">IFERROR(IF(DAY(DATE($B$4,$D$4,18))=18,DATE($B$4,$D$4,18),""),"")</f>
        <v>45309</v>
      </c>
      <c r="B24" s="10" t="str">
        <f aca="false">IF(A24="","",TEXT(A24,"DDD"))</f>
        <v>Thu</v>
      </c>
      <c r="C24" s="10" t="n">
        <f aca="false">IF(A24="","",COUNTIF(TRADE_LOG!$B$4:$B$5003,A24))</f>
        <v>1</v>
      </c>
      <c r="D24" s="10" t="n">
        <f aca="false">IF(A24="","",COUNTIFS(TRADE_LOG!$B$4:$B$5003,A24,TRADE_LOG!$AH$4:$AH$5003,"Win"))</f>
        <v>1</v>
      </c>
      <c r="E24" s="10" t="n">
        <f aca="false">IF(A24="","",COUNTIFS(TRADE_LOG!$B$4:$B$5003,A24,TRADE_LOG!$AH$4:$AH$5003,"Loss"))</f>
        <v>0</v>
      </c>
      <c r="F24" s="55" t="n">
        <f aca="false">IF(A24="","",SUMPRODUCT((TRADE_LOG!$B$4:$B$5003=A24)*N(TRADE_LOG!$AG$4:$AG$5003)))</f>
        <v>1.23762376237619</v>
      </c>
      <c r="G24" s="56" t="n">
        <f aca="false">IF(A24="","",SUMPRODUCT((TRADE_LOG!$B$4:$B$5003=A24)*N(TRADE_LOG!$AE$4:$AE$5003)))</f>
        <v>618.811881188095</v>
      </c>
      <c r="H24" s="55" t="n">
        <f aca="false">IF(A24="","",IFERROR(maxifs(TRADE_LOG!$AG$4:$AG$5003,TRADE_LOG!$B$4:$B$5003,A24,TRADE_LOG!$AG$4:$AG$5003,"&lt;&gt;"),0))</f>
        <v>0</v>
      </c>
      <c r="I24" s="55" t="n">
        <f aca="false">IF(A24="","",IFERROR(minifs(TRADE_LOG!$AG$4:$AG$5003,TRADE_LOG!$B$4:$B$5003,A24,TRADE_LOG!$AG$4:$AG$5003,"&lt;&gt;"),0))</f>
        <v>0</v>
      </c>
      <c r="J24" s="64" t="n">
        <f aca="false">IF(A24="","",SUMPRODUCT((TRADE_LOG!$B$4:$B$5003=A24)*N(TRADE_LOG!$AJ$4:$AJ$5003)))</f>
        <v>44.9999999999989</v>
      </c>
      <c r="K24" s="56" t="n">
        <f aca="false">IF(A24="","",SETTINGS!$B$6+SUMPRODUCT((TRADE_LOG!$B$4:$B$5003&lt;&gt;"")*N(TRADE_LOG!$B$4:$B$5003&lt;=A24)*N(TRADE_LOG!$AE$4:$AE$5003)))</f>
        <v>54467.9785478548</v>
      </c>
      <c r="L24" s="10" t="str">
        <f aca="false">IF(A24="","",IF(C24=0,"—",IF(F24&gt;0.05,"✅ WIN DAY",IF(F24&lt;-0.05,"❌ LOSS DAY","🔶 BE DAY"))))</f>
        <v>✅ WIN DAY</v>
      </c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69" t="n">
        <f aca="false">IFERROR(IF(DAY(DATE($B$4,$D$4,19))=19,DATE($B$4,$D$4,19),""),"")</f>
        <v>45310</v>
      </c>
      <c r="B25" s="10" t="str">
        <f aca="false">IF(A25="","",TEXT(A25,"DDD"))</f>
        <v>Fri</v>
      </c>
      <c r="C25" s="10" t="n">
        <f aca="false">IF(A25="","",COUNTIF(TRADE_LOG!$B$4:$B$5003,A25))</f>
        <v>0</v>
      </c>
      <c r="D25" s="10" t="n">
        <f aca="false">IF(A25="","",COUNTIFS(TRADE_LOG!$B$4:$B$5003,A25,TRADE_LOG!$AH$4:$AH$5003,"Win"))</f>
        <v>0</v>
      </c>
      <c r="E25" s="10" t="n">
        <f aca="false">IF(A25="","",COUNTIFS(TRADE_LOG!$B$4:$B$5003,A25,TRADE_LOG!$AH$4:$AH$5003,"Loss"))</f>
        <v>0</v>
      </c>
      <c r="F25" s="55" t="n">
        <f aca="false">IF(A25="","",SUMPRODUCT((TRADE_LOG!$B$4:$B$5003=A25)*N(TRADE_LOG!$AG$4:$AG$5003)))</f>
        <v>0</v>
      </c>
      <c r="G25" s="56" t="n">
        <f aca="false">IF(A25="","",SUMPRODUCT((TRADE_LOG!$B$4:$B$5003=A25)*N(TRADE_LOG!$AE$4:$AE$5003)))</f>
        <v>0</v>
      </c>
      <c r="H25" s="55" t="n">
        <f aca="false">IF(A25="","",IFERROR(maxifs(TRADE_LOG!$AG$4:$AG$5003,TRADE_LOG!$B$4:$B$5003,A25,TRADE_LOG!$AG$4:$AG$5003,"&lt;&gt;"),0))</f>
        <v>0</v>
      </c>
      <c r="I25" s="55" t="n">
        <f aca="false">IF(A25="","",IFERROR(minifs(TRADE_LOG!$AG$4:$AG$5003,TRADE_LOG!$B$4:$B$5003,A25,TRADE_LOG!$AG$4:$AG$5003,"&lt;&gt;"),0))</f>
        <v>0</v>
      </c>
      <c r="J25" s="64" t="n">
        <f aca="false">IF(A25="","",SUMPRODUCT((TRADE_LOG!$B$4:$B$5003=A25)*N(TRADE_LOG!$AJ$4:$AJ$5003)))</f>
        <v>0</v>
      </c>
      <c r="K25" s="56" t="n">
        <f aca="false">IF(A25="","",SETTINGS!$B$6+SUMPRODUCT((TRADE_LOG!$B$4:$B$5003&lt;&gt;"")*N(TRADE_LOG!$B$4:$B$5003&lt;=A25)*N(TRADE_LOG!$AE$4:$AE$5003)))</f>
        <v>54467.9785478548</v>
      </c>
      <c r="L25" s="10" t="str">
        <f aca="false">IF(A25="","",IF(C25=0,"—",IF(F25&gt;0.05,"✅ WIN DAY",IF(F25&lt;-0.05,"❌ LOSS DAY","🔶 BE DAY"))))</f>
        <v>—</v>
      </c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69" t="n">
        <f aca="false">IFERROR(IF(DAY(DATE($B$4,$D$4,20))=20,DATE($B$4,$D$4,20),""),"")</f>
        <v>45311</v>
      </c>
      <c r="B26" s="10" t="str">
        <f aca="false">IF(A26="","",TEXT(A26,"DDD"))</f>
        <v>Sat</v>
      </c>
      <c r="C26" s="10" t="n">
        <f aca="false">IF(A26="","",COUNTIF(TRADE_LOG!$B$4:$B$5003,A26))</f>
        <v>0</v>
      </c>
      <c r="D26" s="10" t="n">
        <f aca="false">IF(A26="","",COUNTIFS(TRADE_LOG!$B$4:$B$5003,A26,TRADE_LOG!$AH$4:$AH$5003,"Win"))</f>
        <v>0</v>
      </c>
      <c r="E26" s="10" t="n">
        <f aca="false">IF(A26="","",COUNTIFS(TRADE_LOG!$B$4:$B$5003,A26,TRADE_LOG!$AH$4:$AH$5003,"Loss"))</f>
        <v>0</v>
      </c>
      <c r="F26" s="55" t="n">
        <f aca="false">IF(A26="","",SUMPRODUCT((TRADE_LOG!$B$4:$B$5003=A26)*N(TRADE_LOG!$AG$4:$AG$5003)))</f>
        <v>0</v>
      </c>
      <c r="G26" s="56" t="n">
        <f aca="false">IF(A26="","",SUMPRODUCT((TRADE_LOG!$B$4:$B$5003=A26)*N(TRADE_LOG!$AE$4:$AE$5003)))</f>
        <v>0</v>
      </c>
      <c r="H26" s="55" t="n">
        <f aca="false">IF(A26="","",IFERROR(maxifs(TRADE_LOG!$AG$4:$AG$5003,TRADE_LOG!$B$4:$B$5003,A26,TRADE_LOG!$AG$4:$AG$5003,"&lt;&gt;"),0))</f>
        <v>0</v>
      </c>
      <c r="I26" s="55" t="n">
        <f aca="false">IF(A26="","",IFERROR(minifs(TRADE_LOG!$AG$4:$AG$5003,TRADE_LOG!$B$4:$B$5003,A26,TRADE_LOG!$AG$4:$AG$5003,"&lt;&gt;"),0))</f>
        <v>0</v>
      </c>
      <c r="J26" s="64" t="n">
        <f aca="false">IF(A26="","",SUMPRODUCT((TRADE_LOG!$B$4:$B$5003=A26)*N(TRADE_LOG!$AJ$4:$AJ$5003)))</f>
        <v>0</v>
      </c>
      <c r="K26" s="56" t="n">
        <f aca="false">IF(A26="","",SETTINGS!$B$6+SUMPRODUCT((TRADE_LOG!$B$4:$B$5003&lt;&gt;"")*N(TRADE_LOG!$B$4:$B$5003&lt;=A26)*N(TRADE_LOG!$AE$4:$AE$5003)))</f>
        <v>54467.9785478548</v>
      </c>
      <c r="L26" s="10" t="str">
        <f aca="false">IF(A26="","",IF(C26=0,"—",IF(F26&gt;0.05,"✅ WIN DAY",IF(F26&lt;-0.05,"❌ LOSS DAY","🔶 BE DAY"))))</f>
        <v>—</v>
      </c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69" t="n">
        <f aca="false">IFERROR(IF(DAY(DATE($B$4,$D$4,21))=21,DATE($B$4,$D$4,21),""),"")</f>
        <v>45312</v>
      </c>
      <c r="B27" s="10" t="str">
        <f aca="false">IF(A27="","",TEXT(A27,"DDD"))</f>
        <v>Sun</v>
      </c>
      <c r="C27" s="10" t="n">
        <f aca="false">IF(A27="","",COUNTIF(TRADE_LOG!$B$4:$B$5003,A27))</f>
        <v>0</v>
      </c>
      <c r="D27" s="10" t="n">
        <f aca="false">IF(A27="","",COUNTIFS(TRADE_LOG!$B$4:$B$5003,A27,TRADE_LOG!$AH$4:$AH$5003,"Win"))</f>
        <v>0</v>
      </c>
      <c r="E27" s="10" t="n">
        <f aca="false">IF(A27="","",COUNTIFS(TRADE_LOG!$B$4:$B$5003,A27,TRADE_LOG!$AH$4:$AH$5003,"Loss"))</f>
        <v>0</v>
      </c>
      <c r="F27" s="55" t="n">
        <f aca="false">IF(A27="","",SUMPRODUCT((TRADE_LOG!$B$4:$B$5003=A27)*N(TRADE_LOG!$AG$4:$AG$5003)))</f>
        <v>0</v>
      </c>
      <c r="G27" s="56" t="n">
        <f aca="false">IF(A27="","",SUMPRODUCT((TRADE_LOG!$B$4:$B$5003=A27)*N(TRADE_LOG!$AE$4:$AE$5003)))</f>
        <v>0</v>
      </c>
      <c r="H27" s="55" t="n">
        <f aca="false">IF(A27="","",IFERROR(maxifs(TRADE_LOG!$AG$4:$AG$5003,TRADE_LOG!$B$4:$B$5003,A27,TRADE_LOG!$AG$4:$AG$5003,"&lt;&gt;"),0))</f>
        <v>0</v>
      </c>
      <c r="I27" s="55" t="n">
        <f aca="false">IF(A27="","",IFERROR(minifs(TRADE_LOG!$AG$4:$AG$5003,TRADE_LOG!$B$4:$B$5003,A27,TRADE_LOG!$AG$4:$AG$5003,"&lt;&gt;"),0))</f>
        <v>0</v>
      </c>
      <c r="J27" s="64" t="n">
        <f aca="false">IF(A27="","",SUMPRODUCT((TRADE_LOG!$B$4:$B$5003=A27)*N(TRADE_LOG!$AJ$4:$AJ$5003)))</f>
        <v>0</v>
      </c>
      <c r="K27" s="56" t="n">
        <f aca="false">IF(A27="","",SETTINGS!$B$6+SUMPRODUCT((TRADE_LOG!$B$4:$B$5003&lt;&gt;"")*N(TRADE_LOG!$B$4:$B$5003&lt;=A27)*N(TRADE_LOG!$AE$4:$AE$5003)))</f>
        <v>54467.9785478548</v>
      </c>
      <c r="L27" s="10" t="str">
        <f aca="false">IF(A27="","",IF(C27=0,"—",IF(F27&gt;0.05,"✅ WIN DAY",IF(F27&lt;-0.05,"❌ LOSS DAY","🔶 BE DAY"))))</f>
        <v>—</v>
      </c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69" t="n">
        <f aca="false">IFERROR(IF(DAY(DATE($B$4,$D$4,22))=22,DATE($B$4,$D$4,22),""),"")</f>
        <v>45313</v>
      </c>
      <c r="B28" s="10" t="str">
        <f aca="false">IF(A28="","",TEXT(A28,"DDD"))</f>
        <v>Mon</v>
      </c>
      <c r="C28" s="10" t="n">
        <f aca="false">IF(A28="","",COUNTIF(TRADE_LOG!$B$4:$B$5003,A28))</f>
        <v>1</v>
      </c>
      <c r="D28" s="10" t="n">
        <f aca="false">IF(A28="","",COUNTIFS(TRADE_LOG!$B$4:$B$5003,A28,TRADE_LOG!$AH$4:$AH$5003,"Win"))</f>
        <v>1</v>
      </c>
      <c r="E28" s="10" t="n">
        <f aca="false">IF(A28="","",COUNTIFS(TRADE_LOG!$B$4:$B$5003,A28,TRADE_LOG!$AH$4:$AH$5003,"Loss"))</f>
        <v>0</v>
      </c>
      <c r="F28" s="55" t="n">
        <f aca="false">IF(A28="","",SUMPRODUCT((TRADE_LOG!$B$4:$B$5003=A28)*N(TRADE_LOG!$AG$4:$AG$5003)))</f>
        <v>1.49999999999994</v>
      </c>
      <c r="G28" s="56" t="n">
        <f aca="false">IF(A28="","",SUMPRODUCT((TRADE_LOG!$B$4:$B$5003=A28)*N(TRADE_LOG!$AE$4:$AE$5003)))</f>
        <v>749.999999999972</v>
      </c>
      <c r="H28" s="55" t="n">
        <f aca="false">IF(A28="","",IFERROR(maxifs(TRADE_LOG!$AG$4:$AG$5003,TRADE_LOG!$B$4:$B$5003,A28,TRADE_LOG!$AG$4:$AG$5003,"&lt;&gt;"),0))</f>
        <v>0</v>
      </c>
      <c r="I28" s="55" t="n">
        <f aca="false">IF(A28="","",IFERROR(minifs(TRADE_LOG!$AG$4:$AG$5003,TRADE_LOG!$B$4:$B$5003,A28,TRADE_LOG!$AG$4:$AG$5003,"&lt;&gt;"),0))</f>
        <v>0</v>
      </c>
      <c r="J28" s="64" t="n">
        <f aca="false">IF(A28="","",SUMPRODUCT((TRADE_LOG!$B$4:$B$5003=A28)*N(TRADE_LOG!$AJ$4:$AJ$5003)))</f>
        <v>29.9999999999989</v>
      </c>
      <c r="K28" s="56" t="n">
        <f aca="false">IF(A28="","",SETTINGS!$B$6+SUMPRODUCT((TRADE_LOG!$B$4:$B$5003&lt;&gt;"")*N(TRADE_LOG!$B$4:$B$5003&lt;=A28)*N(TRADE_LOG!$AE$4:$AE$5003)))</f>
        <v>55217.9785478547</v>
      </c>
      <c r="L28" s="10" t="str">
        <f aca="false">IF(A28="","",IF(C28=0,"—",IF(F28&gt;0.05,"✅ WIN DAY",IF(F28&lt;-0.05,"❌ LOSS DAY","🔶 BE DAY"))))</f>
        <v>✅ WIN DAY</v>
      </c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69" t="n">
        <f aca="false">IFERROR(IF(DAY(DATE($B$4,$D$4,23))=23,DATE($B$4,$D$4,23),""),"")</f>
        <v>45314</v>
      </c>
      <c r="B29" s="10" t="str">
        <f aca="false">IF(A29="","",TEXT(A29,"DDD"))</f>
        <v>Tue</v>
      </c>
      <c r="C29" s="10" t="n">
        <f aca="false">IF(A29="","",COUNTIF(TRADE_LOG!$B$4:$B$5003,A29))</f>
        <v>0</v>
      </c>
      <c r="D29" s="10" t="n">
        <f aca="false">IF(A29="","",COUNTIFS(TRADE_LOG!$B$4:$B$5003,A29,TRADE_LOG!$AH$4:$AH$5003,"Win"))</f>
        <v>0</v>
      </c>
      <c r="E29" s="10" t="n">
        <f aca="false">IF(A29="","",COUNTIFS(TRADE_LOG!$B$4:$B$5003,A29,TRADE_LOG!$AH$4:$AH$5003,"Loss"))</f>
        <v>0</v>
      </c>
      <c r="F29" s="55" t="n">
        <f aca="false">IF(A29="","",SUMPRODUCT((TRADE_LOG!$B$4:$B$5003=A29)*N(TRADE_LOG!$AG$4:$AG$5003)))</f>
        <v>0</v>
      </c>
      <c r="G29" s="56" t="n">
        <f aca="false">IF(A29="","",SUMPRODUCT((TRADE_LOG!$B$4:$B$5003=A29)*N(TRADE_LOG!$AE$4:$AE$5003)))</f>
        <v>0</v>
      </c>
      <c r="H29" s="55" t="n">
        <f aca="false">IF(A29="","",IFERROR(maxifs(TRADE_LOG!$AG$4:$AG$5003,TRADE_LOG!$B$4:$B$5003,A29,TRADE_LOG!$AG$4:$AG$5003,"&lt;&gt;"),0))</f>
        <v>0</v>
      </c>
      <c r="I29" s="55" t="n">
        <f aca="false">IF(A29="","",IFERROR(minifs(TRADE_LOG!$AG$4:$AG$5003,TRADE_LOG!$B$4:$B$5003,A29,TRADE_LOG!$AG$4:$AG$5003,"&lt;&gt;"),0))</f>
        <v>0</v>
      </c>
      <c r="J29" s="64" t="n">
        <f aca="false">IF(A29="","",SUMPRODUCT((TRADE_LOG!$B$4:$B$5003=A29)*N(TRADE_LOG!$AJ$4:$AJ$5003)))</f>
        <v>0</v>
      </c>
      <c r="K29" s="56" t="n">
        <f aca="false">IF(A29="","",SETTINGS!$B$6+SUMPRODUCT((TRADE_LOG!$B$4:$B$5003&lt;&gt;"")*N(TRADE_LOG!$B$4:$B$5003&lt;=A29)*N(TRADE_LOG!$AE$4:$AE$5003)))</f>
        <v>55217.9785478547</v>
      </c>
      <c r="L29" s="10" t="str">
        <f aca="false">IF(A29="","",IF(C29=0,"—",IF(F29&gt;0.05,"✅ WIN DAY",IF(F29&lt;-0.05,"❌ LOSS DAY","🔶 BE DAY"))))</f>
        <v>—</v>
      </c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69" t="n">
        <f aca="false">IFERROR(IF(DAY(DATE($B$4,$D$4,24))=24,DATE($B$4,$D$4,24),""),"")</f>
        <v>45315</v>
      </c>
      <c r="B30" s="10" t="str">
        <f aca="false">IF(A30="","",TEXT(A30,"DDD"))</f>
        <v>Wed</v>
      </c>
      <c r="C30" s="10" t="n">
        <f aca="false">IF(A30="","",COUNTIF(TRADE_LOG!$B$4:$B$5003,A30))</f>
        <v>0</v>
      </c>
      <c r="D30" s="10" t="n">
        <f aca="false">IF(A30="","",COUNTIFS(TRADE_LOG!$B$4:$B$5003,A30,TRADE_LOG!$AH$4:$AH$5003,"Win"))</f>
        <v>0</v>
      </c>
      <c r="E30" s="10" t="n">
        <f aca="false">IF(A30="","",COUNTIFS(TRADE_LOG!$B$4:$B$5003,A30,TRADE_LOG!$AH$4:$AH$5003,"Loss"))</f>
        <v>0</v>
      </c>
      <c r="F30" s="55" t="n">
        <f aca="false">IF(A30="","",SUMPRODUCT((TRADE_LOG!$B$4:$B$5003=A30)*N(TRADE_LOG!$AG$4:$AG$5003)))</f>
        <v>0</v>
      </c>
      <c r="G30" s="56" t="n">
        <f aca="false">IF(A30="","",SUMPRODUCT((TRADE_LOG!$B$4:$B$5003=A30)*N(TRADE_LOG!$AE$4:$AE$5003)))</f>
        <v>0</v>
      </c>
      <c r="H30" s="55" t="n">
        <f aca="false">IF(A30="","",IFERROR(maxifs(TRADE_LOG!$AG$4:$AG$5003,TRADE_LOG!$B$4:$B$5003,A30,TRADE_LOG!$AG$4:$AG$5003,"&lt;&gt;"),0))</f>
        <v>0</v>
      </c>
      <c r="I30" s="55" t="n">
        <f aca="false">IF(A30="","",IFERROR(minifs(TRADE_LOG!$AG$4:$AG$5003,TRADE_LOG!$B$4:$B$5003,A30,TRADE_LOG!$AG$4:$AG$5003,"&lt;&gt;"),0))</f>
        <v>0</v>
      </c>
      <c r="J30" s="64" t="n">
        <f aca="false">IF(A30="","",SUMPRODUCT((TRADE_LOG!$B$4:$B$5003=A30)*N(TRADE_LOG!$AJ$4:$AJ$5003)))</f>
        <v>0</v>
      </c>
      <c r="K30" s="56" t="n">
        <f aca="false">IF(A30="","",SETTINGS!$B$6+SUMPRODUCT((TRADE_LOG!$B$4:$B$5003&lt;&gt;"")*N(TRADE_LOG!$B$4:$B$5003&lt;=A30)*N(TRADE_LOG!$AE$4:$AE$5003)))</f>
        <v>55217.9785478547</v>
      </c>
      <c r="L30" s="10" t="str">
        <f aca="false">IF(A30="","",IF(C30=0,"—",IF(F30&gt;0.05,"✅ WIN DAY",IF(F30&lt;-0.05,"❌ LOSS DAY","🔶 BE DAY"))))</f>
        <v>—</v>
      </c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69" t="n">
        <f aca="false">IFERROR(IF(DAY(DATE($B$4,$D$4,25))=25,DATE($B$4,$D$4,25),""),"")</f>
        <v>45316</v>
      </c>
      <c r="B31" s="10" t="str">
        <f aca="false">IF(A31="","",TEXT(A31,"DDD"))</f>
        <v>Thu</v>
      </c>
      <c r="C31" s="10" t="n">
        <f aca="false">IF(A31="","",COUNTIF(TRADE_LOG!$B$4:$B$5003,A31))</f>
        <v>0</v>
      </c>
      <c r="D31" s="10" t="n">
        <f aca="false">IF(A31="","",COUNTIFS(TRADE_LOG!$B$4:$B$5003,A31,TRADE_LOG!$AH$4:$AH$5003,"Win"))</f>
        <v>0</v>
      </c>
      <c r="E31" s="10" t="n">
        <f aca="false">IF(A31="","",COUNTIFS(TRADE_LOG!$B$4:$B$5003,A31,TRADE_LOG!$AH$4:$AH$5003,"Loss"))</f>
        <v>0</v>
      </c>
      <c r="F31" s="55" t="n">
        <f aca="false">IF(A31="","",SUMPRODUCT((TRADE_LOG!$B$4:$B$5003=A31)*N(TRADE_LOG!$AG$4:$AG$5003)))</f>
        <v>0</v>
      </c>
      <c r="G31" s="56" t="n">
        <f aca="false">IF(A31="","",SUMPRODUCT((TRADE_LOG!$B$4:$B$5003=A31)*N(TRADE_LOG!$AE$4:$AE$5003)))</f>
        <v>0</v>
      </c>
      <c r="H31" s="55" t="n">
        <f aca="false">IF(A31="","",IFERROR(maxifs(TRADE_LOG!$AG$4:$AG$5003,TRADE_LOG!$B$4:$B$5003,A31,TRADE_LOG!$AG$4:$AG$5003,"&lt;&gt;"),0))</f>
        <v>0</v>
      </c>
      <c r="I31" s="55" t="n">
        <f aca="false">IF(A31="","",IFERROR(minifs(TRADE_LOG!$AG$4:$AG$5003,TRADE_LOG!$B$4:$B$5003,A31,TRADE_LOG!$AG$4:$AG$5003,"&lt;&gt;"),0))</f>
        <v>0</v>
      </c>
      <c r="J31" s="64" t="n">
        <f aca="false">IF(A31="","",SUMPRODUCT((TRADE_LOG!$B$4:$B$5003=A31)*N(TRADE_LOG!$AJ$4:$AJ$5003)))</f>
        <v>0</v>
      </c>
      <c r="K31" s="56" t="n">
        <f aca="false">IF(A31="","",SETTINGS!$B$6+SUMPRODUCT((TRADE_LOG!$B$4:$B$5003&lt;&gt;"")*N(TRADE_LOG!$B$4:$B$5003&lt;=A31)*N(TRADE_LOG!$AE$4:$AE$5003)))</f>
        <v>55217.9785478547</v>
      </c>
      <c r="L31" s="10" t="str">
        <f aca="false">IF(A31="","",IF(C31=0,"—",IF(F31&gt;0.05,"✅ WIN DAY",IF(F31&lt;-0.05,"❌ LOSS DAY","🔶 BE DAY"))))</f>
        <v>—</v>
      </c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69" t="n">
        <f aca="false">IFERROR(IF(DAY(DATE($B$4,$D$4,26))=26,DATE($B$4,$D$4,26),""),"")</f>
        <v>45317</v>
      </c>
      <c r="B32" s="10" t="str">
        <f aca="false">IF(A32="","",TEXT(A32,"DDD"))</f>
        <v>Fri</v>
      </c>
      <c r="C32" s="10" t="n">
        <f aca="false">IF(A32="","",COUNTIF(TRADE_LOG!$B$4:$B$5003,A32))</f>
        <v>0</v>
      </c>
      <c r="D32" s="10" t="n">
        <f aca="false">IF(A32="","",COUNTIFS(TRADE_LOG!$B$4:$B$5003,A32,TRADE_LOG!$AH$4:$AH$5003,"Win"))</f>
        <v>0</v>
      </c>
      <c r="E32" s="10" t="n">
        <f aca="false">IF(A32="","",COUNTIFS(TRADE_LOG!$B$4:$B$5003,A32,TRADE_LOG!$AH$4:$AH$5003,"Loss"))</f>
        <v>0</v>
      </c>
      <c r="F32" s="55" t="n">
        <f aca="false">IF(A32="","",SUMPRODUCT((TRADE_LOG!$B$4:$B$5003=A32)*N(TRADE_LOG!$AG$4:$AG$5003)))</f>
        <v>0</v>
      </c>
      <c r="G32" s="56" t="n">
        <f aca="false">IF(A32="","",SUMPRODUCT((TRADE_LOG!$B$4:$B$5003=A32)*N(TRADE_LOG!$AE$4:$AE$5003)))</f>
        <v>0</v>
      </c>
      <c r="H32" s="55" t="n">
        <f aca="false">IF(A32="","",IFERROR(maxifs(TRADE_LOG!$AG$4:$AG$5003,TRADE_LOG!$B$4:$B$5003,A32,TRADE_LOG!$AG$4:$AG$5003,"&lt;&gt;"),0))</f>
        <v>0</v>
      </c>
      <c r="I32" s="55" t="n">
        <f aca="false">IF(A32="","",IFERROR(minifs(TRADE_LOG!$AG$4:$AG$5003,TRADE_LOG!$B$4:$B$5003,A32,TRADE_LOG!$AG$4:$AG$5003,"&lt;&gt;"),0))</f>
        <v>0</v>
      </c>
      <c r="J32" s="64" t="n">
        <f aca="false">IF(A32="","",SUMPRODUCT((TRADE_LOG!$B$4:$B$5003=A32)*N(TRADE_LOG!$AJ$4:$AJ$5003)))</f>
        <v>0</v>
      </c>
      <c r="K32" s="56" t="n">
        <f aca="false">IF(A32="","",SETTINGS!$B$6+SUMPRODUCT((TRADE_LOG!$B$4:$B$5003&lt;&gt;"")*N(TRADE_LOG!$B$4:$B$5003&lt;=A32)*N(TRADE_LOG!$AE$4:$AE$5003)))</f>
        <v>55217.9785478547</v>
      </c>
      <c r="L32" s="10" t="str">
        <f aca="false">IF(A32="","",IF(C32=0,"—",IF(F32&gt;0.05,"✅ WIN DAY",IF(F32&lt;-0.05,"❌ LOSS DAY","🔶 BE DAY"))))</f>
        <v>—</v>
      </c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69" t="n">
        <f aca="false">IFERROR(IF(DAY(DATE($B$4,$D$4,27))=27,DATE($B$4,$D$4,27),""),"")</f>
        <v>45318</v>
      </c>
      <c r="B33" s="10" t="str">
        <f aca="false">IF(A33="","",TEXT(A33,"DDD"))</f>
        <v>Sat</v>
      </c>
      <c r="C33" s="10" t="n">
        <f aca="false">IF(A33="","",COUNTIF(TRADE_LOG!$B$4:$B$5003,A33))</f>
        <v>0</v>
      </c>
      <c r="D33" s="10" t="n">
        <f aca="false">IF(A33="","",COUNTIFS(TRADE_LOG!$B$4:$B$5003,A33,TRADE_LOG!$AH$4:$AH$5003,"Win"))</f>
        <v>0</v>
      </c>
      <c r="E33" s="10" t="n">
        <f aca="false">IF(A33="","",COUNTIFS(TRADE_LOG!$B$4:$B$5003,A33,TRADE_LOG!$AH$4:$AH$5003,"Loss"))</f>
        <v>0</v>
      </c>
      <c r="F33" s="55" t="n">
        <f aca="false">IF(A33="","",SUMPRODUCT((TRADE_LOG!$B$4:$B$5003=A33)*N(TRADE_LOG!$AG$4:$AG$5003)))</f>
        <v>0</v>
      </c>
      <c r="G33" s="56" t="n">
        <f aca="false">IF(A33="","",SUMPRODUCT((TRADE_LOG!$B$4:$B$5003=A33)*N(TRADE_LOG!$AE$4:$AE$5003)))</f>
        <v>0</v>
      </c>
      <c r="H33" s="55" t="n">
        <f aca="false">IF(A33="","",IFERROR(maxifs(TRADE_LOG!$AG$4:$AG$5003,TRADE_LOG!$B$4:$B$5003,A33,TRADE_LOG!$AG$4:$AG$5003,"&lt;&gt;"),0))</f>
        <v>0</v>
      </c>
      <c r="I33" s="55" t="n">
        <f aca="false">IF(A33="","",IFERROR(minifs(TRADE_LOG!$AG$4:$AG$5003,TRADE_LOG!$B$4:$B$5003,A33,TRADE_LOG!$AG$4:$AG$5003,"&lt;&gt;"),0))</f>
        <v>0</v>
      </c>
      <c r="J33" s="64" t="n">
        <f aca="false">IF(A33="","",SUMPRODUCT((TRADE_LOG!$B$4:$B$5003=A33)*N(TRADE_LOG!$AJ$4:$AJ$5003)))</f>
        <v>0</v>
      </c>
      <c r="K33" s="56" t="n">
        <f aca="false">IF(A33="","",SETTINGS!$B$6+SUMPRODUCT((TRADE_LOG!$B$4:$B$5003&lt;&gt;"")*N(TRADE_LOG!$B$4:$B$5003&lt;=A33)*N(TRADE_LOG!$AE$4:$AE$5003)))</f>
        <v>55217.9785478547</v>
      </c>
      <c r="L33" s="10" t="str">
        <f aca="false">IF(A33="","",IF(C33=0,"—",IF(F33&gt;0.05,"✅ WIN DAY",IF(F33&lt;-0.05,"❌ LOSS DAY","🔶 BE DAY"))))</f>
        <v>—</v>
      </c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69" t="n">
        <f aca="false">IFERROR(IF(DAY(DATE($B$4,$D$4,28))=28,DATE($B$4,$D$4,28),""),"")</f>
        <v>45319</v>
      </c>
      <c r="B34" s="10" t="str">
        <f aca="false">IF(A34="","",TEXT(A34,"DDD"))</f>
        <v>Sun</v>
      </c>
      <c r="C34" s="10" t="n">
        <f aca="false">IF(A34="","",COUNTIF(TRADE_LOG!$B$4:$B$5003,A34))</f>
        <v>0</v>
      </c>
      <c r="D34" s="10" t="n">
        <f aca="false">IF(A34="","",COUNTIFS(TRADE_LOG!$B$4:$B$5003,A34,TRADE_LOG!$AH$4:$AH$5003,"Win"))</f>
        <v>0</v>
      </c>
      <c r="E34" s="10" t="n">
        <f aca="false">IF(A34="","",COUNTIFS(TRADE_LOG!$B$4:$B$5003,A34,TRADE_LOG!$AH$4:$AH$5003,"Loss"))</f>
        <v>0</v>
      </c>
      <c r="F34" s="55" t="n">
        <f aca="false">IF(A34="","",SUMPRODUCT((TRADE_LOG!$B$4:$B$5003=A34)*N(TRADE_LOG!$AG$4:$AG$5003)))</f>
        <v>0</v>
      </c>
      <c r="G34" s="56" t="n">
        <f aca="false">IF(A34="","",SUMPRODUCT((TRADE_LOG!$B$4:$B$5003=A34)*N(TRADE_LOG!$AE$4:$AE$5003)))</f>
        <v>0</v>
      </c>
      <c r="H34" s="55" t="n">
        <f aca="false">IF(A34="","",IFERROR(maxifs(TRADE_LOG!$AG$4:$AG$5003,TRADE_LOG!$B$4:$B$5003,A34,TRADE_LOG!$AG$4:$AG$5003,"&lt;&gt;"),0))</f>
        <v>0</v>
      </c>
      <c r="I34" s="55" t="n">
        <f aca="false">IF(A34="","",IFERROR(minifs(TRADE_LOG!$AG$4:$AG$5003,TRADE_LOG!$B$4:$B$5003,A34,TRADE_LOG!$AG$4:$AG$5003,"&lt;&gt;"),0))</f>
        <v>0</v>
      </c>
      <c r="J34" s="64" t="n">
        <f aca="false">IF(A34="","",SUMPRODUCT((TRADE_LOG!$B$4:$B$5003=A34)*N(TRADE_LOG!$AJ$4:$AJ$5003)))</f>
        <v>0</v>
      </c>
      <c r="K34" s="56" t="n">
        <f aca="false">IF(A34="","",SETTINGS!$B$6+SUMPRODUCT((TRADE_LOG!$B$4:$B$5003&lt;&gt;"")*N(TRADE_LOG!$B$4:$B$5003&lt;=A34)*N(TRADE_LOG!$AE$4:$AE$5003)))</f>
        <v>55217.9785478547</v>
      </c>
      <c r="L34" s="10" t="str">
        <f aca="false">IF(A34="","",IF(C34=0,"—",IF(F34&gt;0.05,"✅ WIN DAY",IF(F34&lt;-0.05,"❌ LOSS DAY","🔶 BE DAY"))))</f>
        <v>—</v>
      </c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69" t="n">
        <f aca="false">IFERROR(IF(DAY(DATE($B$4,$D$4,29))=29,DATE($B$4,$D$4,29),""),"")</f>
        <v>45320</v>
      </c>
      <c r="B35" s="10" t="str">
        <f aca="false">IF(A35="","",TEXT(A35,"DDD"))</f>
        <v>Mon</v>
      </c>
      <c r="C35" s="10" t="n">
        <f aca="false">IF(A35="","",COUNTIF(TRADE_LOG!$B$4:$B$5003,A35))</f>
        <v>0</v>
      </c>
      <c r="D35" s="10" t="n">
        <f aca="false">IF(A35="","",COUNTIFS(TRADE_LOG!$B$4:$B$5003,A35,TRADE_LOG!$AH$4:$AH$5003,"Win"))</f>
        <v>0</v>
      </c>
      <c r="E35" s="10" t="n">
        <f aca="false">IF(A35="","",COUNTIFS(TRADE_LOG!$B$4:$B$5003,A35,TRADE_LOG!$AH$4:$AH$5003,"Loss"))</f>
        <v>0</v>
      </c>
      <c r="F35" s="55" t="n">
        <f aca="false">IF(A35="","",SUMPRODUCT((TRADE_LOG!$B$4:$B$5003=A35)*N(TRADE_LOG!$AG$4:$AG$5003)))</f>
        <v>0</v>
      </c>
      <c r="G35" s="56" t="n">
        <f aca="false">IF(A35="","",SUMPRODUCT((TRADE_LOG!$B$4:$B$5003=A35)*N(TRADE_LOG!$AE$4:$AE$5003)))</f>
        <v>0</v>
      </c>
      <c r="H35" s="55" t="n">
        <f aca="false">IF(A35="","",IFERROR(maxifs(TRADE_LOG!$AG$4:$AG$5003,TRADE_LOG!$B$4:$B$5003,A35,TRADE_LOG!$AG$4:$AG$5003,"&lt;&gt;"),0))</f>
        <v>0</v>
      </c>
      <c r="I35" s="55" t="n">
        <f aca="false">IF(A35="","",IFERROR(minifs(TRADE_LOG!$AG$4:$AG$5003,TRADE_LOG!$B$4:$B$5003,A35,TRADE_LOG!$AG$4:$AG$5003,"&lt;&gt;"),0))</f>
        <v>0</v>
      </c>
      <c r="J35" s="64" t="n">
        <f aca="false">IF(A35="","",SUMPRODUCT((TRADE_LOG!$B$4:$B$5003=A35)*N(TRADE_LOG!$AJ$4:$AJ$5003)))</f>
        <v>0</v>
      </c>
      <c r="K35" s="56" t="n">
        <f aca="false">IF(A35="","",SETTINGS!$B$6+SUMPRODUCT((TRADE_LOG!$B$4:$B$5003&lt;&gt;"")*N(TRADE_LOG!$B$4:$B$5003&lt;=A35)*N(TRADE_LOG!$AE$4:$AE$5003)))</f>
        <v>55217.9785478547</v>
      </c>
      <c r="L35" s="10" t="str">
        <f aca="false">IF(A35="","",IF(C35=0,"—",IF(F35&gt;0.05,"✅ WIN DAY",IF(F35&lt;-0.05,"❌ LOSS DAY","🔶 BE DAY"))))</f>
        <v>—</v>
      </c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69" t="n">
        <f aca="false">IFERROR(IF(DAY(DATE($B$4,$D$4,30))=30,DATE($B$4,$D$4,30),""),"")</f>
        <v>45321</v>
      </c>
      <c r="B36" s="10" t="str">
        <f aca="false">IF(A36="","",TEXT(A36,"DDD"))</f>
        <v>Tue</v>
      </c>
      <c r="C36" s="10" t="n">
        <f aca="false">IF(A36="","",COUNTIF(TRADE_LOG!$B$4:$B$5003,A36))</f>
        <v>0</v>
      </c>
      <c r="D36" s="10" t="n">
        <f aca="false">IF(A36="","",COUNTIFS(TRADE_LOG!$B$4:$B$5003,A36,TRADE_LOG!$AH$4:$AH$5003,"Win"))</f>
        <v>0</v>
      </c>
      <c r="E36" s="10" t="n">
        <f aca="false">IF(A36="","",COUNTIFS(TRADE_LOG!$B$4:$B$5003,A36,TRADE_LOG!$AH$4:$AH$5003,"Loss"))</f>
        <v>0</v>
      </c>
      <c r="F36" s="55" t="n">
        <f aca="false">IF(A36="","",SUMPRODUCT((TRADE_LOG!$B$4:$B$5003=A36)*N(TRADE_LOG!$AG$4:$AG$5003)))</f>
        <v>0</v>
      </c>
      <c r="G36" s="56" t="n">
        <f aca="false">IF(A36="","",SUMPRODUCT((TRADE_LOG!$B$4:$B$5003=A36)*N(TRADE_LOG!$AE$4:$AE$5003)))</f>
        <v>0</v>
      </c>
      <c r="H36" s="55" t="n">
        <f aca="false">IF(A36="","",IFERROR(maxifs(TRADE_LOG!$AG$4:$AG$5003,TRADE_LOG!$B$4:$B$5003,A36,TRADE_LOG!$AG$4:$AG$5003,"&lt;&gt;"),0))</f>
        <v>0</v>
      </c>
      <c r="I36" s="55" t="n">
        <f aca="false">IF(A36="","",IFERROR(minifs(TRADE_LOG!$AG$4:$AG$5003,TRADE_LOG!$B$4:$B$5003,A36,TRADE_LOG!$AG$4:$AG$5003,"&lt;&gt;"),0))</f>
        <v>0</v>
      </c>
      <c r="J36" s="64" t="n">
        <f aca="false">IF(A36="","",SUMPRODUCT((TRADE_LOG!$B$4:$B$5003=A36)*N(TRADE_LOG!$AJ$4:$AJ$5003)))</f>
        <v>0</v>
      </c>
      <c r="K36" s="56" t="n">
        <f aca="false">IF(A36="","",SETTINGS!$B$6+SUMPRODUCT((TRADE_LOG!$B$4:$B$5003&lt;&gt;"")*N(TRADE_LOG!$B$4:$B$5003&lt;=A36)*N(TRADE_LOG!$AE$4:$AE$5003)))</f>
        <v>55217.9785478547</v>
      </c>
      <c r="L36" s="10" t="str">
        <f aca="false">IF(A36="","",IF(C36=0,"—",IF(F36&gt;0.05,"✅ WIN DAY",IF(F36&lt;-0.05,"❌ LOSS DAY","🔶 BE DAY"))))</f>
        <v>—</v>
      </c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69" t="n">
        <f aca="false">IFERROR(IF(DAY(DATE($B$4,$D$4,31))=31,DATE($B$4,$D$4,31),""),"")</f>
        <v>45322</v>
      </c>
      <c r="B37" s="10" t="str">
        <f aca="false">IF(A37="","",TEXT(A37,"DDD"))</f>
        <v>Wed</v>
      </c>
      <c r="C37" s="10" t="n">
        <f aca="false">IF(A37="","",COUNTIF(TRADE_LOG!$B$4:$B$5003,A37))</f>
        <v>0</v>
      </c>
      <c r="D37" s="10" t="n">
        <f aca="false">IF(A37="","",COUNTIFS(TRADE_LOG!$B$4:$B$5003,A37,TRADE_LOG!$AH$4:$AH$5003,"Win"))</f>
        <v>0</v>
      </c>
      <c r="E37" s="10" t="n">
        <f aca="false">IF(A37="","",COUNTIFS(TRADE_LOG!$B$4:$B$5003,A37,TRADE_LOG!$AH$4:$AH$5003,"Loss"))</f>
        <v>0</v>
      </c>
      <c r="F37" s="55" t="n">
        <f aca="false">IF(A37="","",SUMPRODUCT((TRADE_LOG!$B$4:$B$5003=A37)*N(TRADE_LOG!$AG$4:$AG$5003)))</f>
        <v>0</v>
      </c>
      <c r="G37" s="56" t="n">
        <f aca="false">IF(A37="","",SUMPRODUCT((TRADE_LOG!$B$4:$B$5003=A37)*N(TRADE_LOG!$AE$4:$AE$5003)))</f>
        <v>0</v>
      </c>
      <c r="H37" s="55" t="n">
        <f aca="false">IF(A37="","",IFERROR(maxifs(TRADE_LOG!$AG$4:$AG$5003,TRADE_LOG!$B$4:$B$5003,A37,TRADE_LOG!$AG$4:$AG$5003,"&lt;&gt;"),0))</f>
        <v>0</v>
      </c>
      <c r="I37" s="55" t="n">
        <f aca="false">IF(A37="","",IFERROR(minifs(TRADE_LOG!$AG$4:$AG$5003,TRADE_LOG!$B$4:$B$5003,A37,TRADE_LOG!$AG$4:$AG$5003,"&lt;&gt;"),0))</f>
        <v>0</v>
      </c>
      <c r="J37" s="64" t="n">
        <f aca="false">IF(A37="","",SUMPRODUCT((TRADE_LOG!$B$4:$B$5003=A37)*N(TRADE_LOG!$AJ$4:$AJ$5003)))</f>
        <v>0</v>
      </c>
      <c r="K37" s="56" t="n">
        <f aca="false">IF(A37="","",SETTINGS!$B$6+SUMPRODUCT((TRADE_LOG!$B$4:$B$5003&lt;&gt;"")*N(TRADE_LOG!$B$4:$B$5003&lt;=A37)*N(TRADE_LOG!$AE$4:$AE$5003)))</f>
        <v>55217.9785478547</v>
      </c>
      <c r="L37" s="10" t="str">
        <f aca="false">IF(A37="","",IF(C37=0,"—",IF(F37&gt;0.05,"✅ WIN DAY",IF(F37&lt;-0.05,"❌ LOSS DAY","🔶 BE DAY"))))</f>
        <v>—</v>
      </c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2">
    <mergeCell ref="A1:R1"/>
    <mergeCell ref="A2:R2"/>
  </mergeCells>
  <conditionalFormatting sqref="L7:L37">
    <cfRule type="expression" priority="2" aboveAverage="0" equalAverage="0" bottom="0" percent="0" rank="0" text="" dxfId="0">
      <formula>L7="✅ WIN DAY"</formula>
    </cfRule>
    <cfRule type="expression" priority="3" aboveAverage="0" equalAverage="0" bottom="0" percent="0" rank="0" text="" dxfId="1">
      <formula>L7="❌ LOSS DAY"</formula>
    </cfRule>
    <cfRule type="expression" priority="4" aboveAverage="0" equalAverage="0" bottom="0" percent="0" rank="0" text="" dxfId="3">
      <formula>L7="🔶 BE DAY"</formula>
    </cfRule>
  </conditionalFormatting>
  <conditionalFormatting sqref="F7:F37">
    <cfRule type="colorScale" priority="5">
      <colorScale>
        <cfvo type="num" val="-5"/>
        <cfvo type="num" val="0"/>
        <cfvo type="num" val="10"/>
        <color rgb="FFE63946"/>
        <color rgb="FF333333"/>
        <color rgb="FF2DC653"/>
      </colorScale>
    </cfRule>
  </conditionalFormatting>
  <dataValidations count="1">
    <dataValidation allowBlank="false" errorStyle="stop" operator="between" showDropDown="false" showErrorMessage="false" showInputMessage="false" sqref="D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9"/>
    <col collapsed="false" customWidth="true" hidden="false" outlineLevel="0" max="14" min="14" style="0" width="14"/>
    <col collapsed="false" customWidth="true" hidden="false" outlineLevel="0" max="16" min="15" style="0" width="9"/>
  </cols>
  <sheetData>
    <row r="1" customFormat="false" ht="39.7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2"/>
      <c r="B2" s="70" t="s">
        <v>179</v>
      </c>
      <c r="C2" s="2"/>
      <c r="D2" s="70" t="s">
        <v>219</v>
      </c>
      <c r="E2" s="2"/>
      <c r="F2" s="70" t="s">
        <v>182</v>
      </c>
      <c r="G2" s="2"/>
      <c r="H2" s="70" t="s">
        <v>183</v>
      </c>
      <c r="I2" s="2"/>
      <c r="J2" s="70" t="s">
        <v>186</v>
      </c>
      <c r="K2" s="2"/>
      <c r="L2" s="70" t="s">
        <v>187</v>
      </c>
      <c r="M2" s="2"/>
      <c r="N2" s="70" t="s">
        <v>6</v>
      </c>
      <c r="O2" s="2"/>
      <c r="P2" s="70" t="s">
        <v>190</v>
      </c>
      <c r="Q2" s="2"/>
      <c r="R2" s="2"/>
      <c r="S2" s="2"/>
      <c r="T2" s="2"/>
      <c r="U2" s="2"/>
      <c r="V2" s="2"/>
    </row>
    <row r="3" customFormat="false" ht="27.75" hidden="false" customHeight="true" outlineLevel="0" collapsed="false">
      <c r="A3" s="2"/>
      <c r="B3" s="71" t="n">
        <f aca="false">COUNTA(TRADE_LOG!H4:H5003)</f>
        <v>5</v>
      </c>
      <c r="C3" s="2"/>
      <c r="D3" s="72" t="n">
        <f aca="false">SUM(TRADE_LOG!AE4:AE5003)</f>
        <v>5217.97854785472</v>
      </c>
      <c r="E3" s="2"/>
      <c r="F3" s="73" t="n">
        <f aca="false">IFERROR(COUNTIF(TRADE_LOG!AH4:AH5003,"Win")/COUNTA(TRADE_LOG!AH4:AH5003),0)</f>
        <v>0.01</v>
      </c>
      <c r="G3" s="2"/>
      <c r="H3" s="74" t="n">
        <f aca="false">IFERROR(AVERAGE(TRADE_LOG!AG4:AG5003),0)</f>
        <v>1.84785808580856</v>
      </c>
      <c r="I3" s="2"/>
      <c r="J3" s="74" t="n">
        <f aca="false">IFERROR(MAX(TRADE_LOG!AG4:AG5003),0)</f>
        <v>2.39333333333333</v>
      </c>
      <c r="K3" s="2"/>
      <c r="L3" s="74" t="n">
        <f aca="false">IFERROR(MIN(TRADE_LOG!AG4:AG5003),0)</f>
        <v>1.23762376237619</v>
      </c>
      <c r="M3" s="2"/>
      <c r="N3" s="72" t="n">
        <f aca="false">SETTINGS!B6+SUM(TRADE_LOG!AE4:AE5003)</f>
        <v>55217.9785478547</v>
      </c>
      <c r="O3" s="2"/>
      <c r="P3" s="75" t="n">
        <f aca="false">IFERROR(SUMIF(TRADE_LOG!AE4:AE5003,"&gt;"&amp;0)/ABS(SUMIF(TRADE_LOG!AE4:AE5003,"&lt;"&amp;0)),0)</f>
        <v>0</v>
      </c>
      <c r="Q3" s="2"/>
      <c r="R3" s="2"/>
      <c r="S3" s="2"/>
      <c r="T3" s="2"/>
      <c r="U3" s="2"/>
      <c r="V3" s="2"/>
    </row>
    <row r="4" customFormat="false" ht="18" hidden="false" customHeight="true" outlineLevel="0" collapsed="false">
      <c r="A4" s="2"/>
      <c r="B4" s="70" t="s">
        <v>220</v>
      </c>
      <c r="C4" s="2"/>
      <c r="D4" s="70" t="s">
        <v>189</v>
      </c>
      <c r="E4" s="2"/>
      <c r="F4" s="70" t="s">
        <v>221</v>
      </c>
      <c r="G4" s="2"/>
      <c r="H4" s="70" t="s">
        <v>222</v>
      </c>
      <c r="I4" s="2"/>
      <c r="J4" s="70" t="s">
        <v>223</v>
      </c>
      <c r="K4" s="2"/>
      <c r="L4" s="70" t="s">
        <v>224</v>
      </c>
      <c r="M4" s="2"/>
      <c r="N4" s="70" t="s">
        <v>225</v>
      </c>
      <c r="O4" s="2"/>
      <c r="P4" s="70" t="s">
        <v>226</v>
      </c>
      <c r="Q4" s="2"/>
      <c r="R4" s="2"/>
      <c r="S4" s="2"/>
      <c r="T4" s="2"/>
      <c r="U4" s="2"/>
      <c r="V4" s="2"/>
    </row>
    <row r="5" customFormat="false" ht="27.75" hidden="false" customHeight="true" outlineLevel="0" collapsed="false">
      <c r="A5" s="2"/>
      <c r="B5" s="76" t="n">
        <f aca="false">COUNTIF(TRADE_LOG!AH4:AH5003,"Open")</f>
        <v>495</v>
      </c>
      <c r="C5" s="2"/>
      <c r="D5" s="77" t="n">
        <f aca="false">IFERROR((COUNTIF(TRADE_LOG!AH4:AH5003,"Win")/COUNTA(TRADE_LOG!AH4:AH5003))*AVERAGEIFS(TRADE_LOG!AG4:AG5003,TRADE_LOG!AH4:AH5003,"Win")+(COUNTIF(TRADE_LOG!AH4:AH5003,"Loss")/COUNTA(TRADE_LOG!AH4:AH5003))*AVERAGEIFS(TRADE_LOG!AG4:AG5003,TRADE_LOG!AH4:AH5003,"Loss"),0)</f>
        <v>0</v>
      </c>
      <c r="E5" s="2"/>
      <c r="F5" s="76" t="n">
        <f aca="false">IFERROR(MAX(FREQUENCY(IF(TRADE_LOG!AH4:AH103="Win",ROW(TRADE_LOG!AH4:AH103)),IF(TRADE_LOG!AH4:AH103&lt;&gt;"Win",ROW(TRADE_LOG!AH4:AH103)))),0)</f>
        <v>5</v>
      </c>
      <c r="G5" s="2"/>
      <c r="H5" s="78" t="n">
        <f aca="false">IFERROR(SUMPRODUCT(IFERROR(TRADE_LOG!Q4:Q5003,0)),0)</f>
        <v>2750</v>
      </c>
      <c r="I5" s="2"/>
      <c r="J5" s="79" t="n">
        <f aca="false">IFERROR(AVERAGE(TRADE_LOG!AI4:AI5003),"N/A")</f>
        <v>0.2</v>
      </c>
      <c r="K5" s="2"/>
      <c r="L5" s="80" t="n">
        <f aca="false">IFERROR((D3-SETTINGS!B6)/SETTINGS!B6,0)</f>
        <v>-0.895640429042906</v>
      </c>
      <c r="M5" s="2"/>
      <c r="N5" s="80" t="n">
        <f aca="false">IFERROR(COUNTIF(TRADE_LOG!AH4:AH5003,"Loss")/COUNTA(TRADE_LOG!AH4:AH5003),0)</f>
        <v>0</v>
      </c>
      <c r="O5" s="2"/>
      <c r="P5" s="81" t="n">
        <f aca="false">IFERROR(SUM(TRADE_LOG!R4:R5003),0)</f>
        <v>9.04180418041796</v>
      </c>
      <c r="Q5" s="2"/>
      <c r="R5" s="2"/>
      <c r="S5" s="2"/>
      <c r="T5" s="2"/>
      <c r="U5" s="2"/>
      <c r="V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21.75" hidden="false" customHeight="true" outlineLevel="0" collapsed="false">
      <c r="A7" s="4" t="s">
        <v>227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false" outlineLevel="0" collapsed="false">
      <c r="A8" s="9" t="s">
        <v>228</v>
      </c>
      <c r="B8" s="9" t="s">
        <v>229</v>
      </c>
      <c r="C8" s="9" t="s">
        <v>230</v>
      </c>
      <c r="D8" s="9" t="s">
        <v>231</v>
      </c>
      <c r="E8" s="9" t="s">
        <v>232</v>
      </c>
      <c r="F8" s="9" t="s">
        <v>233</v>
      </c>
      <c r="G8" s="9" t="s">
        <v>234</v>
      </c>
      <c r="H8" s="9" t="s">
        <v>235</v>
      </c>
      <c r="I8" s="9" t="s">
        <v>236</v>
      </c>
      <c r="J8" s="9" t="s">
        <v>237</v>
      </c>
      <c r="K8" s="9" t="s">
        <v>238</v>
      </c>
      <c r="L8" s="9" t="s">
        <v>239</v>
      </c>
      <c r="M8" s="9" t="s">
        <v>240</v>
      </c>
      <c r="N8" s="14" t="s">
        <v>241</v>
      </c>
      <c r="O8" s="2"/>
      <c r="P8" s="2"/>
      <c r="Q8" s="2"/>
      <c r="R8" s="2"/>
      <c r="S8" s="2"/>
      <c r="T8" s="2"/>
      <c r="U8" s="2"/>
      <c r="V8" s="2"/>
    </row>
    <row r="9" customFormat="false" ht="15" hidden="false" customHeight="false" outlineLevel="0" collapsed="false">
      <c r="A9" s="82" t="n">
        <v>2024</v>
      </c>
      <c r="B9" s="83" t="n">
        <f aca="false">IFERROR(SUMPRODUCT((YEAR(TRADE_LOG!$B$4:$B$5003)=2024)*(MONTH(TRADE_LOG!$B$4:$B$5003)=1)*IFERROR(TRADE_LOG!$AE$4:$AE$5003,0)),0)</f>
        <v>0</v>
      </c>
      <c r="C9" s="83" t="n">
        <f aca="false">IFERROR(SUMPRODUCT((YEAR(TRADE_LOG!$B$4:$B$5003)=2024)*(MONTH(TRADE_LOG!$B$4:$B$5003)=2)*IFERROR(TRADE_LOG!$AE$4:$AE$5003,0)),0)</f>
        <v>0</v>
      </c>
      <c r="D9" s="83" t="n">
        <f aca="false">IFERROR(SUMPRODUCT((YEAR(TRADE_LOG!$B$4:$B$5003)=2024)*(MONTH(TRADE_LOG!$B$4:$B$5003)=3)*IFERROR(TRADE_LOG!$AE$4:$AE$5003,0)),0)</f>
        <v>0</v>
      </c>
      <c r="E9" s="83" t="n">
        <f aca="false">IFERROR(SUMPRODUCT((YEAR(TRADE_LOG!$B$4:$B$5003)=2024)*(MONTH(TRADE_LOG!$B$4:$B$5003)=4)*IFERROR(TRADE_LOG!$AE$4:$AE$5003,0)),0)</f>
        <v>0</v>
      </c>
      <c r="F9" s="83" t="n">
        <f aca="false">IFERROR(SUMPRODUCT((YEAR(TRADE_LOG!$B$4:$B$5003)=2024)*(MONTH(TRADE_LOG!$B$4:$B$5003)=5)*IFERROR(TRADE_LOG!$AE$4:$AE$5003,0)),0)</f>
        <v>0</v>
      </c>
      <c r="G9" s="83" t="n">
        <f aca="false">IFERROR(SUMPRODUCT((YEAR(TRADE_LOG!$B$4:$B$5003)=2024)*(MONTH(TRADE_LOG!$B$4:$B$5003)=6)*IFERROR(TRADE_LOG!$AE$4:$AE$5003,0)),0)</f>
        <v>0</v>
      </c>
      <c r="H9" s="83" t="n">
        <f aca="false">IFERROR(SUMPRODUCT((YEAR(TRADE_LOG!$B$4:$B$5003)=2024)*(MONTH(TRADE_LOG!$B$4:$B$5003)=7)*IFERROR(TRADE_LOG!$AE$4:$AE$5003,0)),0)</f>
        <v>0</v>
      </c>
      <c r="I9" s="83" t="n">
        <f aca="false">IFERROR(SUMPRODUCT((YEAR(TRADE_LOG!$B$4:$B$5003)=2024)*(MONTH(TRADE_LOG!$B$4:$B$5003)=8)*IFERROR(TRADE_LOG!$AE$4:$AE$5003,0)),0)</f>
        <v>0</v>
      </c>
      <c r="J9" s="83" t="n">
        <f aca="false">IFERROR(SUMPRODUCT((YEAR(TRADE_LOG!$B$4:$B$5003)=2024)*(MONTH(TRADE_LOG!$B$4:$B$5003)=9)*IFERROR(TRADE_LOG!$AE$4:$AE$5003,0)),0)</f>
        <v>0</v>
      </c>
      <c r="K9" s="83" t="n">
        <f aca="false">IFERROR(SUMPRODUCT((YEAR(TRADE_LOG!$B$4:$B$5003)=2024)*(MONTH(TRADE_LOG!$B$4:$B$5003)=10)*IFERROR(TRADE_LOG!$AE$4:$AE$5003,0)),0)</f>
        <v>0</v>
      </c>
      <c r="L9" s="83" t="n">
        <f aca="false">IFERROR(SUMPRODUCT((YEAR(TRADE_LOG!$B$4:$B$5003)=2024)*(MONTH(TRADE_LOG!$B$4:$B$5003)=11)*IFERROR(TRADE_LOG!$AE$4:$AE$5003,0)),0)</f>
        <v>0</v>
      </c>
      <c r="M9" s="83" t="n">
        <f aca="false">IFERROR(SUMPRODUCT((YEAR(TRADE_LOG!$B$4:$B$5003)=2024)*(MONTH(TRADE_LOG!$B$4:$B$5003)=12)*IFERROR(TRADE_LOG!$AE$4:$AE$5003,0)),0)</f>
        <v>0</v>
      </c>
      <c r="N9" s="84" t="n">
        <f aca="false">SUM(B9:M9)</f>
        <v>0</v>
      </c>
      <c r="O9" s="2"/>
      <c r="P9" s="2"/>
      <c r="Q9" s="2"/>
      <c r="R9" s="2"/>
      <c r="S9" s="2"/>
      <c r="T9" s="2"/>
      <c r="U9" s="2"/>
      <c r="V9" s="2"/>
    </row>
    <row r="10" customFormat="false" ht="15" hidden="false" customHeight="false" outlineLevel="0" collapsed="false">
      <c r="A10" s="82" t="n">
        <v>2025</v>
      </c>
      <c r="B10" s="83" t="n">
        <f aca="false">IFERROR(SUMPRODUCT((YEAR(TRADE_LOG!$B$4:$B$5003)=2025)*(MONTH(TRADE_LOG!$B$4:$B$5003)=1)*IFERROR(TRADE_LOG!$AE$4:$AE$5003,0)),0)</f>
        <v>0</v>
      </c>
      <c r="C10" s="83" t="n">
        <f aca="false">IFERROR(SUMPRODUCT((YEAR(TRADE_LOG!$B$4:$B$5003)=2025)*(MONTH(TRADE_LOG!$B$4:$B$5003)=2)*IFERROR(TRADE_LOG!$AE$4:$AE$5003,0)),0)</f>
        <v>0</v>
      </c>
      <c r="D10" s="83" t="n">
        <f aca="false">IFERROR(SUMPRODUCT((YEAR(TRADE_LOG!$B$4:$B$5003)=2025)*(MONTH(TRADE_LOG!$B$4:$B$5003)=3)*IFERROR(TRADE_LOG!$AE$4:$AE$5003,0)),0)</f>
        <v>0</v>
      </c>
      <c r="E10" s="83" t="n">
        <f aca="false">IFERROR(SUMPRODUCT((YEAR(TRADE_LOG!$B$4:$B$5003)=2025)*(MONTH(TRADE_LOG!$B$4:$B$5003)=4)*IFERROR(TRADE_LOG!$AE$4:$AE$5003,0)),0)</f>
        <v>0</v>
      </c>
      <c r="F10" s="83" t="n">
        <f aca="false">IFERROR(SUMPRODUCT((YEAR(TRADE_LOG!$B$4:$B$5003)=2025)*(MONTH(TRADE_LOG!$B$4:$B$5003)=5)*IFERROR(TRADE_LOG!$AE$4:$AE$5003,0)),0)</f>
        <v>0</v>
      </c>
      <c r="G10" s="83" t="n">
        <f aca="false">IFERROR(SUMPRODUCT((YEAR(TRADE_LOG!$B$4:$B$5003)=2025)*(MONTH(TRADE_LOG!$B$4:$B$5003)=6)*IFERROR(TRADE_LOG!$AE$4:$AE$5003,0)),0)</f>
        <v>0</v>
      </c>
      <c r="H10" s="83" t="n">
        <f aca="false">IFERROR(SUMPRODUCT((YEAR(TRADE_LOG!$B$4:$B$5003)=2025)*(MONTH(TRADE_LOG!$B$4:$B$5003)=7)*IFERROR(TRADE_LOG!$AE$4:$AE$5003,0)),0)</f>
        <v>0</v>
      </c>
      <c r="I10" s="83" t="n">
        <f aca="false">IFERROR(SUMPRODUCT((YEAR(TRADE_LOG!$B$4:$B$5003)=2025)*(MONTH(TRADE_LOG!$B$4:$B$5003)=8)*IFERROR(TRADE_LOG!$AE$4:$AE$5003,0)),0)</f>
        <v>0</v>
      </c>
      <c r="J10" s="83" t="n">
        <f aca="false">IFERROR(SUMPRODUCT((YEAR(TRADE_LOG!$B$4:$B$5003)=2025)*(MONTH(TRADE_LOG!$B$4:$B$5003)=9)*IFERROR(TRADE_LOG!$AE$4:$AE$5003,0)),0)</f>
        <v>0</v>
      </c>
      <c r="K10" s="83" t="n">
        <f aca="false">IFERROR(SUMPRODUCT((YEAR(TRADE_LOG!$B$4:$B$5003)=2025)*(MONTH(TRADE_LOG!$B$4:$B$5003)=10)*IFERROR(TRADE_LOG!$AE$4:$AE$5003,0)),0)</f>
        <v>0</v>
      </c>
      <c r="L10" s="83" t="n">
        <f aca="false">IFERROR(SUMPRODUCT((YEAR(TRADE_LOG!$B$4:$B$5003)=2025)*(MONTH(TRADE_LOG!$B$4:$B$5003)=11)*IFERROR(TRADE_LOG!$AE$4:$AE$5003,0)),0)</f>
        <v>0</v>
      </c>
      <c r="M10" s="83" t="n">
        <f aca="false">IFERROR(SUMPRODUCT((YEAR(TRADE_LOG!$B$4:$B$5003)=2025)*(MONTH(TRADE_LOG!$B$4:$B$5003)=12)*IFERROR(TRADE_LOG!$AE$4:$AE$5003,0)),0)</f>
        <v>0</v>
      </c>
      <c r="N10" s="84" t="n">
        <f aca="false">SUM(B10:M10)</f>
        <v>0</v>
      </c>
      <c r="O10" s="2"/>
      <c r="P10" s="2"/>
      <c r="Q10" s="2"/>
      <c r="R10" s="2"/>
      <c r="S10" s="2"/>
      <c r="T10" s="2"/>
      <c r="U10" s="2"/>
      <c r="V10" s="2"/>
    </row>
    <row r="11" customFormat="false" ht="15" hidden="false" customHeight="false" outlineLevel="0" collapsed="false">
      <c r="A11" s="82" t="n">
        <v>2026</v>
      </c>
      <c r="B11" s="83" t="n">
        <f aca="false">IFERROR(SUMPRODUCT((YEAR(TRADE_LOG!$B$4:$B$5003)=2026)*(MONTH(TRADE_LOG!$B$4:$B$5003)=1)*IFERROR(TRADE_LOG!$AE$4:$AE$5003,0)),0)</f>
        <v>0</v>
      </c>
      <c r="C11" s="83" t="n">
        <f aca="false">IFERROR(SUMPRODUCT((YEAR(TRADE_LOG!$B$4:$B$5003)=2026)*(MONTH(TRADE_LOG!$B$4:$B$5003)=2)*IFERROR(TRADE_LOG!$AE$4:$AE$5003,0)),0)</f>
        <v>0</v>
      </c>
      <c r="D11" s="83" t="n">
        <f aca="false">IFERROR(SUMPRODUCT((YEAR(TRADE_LOG!$B$4:$B$5003)=2026)*(MONTH(TRADE_LOG!$B$4:$B$5003)=3)*IFERROR(TRADE_LOG!$AE$4:$AE$5003,0)),0)</f>
        <v>0</v>
      </c>
      <c r="E11" s="83" t="n">
        <f aca="false">IFERROR(SUMPRODUCT((YEAR(TRADE_LOG!$B$4:$B$5003)=2026)*(MONTH(TRADE_LOG!$B$4:$B$5003)=4)*IFERROR(TRADE_LOG!$AE$4:$AE$5003,0)),0)</f>
        <v>0</v>
      </c>
      <c r="F11" s="83" t="n">
        <f aca="false">IFERROR(SUMPRODUCT((YEAR(TRADE_LOG!$B$4:$B$5003)=2026)*(MONTH(TRADE_LOG!$B$4:$B$5003)=5)*IFERROR(TRADE_LOG!$AE$4:$AE$5003,0)),0)</f>
        <v>0</v>
      </c>
      <c r="G11" s="83" t="n">
        <f aca="false">IFERROR(SUMPRODUCT((YEAR(TRADE_LOG!$B$4:$B$5003)=2026)*(MONTH(TRADE_LOG!$B$4:$B$5003)=6)*IFERROR(TRADE_LOG!$AE$4:$AE$5003,0)),0)</f>
        <v>0</v>
      </c>
      <c r="H11" s="83" t="n">
        <f aca="false">IFERROR(SUMPRODUCT((YEAR(TRADE_LOG!$B$4:$B$5003)=2026)*(MONTH(TRADE_LOG!$B$4:$B$5003)=7)*IFERROR(TRADE_LOG!$AE$4:$AE$5003,0)),0)</f>
        <v>0</v>
      </c>
      <c r="I11" s="83" t="n">
        <f aca="false">IFERROR(SUMPRODUCT((YEAR(TRADE_LOG!$B$4:$B$5003)=2026)*(MONTH(TRADE_LOG!$B$4:$B$5003)=8)*IFERROR(TRADE_LOG!$AE$4:$AE$5003,0)),0)</f>
        <v>0</v>
      </c>
      <c r="J11" s="83" t="n">
        <f aca="false">IFERROR(SUMPRODUCT((YEAR(TRADE_LOG!$B$4:$B$5003)=2026)*(MONTH(TRADE_LOG!$B$4:$B$5003)=9)*IFERROR(TRADE_LOG!$AE$4:$AE$5003,0)),0)</f>
        <v>0</v>
      </c>
      <c r="K11" s="83" t="n">
        <f aca="false">IFERROR(SUMPRODUCT((YEAR(TRADE_LOG!$B$4:$B$5003)=2026)*(MONTH(TRADE_LOG!$B$4:$B$5003)=10)*IFERROR(TRADE_LOG!$AE$4:$AE$5003,0)),0)</f>
        <v>0</v>
      </c>
      <c r="L11" s="83" t="n">
        <f aca="false">IFERROR(SUMPRODUCT((YEAR(TRADE_LOG!$B$4:$B$5003)=2026)*(MONTH(TRADE_LOG!$B$4:$B$5003)=11)*IFERROR(TRADE_LOG!$AE$4:$AE$5003,0)),0)</f>
        <v>0</v>
      </c>
      <c r="M11" s="83" t="n">
        <f aca="false">IFERROR(SUMPRODUCT((YEAR(TRADE_LOG!$B$4:$B$5003)=2026)*(MONTH(TRADE_LOG!$B$4:$B$5003)=12)*IFERROR(TRADE_LOG!$AE$4:$AE$5003,0)),0)</f>
        <v>0</v>
      </c>
      <c r="N11" s="84" t="n">
        <f aca="false">SUM(B11:M11)</f>
        <v>0</v>
      </c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false" outlineLevel="0" collapsed="false">
      <c r="A12" s="82" t="n">
        <v>2027</v>
      </c>
      <c r="B12" s="83" t="n">
        <f aca="false">IFERROR(SUMPRODUCT((YEAR(TRADE_LOG!$B$4:$B$5003)=2027)*(MONTH(TRADE_LOG!$B$4:$B$5003)=1)*IFERROR(TRADE_LOG!$AE$4:$AE$5003,0)),0)</f>
        <v>0</v>
      </c>
      <c r="C12" s="83" t="n">
        <f aca="false">IFERROR(SUMPRODUCT((YEAR(TRADE_LOG!$B$4:$B$5003)=2027)*(MONTH(TRADE_LOG!$B$4:$B$5003)=2)*IFERROR(TRADE_LOG!$AE$4:$AE$5003,0)),0)</f>
        <v>0</v>
      </c>
      <c r="D12" s="83" t="n">
        <f aca="false">IFERROR(SUMPRODUCT((YEAR(TRADE_LOG!$B$4:$B$5003)=2027)*(MONTH(TRADE_LOG!$B$4:$B$5003)=3)*IFERROR(TRADE_LOG!$AE$4:$AE$5003,0)),0)</f>
        <v>0</v>
      </c>
      <c r="E12" s="83" t="n">
        <f aca="false">IFERROR(SUMPRODUCT((YEAR(TRADE_LOG!$B$4:$B$5003)=2027)*(MONTH(TRADE_LOG!$B$4:$B$5003)=4)*IFERROR(TRADE_LOG!$AE$4:$AE$5003,0)),0)</f>
        <v>0</v>
      </c>
      <c r="F12" s="83" t="n">
        <f aca="false">IFERROR(SUMPRODUCT((YEAR(TRADE_LOG!$B$4:$B$5003)=2027)*(MONTH(TRADE_LOG!$B$4:$B$5003)=5)*IFERROR(TRADE_LOG!$AE$4:$AE$5003,0)),0)</f>
        <v>0</v>
      </c>
      <c r="G12" s="83" t="n">
        <f aca="false">IFERROR(SUMPRODUCT((YEAR(TRADE_LOG!$B$4:$B$5003)=2027)*(MONTH(TRADE_LOG!$B$4:$B$5003)=6)*IFERROR(TRADE_LOG!$AE$4:$AE$5003,0)),0)</f>
        <v>0</v>
      </c>
      <c r="H12" s="83" t="n">
        <f aca="false">IFERROR(SUMPRODUCT((YEAR(TRADE_LOG!$B$4:$B$5003)=2027)*(MONTH(TRADE_LOG!$B$4:$B$5003)=7)*IFERROR(TRADE_LOG!$AE$4:$AE$5003,0)),0)</f>
        <v>0</v>
      </c>
      <c r="I12" s="83" t="n">
        <f aca="false">IFERROR(SUMPRODUCT((YEAR(TRADE_LOG!$B$4:$B$5003)=2027)*(MONTH(TRADE_LOG!$B$4:$B$5003)=8)*IFERROR(TRADE_LOG!$AE$4:$AE$5003,0)),0)</f>
        <v>0</v>
      </c>
      <c r="J12" s="83" t="n">
        <f aca="false">IFERROR(SUMPRODUCT((YEAR(TRADE_LOG!$B$4:$B$5003)=2027)*(MONTH(TRADE_LOG!$B$4:$B$5003)=9)*IFERROR(TRADE_LOG!$AE$4:$AE$5003,0)),0)</f>
        <v>0</v>
      </c>
      <c r="K12" s="83" t="n">
        <f aca="false">IFERROR(SUMPRODUCT((YEAR(TRADE_LOG!$B$4:$B$5003)=2027)*(MONTH(TRADE_LOG!$B$4:$B$5003)=10)*IFERROR(TRADE_LOG!$AE$4:$AE$5003,0)),0)</f>
        <v>0</v>
      </c>
      <c r="L12" s="83" t="n">
        <f aca="false">IFERROR(SUMPRODUCT((YEAR(TRADE_LOG!$B$4:$B$5003)=2027)*(MONTH(TRADE_LOG!$B$4:$B$5003)=11)*IFERROR(TRADE_LOG!$AE$4:$AE$5003,0)),0)</f>
        <v>0</v>
      </c>
      <c r="M12" s="83" t="n">
        <f aca="false">IFERROR(SUMPRODUCT((YEAR(TRADE_LOG!$B$4:$B$5003)=2027)*(MONTH(TRADE_LOG!$B$4:$B$5003)=12)*IFERROR(TRADE_LOG!$AE$4:$AE$5003,0)),0)</f>
        <v>0</v>
      </c>
      <c r="N12" s="84" t="n">
        <f aca="false">SUM(B12:M12)</f>
        <v>0</v>
      </c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21.75" hidden="false" customHeight="true" outlineLevel="0" collapsed="false">
      <c r="A14" s="4" t="s">
        <v>242</v>
      </c>
      <c r="B14" s="4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false" outlineLevel="0" collapsed="false">
      <c r="A15" s="85" t="s">
        <v>243</v>
      </c>
      <c r="B15" s="85" t="s">
        <v>244</v>
      </c>
      <c r="C15" s="85" t="s">
        <v>245</v>
      </c>
      <c r="D15" s="85" t="s">
        <v>246</v>
      </c>
      <c r="E15" s="85" t="s">
        <v>247</v>
      </c>
      <c r="F15" s="85" t="s">
        <v>248</v>
      </c>
      <c r="G15" s="85" t="s">
        <v>249</v>
      </c>
      <c r="H15" s="85" t="s">
        <v>250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false" outlineLevel="0" collapsed="false">
      <c r="A16" s="86" t="n">
        <f aca="false">COUNTIF(TRADE_LOG!$AG$4:$AG$5003,"&lt;-3")</f>
        <v>0</v>
      </c>
      <c r="B16" s="86" t="n">
        <f aca="false">COUNTIFS(TRADE_LOG!$AG$4:$AG$5003,"&gt;=-3",TRADE_LOG!$AG$4:$AG$5003,"&lt;-2")</f>
        <v>0</v>
      </c>
      <c r="C16" s="86" t="n">
        <f aca="false">COUNTIFS(TRADE_LOG!$AG$4:$AG$5003,"&gt;=-2",TRADE_LOG!$AG$4:$AG$5003,"&lt;-1")</f>
        <v>0</v>
      </c>
      <c r="D16" s="86" t="n">
        <f aca="false">COUNTIFS(TRADE_LOG!$AG$4:$AG$5003,"&gt;=-1",TRADE_LOG!$AG$4:$AG$5003,"&lt;0")</f>
        <v>0</v>
      </c>
      <c r="E16" s="86" t="n">
        <f aca="false">COUNTIFS(TRADE_LOG!$AG$4:$AG$5003,"&gt;=0",TRADE_LOG!$AG$4:$AG$5003,"&lt;1")</f>
        <v>0</v>
      </c>
      <c r="F16" s="86" t="n">
        <f aca="false">COUNTIFS(TRADE_LOG!$AG$4:$AG$5003,"&gt;=1",TRADE_LOG!$AG$4:$AG$5003,"&lt;2")</f>
        <v>3</v>
      </c>
      <c r="G16" s="86" t="n">
        <f aca="false">COUNTIFS(TRADE_LOG!$AG$4:$AG$5003,"&gt;=2",TRADE_LOG!$AG$4:$AG$5003,"&lt;3")</f>
        <v>2</v>
      </c>
      <c r="H16" s="86" t="n">
        <f aca="false">COUNTIF(TRADE_LOG!$AG$4:$AG$5003,"&gt;=3")</f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21.75" hidden="false" customHeight="true" outlineLevel="0" collapsed="false">
      <c r="A18" s="4" t="s">
        <v>251</v>
      </c>
      <c r="B18" s="4"/>
      <c r="C18" s="4"/>
      <c r="D18" s="4"/>
      <c r="E18" s="4"/>
      <c r="F18" s="4"/>
      <c r="G18" s="4"/>
      <c r="H18" s="4"/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87" t="s">
        <v>252</v>
      </c>
      <c r="B19" s="68" t="n">
        <f aca="false">IF(TRADE_LOG!AH503="","N/A",COUNTIFS(TRADE_LOG!AH4:AH5003,TRADE_LOG!AH5003))</f>
        <v>0</v>
      </c>
      <c r="C19" s="87" t="s">
        <v>253</v>
      </c>
      <c r="D19" s="68" t="str">
        <f aca="false">IFERROR(LOOKUP(2,1/(TRADE_LOG!AH4:AH5003&lt;&gt;""),TRADE_LOG!AH4:AH5003),"N/A")</f>
        <v>Open</v>
      </c>
      <c r="E19" s="87" t="s">
        <v>254</v>
      </c>
      <c r="F19" s="68" t="n">
        <f aca="false">COUNTIF(TRADE_LOG!AH4:AH5003,"Win")</f>
        <v>5</v>
      </c>
      <c r="G19" s="87" t="s">
        <v>255</v>
      </c>
      <c r="H19" s="68" t="n">
        <f aca="false">COUNTIF(TRADE_LOG!AH4:AH5003,"Loss")</f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21.75" hidden="false" customHeight="true" outlineLevel="0" collapsed="false">
      <c r="A22" s="4" t="s">
        <v>256</v>
      </c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9" t="s">
        <v>257</v>
      </c>
      <c r="B23" s="9" t="s">
        <v>210</v>
      </c>
      <c r="C23" s="9" t="s">
        <v>258</v>
      </c>
      <c r="D23" s="9" t="s">
        <v>141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88" t="n">
        <f aca="false">IF(TRADE_LOG!A4="","",TRADE_LOG!A4)</f>
        <v>1</v>
      </c>
      <c r="B24" s="89" t="n">
        <f aca="false">IF(TRADE_LOG!B4="","",TRADE_LOG!B4)</f>
        <v>45306</v>
      </c>
      <c r="C24" s="90" t="n">
        <f aca="false">IF(TRADE_LOG!AE4="","",TRADE_LOG!AE4)</f>
        <v>1137.50000000001</v>
      </c>
      <c r="D24" s="90" t="n">
        <f aca="false">IF(TRADE_LOG!AO4="","",TRADE_LOG!AO4)</f>
        <v>51137.5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88" t="n">
        <f aca="false">IF(TRADE_LOG!A5="","",TRADE_LOG!A5)</f>
        <v>2</v>
      </c>
      <c r="B25" s="89" t="n">
        <f aca="false">IF(TRADE_LOG!B5="","",TRADE_LOG!B5)</f>
        <v>45307</v>
      </c>
      <c r="C25" s="90" t="n">
        <f aca="false">IF(TRADE_LOG!AE5="","",TRADE_LOG!AE5)</f>
        <v>916.666666666642</v>
      </c>
      <c r="D25" s="90" t="n">
        <f aca="false">IF(TRADE_LOG!AO5="","",TRADE_LOG!AO5)</f>
        <v>52054.1666666667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88" t="n">
        <f aca="false">IF(TRADE_LOG!A6="","",TRADE_LOG!A6)</f>
        <v>3</v>
      </c>
      <c r="B26" s="89" t="n">
        <f aca="false">IF(TRADE_LOG!B6="","",TRADE_LOG!B6)</f>
        <v>45308</v>
      </c>
      <c r="C26" s="90" t="n">
        <f aca="false">IF(TRADE_LOG!AE6="","",TRADE_LOG!AE6)</f>
        <v>1795</v>
      </c>
      <c r="D26" s="90" t="n">
        <f aca="false">IF(TRADE_LOG!AO6="","",TRADE_LOG!AO6)</f>
        <v>53849.1666666667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88" t="n">
        <f aca="false">IF(TRADE_LOG!A7="","",TRADE_LOG!A7)</f>
        <v>4</v>
      </c>
      <c r="B27" s="89" t="n">
        <f aca="false">IF(TRADE_LOG!B7="","",TRADE_LOG!B7)</f>
        <v>45309</v>
      </c>
      <c r="C27" s="90" t="n">
        <f aca="false">IF(TRADE_LOG!AE7="","",TRADE_LOG!AE7)</f>
        <v>618.811881188095</v>
      </c>
      <c r="D27" s="90" t="n">
        <f aca="false">IF(TRADE_LOG!AO7="","",TRADE_LOG!AO7)</f>
        <v>54467.9785478548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88" t="n">
        <f aca="false">IF(TRADE_LOG!A8="","",TRADE_LOG!A8)</f>
        <v>5</v>
      </c>
      <c r="B28" s="89" t="n">
        <f aca="false">IF(TRADE_LOG!B8="","",TRADE_LOG!B8)</f>
        <v>45313</v>
      </c>
      <c r="C28" s="90" t="n">
        <f aca="false">IF(TRADE_LOG!AE8="","",TRADE_LOG!AE8)</f>
        <v>749.999999999972</v>
      </c>
      <c r="D28" s="90" t="n">
        <f aca="false">IF(TRADE_LOG!AO8="","",TRADE_LOG!AO8)</f>
        <v>55217.9785478547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88" t="str">
        <f aca="false">IF(TRADE_LOG!A9="","",TRADE_LOG!A9)</f>
        <v/>
      </c>
      <c r="B29" s="89" t="str">
        <f aca="false">IF(TRADE_LOG!B9="","",TRADE_LOG!B9)</f>
        <v/>
      </c>
      <c r="C29" s="90" t="str">
        <f aca="false">IF(TRADE_LOG!AE9="","",TRADE_LOG!AE9)</f>
        <v/>
      </c>
      <c r="D29" s="90" t="str">
        <f aca="false">IF(TRADE_LOG!AO9="","",TRADE_LOG!AO9)</f>
        <v/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88" t="str">
        <f aca="false">IF(TRADE_LOG!A10="","",TRADE_LOG!A10)</f>
        <v/>
      </c>
      <c r="B30" s="89" t="str">
        <f aca="false">IF(TRADE_LOG!B10="","",TRADE_LOG!B10)</f>
        <v/>
      </c>
      <c r="C30" s="90" t="str">
        <f aca="false">IF(TRADE_LOG!AE10="","",TRADE_LOG!AE10)</f>
        <v/>
      </c>
      <c r="D30" s="90" t="str">
        <f aca="false">IF(TRADE_LOG!AO10="","",TRADE_LOG!AO10)</f>
        <v/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88" t="str">
        <f aca="false">IF(TRADE_LOG!A11="","",TRADE_LOG!A11)</f>
        <v/>
      </c>
      <c r="B31" s="89" t="str">
        <f aca="false">IF(TRADE_LOG!B11="","",TRADE_LOG!B11)</f>
        <v/>
      </c>
      <c r="C31" s="90" t="str">
        <f aca="false">IF(TRADE_LOG!AE11="","",TRADE_LOG!AE11)</f>
        <v/>
      </c>
      <c r="D31" s="90" t="str">
        <f aca="false">IF(TRADE_LOG!AO11="","",TRADE_LOG!AO11)</f>
        <v/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88" t="str">
        <f aca="false">IF(TRADE_LOG!A12="","",TRADE_LOG!A12)</f>
        <v/>
      </c>
      <c r="B32" s="89" t="str">
        <f aca="false">IF(TRADE_LOG!B12="","",TRADE_LOG!B12)</f>
        <v/>
      </c>
      <c r="C32" s="90" t="str">
        <f aca="false">IF(TRADE_LOG!AE12="","",TRADE_LOG!AE12)</f>
        <v/>
      </c>
      <c r="D32" s="90" t="str">
        <f aca="false">IF(TRADE_LOG!AO12="","",TRADE_LOG!AO12)</f>
        <v/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false" outlineLevel="0" collapsed="false">
      <c r="A33" s="88" t="str">
        <f aca="false">IF(TRADE_LOG!A13="","",TRADE_LOG!A13)</f>
        <v/>
      </c>
      <c r="B33" s="89" t="str">
        <f aca="false">IF(TRADE_LOG!B13="","",TRADE_LOG!B13)</f>
        <v/>
      </c>
      <c r="C33" s="90" t="str">
        <f aca="false">IF(TRADE_LOG!AE13="","",TRADE_LOG!AE13)</f>
        <v/>
      </c>
      <c r="D33" s="90" t="str">
        <f aca="false">IF(TRADE_LOG!AO13="","",TRADE_LOG!AO13)</f>
        <v/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false" outlineLevel="0" collapsed="false">
      <c r="A34" s="88" t="str">
        <f aca="false">IF(TRADE_LOG!A14="","",TRADE_LOG!A14)</f>
        <v/>
      </c>
      <c r="B34" s="89" t="str">
        <f aca="false">IF(TRADE_LOG!B14="","",TRADE_LOG!B14)</f>
        <v/>
      </c>
      <c r="C34" s="90" t="str">
        <f aca="false">IF(TRADE_LOG!AE14="","",TRADE_LOG!AE14)</f>
        <v/>
      </c>
      <c r="D34" s="90" t="str">
        <f aca="false">IF(TRADE_LOG!AO14="","",TRADE_LOG!AO14)</f>
        <v/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false" outlineLevel="0" collapsed="false">
      <c r="A35" s="88" t="str">
        <f aca="false">IF(TRADE_LOG!A15="","",TRADE_LOG!A15)</f>
        <v/>
      </c>
      <c r="B35" s="89" t="str">
        <f aca="false">IF(TRADE_LOG!B15="","",TRADE_LOG!B15)</f>
        <v/>
      </c>
      <c r="C35" s="90" t="str">
        <f aca="false">IF(TRADE_LOG!AE15="","",TRADE_LOG!AE15)</f>
        <v/>
      </c>
      <c r="D35" s="90" t="str">
        <f aca="false">IF(TRADE_LOG!AO15="","",TRADE_LOG!AO15)</f>
        <v/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false" outlineLevel="0" collapsed="false">
      <c r="A36" s="88" t="str">
        <f aca="false">IF(TRADE_LOG!A16="","",TRADE_LOG!A16)</f>
        <v/>
      </c>
      <c r="B36" s="89" t="str">
        <f aca="false">IF(TRADE_LOG!B16="","",TRADE_LOG!B16)</f>
        <v/>
      </c>
      <c r="C36" s="90" t="str">
        <f aca="false">IF(TRADE_LOG!AE16="","",TRADE_LOG!AE16)</f>
        <v/>
      </c>
      <c r="D36" s="90" t="str">
        <f aca="false">IF(TRADE_LOG!AO16="","",TRADE_LOG!AO16)</f>
        <v/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false" outlineLevel="0" collapsed="false">
      <c r="A37" s="88" t="str">
        <f aca="false">IF(TRADE_LOG!A17="","",TRADE_LOG!A17)</f>
        <v/>
      </c>
      <c r="B37" s="89" t="str">
        <f aca="false">IF(TRADE_LOG!B17="","",TRADE_LOG!B17)</f>
        <v/>
      </c>
      <c r="C37" s="90" t="str">
        <f aca="false">IF(TRADE_LOG!AE17="","",TRADE_LOG!AE17)</f>
        <v/>
      </c>
      <c r="D37" s="90" t="str">
        <f aca="false">IF(TRADE_LOG!AO17="","",TRADE_LOG!AO17)</f>
        <v/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false" outlineLevel="0" collapsed="false">
      <c r="A38" s="88" t="str">
        <f aca="false">IF(TRADE_LOG!A18="","",TRADE_LOG!A18)</f>
        <v/>
      </c>
      <c r="B38" s="89" t="str">
        <f aca="false">IF(TRADE_LOG!B18="","",TRADE_LOG!B18)</f>
        <v/>
      </c>
      <c r="C38" s="90" t="str">
        <f aca="false">IF(TRADE_LOG!AE18="","",TRADE_LOG!AE18)</f>
        <v/>
      </c>
      <c r="D38" s="90" t="str">
        <f aca="false">IF(TRADE_LOG!AO18="","",TRADE_LOG!AO18)</f>
        <v/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false" outlineLevel="0" collapsed="false">
      <c r="A39" s="88" t="str">
        <f aca="false">IF(TRADE_LOG!A19="","",TRADE_LOG!A19)</f>
        <v/>
      </c>
      <c r="B39" s="89" t="str">
        <f aca="false">IF(TRADE_LOG!B19="","",TRADE_LOG!B19)</f>
        <v/>
      </c>
      <c r="C39" s="90" t="str">
        <f aca="false">IF(TRADE_LOG!AE19="","",TRADE_LOG!AE19)</f>
        <v/>
      </c>
      <c r="D39" s="90" t="str">
        <f aca="false">IF(TRADE_LOG!AO19="","",TRADE_LOG!AO19)</f>
        <v/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88" t="str">
        <f aca="false">IF(TRADE_LOG!A20="","",TRADE_LOG!A20)</f>
        <v/>
      </c>
      <c r="B40" s="89" t="str">
        <f aca="false">IF(TRADE_LOG!B20="","",TRADE_LOG!B20)</f>
        <v/>
      </c>
      <c r="C40" s="90" t="str">
        <f aca="false">IF(TRADE_LOG!AE20="","",TRADE_LOG!AE20)</f>
        <v/>
      </c>
      <c r="D40" s="90" t="str">
        <f aca="false">IF(TRADE_LOG!AO20="","",TRADE_LOG!AO20)</f>
        <v/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false" outlineLevel="0" collapsed="false">
      <c r="A41" s="88" t="str">
        <f aca="false">IF(TRADE_LOG!A21="","",TRADE_LOG!A21)</f>
        <v/>
      </c>
      <c r="B41" s="89" t="str">
        <f aca="false">IF(TRADE_LOG!B21="","",TRADE_LOG!B21)</f>
        <v/>
      </c>
      <c r="C41" s="90" t="str">
        <f aca="false">IF(TRADE_LOG!AE21="","",TRADE_LOG!AE21)</f>
        <v/>
      </c>
      <c r="D41" s="90" t="str">
        <f aca="false">IF(TRADE_LOG!AO21="","",TRADE_LOG!AO21)</f>
        <v/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false" outlineLevel="0" collapsed="false">
      <c r="A42" s="88" t="str">
        <f aca="false">IF(TRADE_LOG!A22="","",TRADE_LOG!A22)</f>
        <v/>
      </c>
      <c r="B42" s="89" t="str">
        <f aca="false">IF(TRADE_LOG!B22="","",TRADE_LOG!B22)</f>
        <v/>
      </c>
      <c r="C42" s="90" t="str">
        <f aca="false">IF(TRADE_LOG!AE22="","",TRADE_LOG!AE22)</f>
        <v/>
      </c>
      <c r="D42" s="90" t="str">
        <f aca="false">IF(TRADE_LOG!AO22="","",TRADE_LOG!AO22)</f>
        <v/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false" outlineLevel="0" collapsed="false">
      <c r="A43" s="88" t="str">
        <f aca="false">IF(TRADE_LOG!A23="","",TRADE_LOG!A23)</f>
        <v/>
      </c>
      <c r="B43" s="89" t="str">
        <f aca="false">IF(TRADE_LOG!B23="","",TRADE_LOG!B23)</f>
        <v/>
      </c>
      <c r="C43" s="90" t="str">
        <f aca="false">IF(TRADE_LOG!AE23="","",TRADE_LOG!AE23)</f>
        <v/>
      </c>
      <c r="D43" s="90" t="str">
        <f aca="false">IF(TRADE_LOG!AO23="","",TRADE_LOG!AO23)</f>
        <v/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false" outlineLevel="0" collapsed="false">
      <c r="A44" s="88" t="str">
        <f aca="false">IF(TRADE_LOG!A24="","",TRADE_LOG!A24)</f>
        <v/>
      </c>
      <c r="B44" s="89" t="str">
        <f aca="false">IF(TRADE_LOG!B24="","",TRADE_LOG!B24)</f>
        <v/>
      </c>
      <c r="C44" s="90" t="str">
        <f aca="false">IF(TRADE_LOG!AE24="","",TRADE_LOG!AE24)</f>
        <v/>
      </c>
      <c r="D44" s="90" t="str">
        <f aca="false">IF(TRADE_LOG!AO24="","",TRADE_LOG!AO24)</f>
        <v/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false" outlineLevel="0" collapsed="false">
      <c r="A45" s="88" t="str">
        <f aca="false">IF(TRADE_LOG!A25="","",TRADE_LOG!A25)</f>
        <v/>
      </c>
      <c r="B45" s="89" t="str">
        <f aca="false">IF(TRADE_LOG!B25="","",TRADE_LOG!B25)</f>
        <v/>
      </c>
      <c r="C45" s="90" t="str">
        <f aca="false">IF(TRADE_LOG!AE25="","",TRADE_LOG!AE25)</f>
        <v/>
      </c>
      <c r="D45" s="90" t="str">
        <f aca="false">IF(TRADE_LOG!AO25="","",TRADE_LOG!AO25)</f>
        <v/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88" t="str">
        <f aca="false">IF(TRADE_LOG!A26="","",TRADE_LOG!A26)</f>
        <v/>
      </c>
      <c r="B46" s="89" t="str">
        <f aca="false">IF(TRADE_LOG!B26="","",TRADE_LOG!B26)</f>
        <v/>
      </c>
      <c r="C46" s="90" t="str">
        <f aca="false">IF(TRADE_LOG!AE26="","",TRADE_LOG!AE26)</f>
        <v/>
      </c>
      <c r="D46" s="90" t="str">
        <f aca="false">IF(TRADE_LOG!AO26="","",TRADE_LOG!AO26)</f>
        <v/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false" outlineLevel="0" collapsed="false">
      <c r="A47" s="88" t="str">
        <f aca="false">IF(TRADE_LOG!A27="","",TRADE_LOG!A27)</f>
        <v/>
      </c>
      <c r="B47" s="89" t="str">
        <f aca="false">IF(TRADE_LOG!B27="","",TRADE_LOG!B27)</f>
        <v/>
      </c>
      <c r="C47" s="90" t="str">
        <f aca="false">IF(TRADE_LOG!AE27="","",TRADE_LOG!AE27)</f>
        <v/>
      </c>
      <c r="D47" s="90" t="str">
        <f aca="false">IF(TRADE_LOG!AO27="","",TRADE_LOG!AO27)</f>
        <v/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false" outlineLevel="0" collapsed="false">
      <c r="A48" s="88" t="str">
        <f aca="false">IF(TRADE_LOG!A28="","",TRADE_LOG!A28)</f>
        <v/>
      </c>
      <c r="B48" s="89" t="str">
        <f aca="false">IF(TRADE_LOG!B28="","",TRADE_LOG!B28)</f>
        <v/>
      </c>
      <c r="C48" s="90" t="str">
        <f aca="false">IF(TRADE_LOG!AE28="","",TRADE_LOG!AE28)</f>
        <v/>
      </c>
      <c r="D48" s="90" t="str">
        <f aca="false">IF(TRADE_LOG!AO28="","",TRADE_LOG!AO28)</f>
        <v/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false" outlineLevel="0" collapsed="false">
      <c r="A49" s="88" t="str">
        <f aca="false">IF(TRADE_LOG!A29="","",TRADE_LOG!A29)</f>
        <v/>
      </c>
      <c r="B49" s="89" t="str">
        <f aca="false">IF(TRADE_LOG!B29="","",TRADE_LOG!B29)</f>
        <v/>
      </c>
      <c r="C49" s="90" t="str">
        <f aca="false">IF(TRADE_LOG!AE29="","",TRADE_LOG!AE29)</f>
        <v/>
      </c>
      <c r="D49" s="90" t="str">
        <f aca="false">IF(TRADE_LOG!AO29="","",TRADE_LOG!AO29)</f>
        <v/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false" outlineLevel="0" collapsed="false">
      <c r="A50" s="88" t="str">
        <f aca="false">IF(TRADE_LOG!A30="","",TRADE_LOG!A30)</f>
        <v/>
      </c>
      <c r="B50" s="89" t="str">
        <f aca="false">IF(TRADE_LOG!B30="","",TRADE_LOG!B30)</f>
        <v/>
      </c>
      <c r="C50" s="90" t="str">
        <f aca="false">IF(TRADE_LOG!AE30="","",TRADE_LOG!AE30)</f>
        <v/>
      </c>
      <c r="D50" s="90" t="str">
        <f aca="false">IF(TRADE_LOG!AO30="","",TRADE_LOG!AO30)</f>
        <v/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false" outlineLevel="0" collapsed="false">
      <c r="A51" s="88" t="str">
        <f aca="false">IF(TRADE_LOG!A31="","",TRADE_LOG!A31)</f>
        <v/>
      </c>
      <c r="B51" s="89" t="str">
        <f aca="false">IF(TRADE_LOG!B31="","",TRADE_LOG!B31)</f>
        <v/>
      </c>
      <c r="C51" s="90" t="str">
        <f aca="false">IF(TRADE_LOG!AE31="","",TRADE_LOG!AE31)</f>
        <v/>
      </c>
      <c r="D51" s="90" t="str">
        <f aca="false">IF(TRADE_LOG!AO31="","",TRADE_LOG!AO31)</f>
        <v/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false" outlineLevel="0" collapsed="false">
      <c r="A52" s="88" t="str">
        <f aca="false">IF(TRADE_LOG!A32="","",TRADE_LOG!A32)</f>
        <v/>
      </c>
      <c r="B52" s="89" t="str">
        <f aca="false">IF(TRADE_LOG!B32="","",TRADE_LOG!B32)</f>
        <v/>
      </c>
      <c r="C52" s="90" t="str">
        <f aca="false">IF(TRADE_LOG!AE32="","",TRADE_LOG!AE32)</f>
        <v/>
      </c>
      <c r="D52" s="90" t="str">
        <f aca="false">IF(TRADE_LOG!AO32="","",TRADE_LOG!AO32)</f>
        <v/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false" outlineLevel="0" collapsed="false">
      <c r="A53" s="88" t="str">
        <f aca="false">IF(TRADE_LOG!A33="","",TRADE_LOG!A33)</f>
        <v/>
      </c>
      <c r="B53" s="89" t="str">
        <f aca="false">IF(TRADE_LOG!B33="","",TRADE_LOG!B33)</f>
        <v/>
      </c>
      <c r="C53" s="90" t="str">
        <f aca="false">IF(TRADE_LOG!AE33="","",TRADE_LOG!AE33)</f>
        <v/>
      </c>
      <c r="D53" s="90" t="str">
        <f aca="false">IF(TRADE_LOG!AO33="","",TRADE_LOG!AO33)</f>
        <v/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false" outlineLevel="0" collapsed="false">
      <c r="A54" s="88" t="str">
        <f aca="false">IF(TRADE_LOG!A34="","",TRADE_LOG!A34)</f>
        <v/>
      </c>
      <c r="B54" s="89" t="str">
        <f aca="false">IF(TRADE_LOG!B34="","",TRADE_LOG!B34)</f>
        <v/>
      </c>
      <c r="C54" s="90" t="str">
        <f aca="false">IF(TRADE_LOG!AE34="","",TRADE_LOG!AE34)</f>
        <v/>
      </c>
      <c r="D54" s="90" t="str">
        <f aca="false">IF(TRADE_LOG!AO34="","",TRADE_LOG!AO34)</f>
        <v/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false" outlineLevel="0" collapsed="false">
      <c r="A55" s="88" t="str">
        <f aca="false">IF(TRADE_LOG!A35="","",TRADE_LOG!A35)</f>
        <v/>
      </c>
      <c r="B55" s="89" t="str">
        <f aca="false">IF(TRADE_LOG!B35="","",TRADE_LOG!B35)</f>
        <v/>
      </c>
      <c r="C55" s="90" t="str">
        <f aca="false">IF(TRADE_LOG!AE35="","",TRADE_LOG!AE35)</f>
        <v/>
      </c>
      <c r="D55" s="90" t="str">
        <f aca="false">IF(TRADE_LOG!AO35="","",TRADE_LOG!AO35)</f>
        <v/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false" outlineLevel="0" collapsed="false">
      <c r="A56" s="88" t="str">
        <f aca="false">IF(TRADE_LOG!A36="","",TRADE_LOG!A36)</f>
        <v/>
      </c>
      <c r="B56" s="89" t="str">
        <f aca="false">IF(TRADE_LOG!B36="","",TRADE_LOG!B36)</f>
        <v/>
      </c>
      <c r="C56" s="90" t="str">
        <f aca="false">IF(TRADE_LOG!AE36="","",TRADE_LOG!AE36)</f>
        <v/>
      </c>
      <c r="D56" s="90" t="str">
        <f aca="false">IF(TRADE_LOG!AO36="","",TRADE_LOG!AO36)</f>
        <v/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false" outlineLevel="0" collapsed="false">
      <c r="A57" s="88" t="str">
        <f aca="false">IF(TRADE_LOG!A37="","",TRADE_LOG!A37)</f>
        <v/>
      </c>
      <c r="B57" s="89" t="str">
        <f aca="false">IF(TRADE_LOG!B37="","",TRADE_LOG!B37)</f>
        <v/>
      </c>
      <c r="C57" s="90" t="str">
        <f aca="false">IF(TRADE_LOG!AE37="","",TRADE_LOG!AE37)</f>
        <v/>
      </c>
      <c r="D57" s="90" t="str">
        <f aca="false">IF(TRADE_LOG!AO37="","",TRADE_LOG!AO37)</f>
        <v/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false" outlineLevel="0" collapsed="false">
      <c r="A58" s="88" t="str">
        <f aca="false">IF(TRADE_LOG!A38="","",TRADE_LOG!A38)</f>
        <v/>
      </c>
      <c r="B58" s="89" t="str">
        <f aca="false">IF(TRADE_LOG!B38="","",TRADE_LOG!B38)</f>
        <v/>
      </c>
      <c r="C58" s="90" t="str">
        <f aca="false">IF(TRADE_LOG!AE38="","",TRADE_LOG!AE38)</f>
        <v/>
      </c>
      <c r="D58" s="90" t="str">
        <f aca="false">IF(TRADE_LOG!AO38="","",TRADE_LOG!AO38)</f>
        <v/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false" outlineLevel="0" collapsed="false">
      <c r="A59" s="88" t="str">
        <f aca="false">IF(TRADE_LOG!A39="","",TRADE_LOG!A39)</f>
        <v/>
      </c>
      <c r="B59" s="89" t="str">
        <f aca="false">IF(TRADE_LOG!B39="","",TRADE_LOG!B39)</f>
        <v/>
      </c>
      <c r="C59" s="90" t="str">
        <f aca="false">IF(TRADE_LOG!AE39="","",TRADE_LOG!AE39)</f>
        <v/>
      </c>
      <c r="D59" s="90" t="str">
        <f aca="false">IF(TRADE_LOG!AO39="","",TRADE_LOG!AO39)</f>
        <v/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false" outlineLevel="0" collapsed="false">
      <c r="A60" s="88" t="str">
        <f aca="false">IF(TRADE_LOG!A40="","",TRADE_LOG!A40)</f>
        <v/>
      </c>
      <c r="B60" s="89" t="str">
        <f aca="false">IF(TRADE_LOG!B40="","",TRADE_LOG!B40)</f>
        <v/>
      </c>
      <c r="C60" s="90" t="str">
        <f aca="false">IF(TRADE_LOG!AE40="","",TRADE_LOG!AE40)</f>
        <v/>
      </c>
      <c r="D60" s="90" t="str">
        <f aca="false">IF(TRADE_LOG!AO40="","",TRADE_LOG!AO40)</f>
        <v/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false" outlineLevel="0" collapsed="false">
      <c r="A61" s="88" t="str">
        <f aca="false">IF(TRADE_LOG!A41="","",TRADE_LOG!A41)</f>
        <v/>
      </c>
      <c r="B61" s="89" t="str">
        <f aca="false">IF(TRADE_LOG!B41="","",TRADE_LOG!B41)</f>
        <v/>
      </c>
      <c r="C61" s="90" t="str">
        <f aca="false">IF(TRADE_LOG!AE41="","",TRADE_LOG!AE41)</f>
        <v/>
      </c>
      <c r="D61" s="90" t="str">
        <f aca="false">IF(TRADE_LOG!AO41="","",TRADE_LOG!AO41)</f>
        <v/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false" outlineLevel="0" collapsed="false">
      <c r="A62" s="88" t="str">
        <f aca="false">IF(TRADE_LOG!A42="","",TRADE_LOG!A42)</f>
        <v/>
      </c>
      <c r="B62" s="89" t="str">
        <f aca="false">IF(TRADE_LOG!B42="","",TRADE_LOG!B42)</f>
        <v/>
      </c>
      <c r="C62" s="90" t="str">
        <f aca="false">IF(TRADE_LOG!AE42="","",TRADE_LOG!AE42)</f>
        <v/>
      </c>
      <c r="D62" s="90" t="str">
        <f aca="false">IF(TRADE_LOG!AO42="","",TRADE_LOG!AO42)</f>
        <v/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false" outlineLevel="0" collapsed="false">
      <c r="A63" s="88" t="str">
        <f aca="false">IF(TRADE_LOG!A43="","",TRADE_LOG!A43)</f>
        <v/>
      </c>
      <c r="B63" s="89" t="str">
        <f aca="false">IF(TRADE_LOG!B43="","",TRADE_LOG!B43)</f>
        <v/>
      </c>
      <c r="C63" s="90" t="str">
        <f aca="false">IF(TRADE_LOG!AE43="","",TRADE_LOG!AE43)</f>
        <v/>
      </c>
      <c r="D63" s="90" t="str">
        <f aca="false">IF(TRADE_LOG!AO43="","",TRADE_LOG!AO43)</f>
        <v/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false" outlineLevel="0" collapsed="false">
      <c r="A64" s="88" t="str">
        <f aca="false">IF(TRADE_LOG!A44="","",TRADE_LOG!A44)</f>
        <v/>
      </c>
      <c r="B64" s="89" t="str">
        <f aca="false">IF(TRADE_LOG!B44="","",TRADE_LOG!B44)</f>
        <v/>
      </c>
      <c r="C64" s="90" t="str">
        <f aca="false">IF(TRADE_LOG!AE44="","",TRADE_LOG!AE44)</f>
        <v/>
      </c>
      <c r="D64" s="90" t="str">
        <f aca="false">IF(TRADE_LOG!AO44="","",TRADE_LOG!AO44)</f>
        <v/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false" outlineLevel="0" collapsed="false">
      <c r="A65" s="88" t="str">
        <f aca="false">IF(TRADE_LOG!A45="","",TRADE_LOG!A45)</f>
        <v/>
      </c>
      <c r="B65" s="89" t="str">
        <f aca="false">IF(TRADE_LOG!B45="","",TRADE_LOG!B45)</f>
        <v/>
      </c>
      <c r="C65" s="90" t="str">
        <f aca="false">IF(TRADE_LOG!AE45="","",TRADE_LOG!AE45)</f>
        <v/>
      </c>
      <c r="D65" s="90" t="str">
        <f aca="false">IF(TRADE_LOG!AO45="","",TRADE_LOG!AO45)</f>
        <v/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false" outlineLevel="0" collapsed="false">
      <c r="A66" s="88" t="str">
        <f aca="false">IF(TRADE_LOG!A46="","",TRADE_LOG!A46)</f>
        <v/>
      </c>
      <c r="B66" s="89" t="str">
        <f aca="false">IF(TRADE_LOG!B46="","",TRADE_LOG!B46)</f>
        <v/>
      </c>
      <c r="C66" s="90" t="str">
        <f aca="false">IF(TRADE_LOG!AE46="","",TRADE_LOG!AE46)</f>
        <v/>
      </c>
      <c r="D66" s="90" t="str">
        <f aca="false">IF(TRADE_LOG!AO46="","",TRADE_LOG!AO46)</f>
        <v/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false" outlineLevel="0" collapsed="false">
      <c r="A67" s="88" t="str">
        <f aca="false">IF(TRADE_LOG!A47="","",TRADE_LOG!A47)</f>
        <v/>
      </c>
      <c r="B67" s="89" t="str">
        <f aca="false">IF(TRADE_LOG!B47="","",TRADE_LOG!B47)</f>
        <v/>
      </c>
      <c r="C67" s="90" t="str">
        <f aca="false">IF(TRADE_LOG!AE47="","",TRADE_LOG!AE47)</f>
        <v/>
      </c>
      <c r="D67" s="90" t="str">
        <f aca="false">IF(TRADE_LOG!AO47="","",TRADE_LOG!AO47)</f>
        <v/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false" outlineLevel="0" collapsed="false">
      <c r="A68" s="88" t="str">
        <f aca="false">IF(TRADE_LOG!A48="","",TRADE_LOG!A48)</f>
        <v/>
      </c>
      <c r="B68" s="89" t="str">
        <f aca="false">IF(TRADE_LOG!B48="","",TRADE_LOG!B48)</f>
        <v/>
      </c>
      <c r="C68" s="90" t="str">
        <f aca="false">IF(TRADE_LOG!AE48="","",TRADE_LOG!AE48)</f>
        <v/>
      </c>
      <c r="D68" s="90" t="str">
        <f aca="false">IF(TRADE_LOG!AO48="","",TRADE_LOG!AO48)</f>
        <v/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false" outlineLevel="0" collapsed="false">
      <c r="A69" s="88" t="str">
        <f aca="false">IF(TRADE_LOG!A49="","",TRADE_LOG!A49)</f>
        <v/>
      </c>
      <c r="B69" s="89" t="str">
        <f aca="false">IF(TRADE_LOG!B49="","",TRADE_LOG!B49)</f>
        <v/>
      </c>
      <c r="C69" s="90" t="str">
        <f aca="false">IF(TRADE_LOG!AE49="","",TRADE_LOG!AE49)</f>
        <v/>
      </c>
      <c r="D69" s="90" t="str">
        <f aca="false">IF(TRADE_LOG!AO49="","",TRADE_LOG!AO49)</f>
        <v/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false" outlineLevel="0" collapsed="false">
      <c r="A70" s="88" t="str">
        <f aca="false">IF(TRADE_LOG!A50="","",TRADE_LOG!A50)</f>
        <v/>
      </c>
      <c r="B70" s="89" t="str">
        <f aca="false">IF(TRADE_LOG!B50="","",TRADE_LOG!B50)</f>
        <v/>
      </c>
      <c r="C70" s="90" t="str">
        <f aca="false">IF(TRADE_LOG!AE50="","",TRADE_LOG!AE50)</f>
        <v/>
      </c>
      <c r="D70" s="90" t="str">
        <f aca="false">IF(TRADE_LOG!AO50="","",TRADE_LOG!AO50)</f>
        <v/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false" outlineLevel="0" collapsed="false">
      <c r="A71" s="88" t="str">
        <f aca="false">IF(TRADE_LOG!A51="","",TRADE_LOG!A51)</f>
        <v/>
      </c>
      <c r="B71" s="89" t="str">
        <f aca="false">IF(TRADE_LOG!B51="","",TRADE_LOG!B51)</f>
        <v/>
      </c>
      <c r="C71" s="90" t="str">
        <f aca="false">IF(TRADE_LOG!AE51="","",TRADE_LOG!AE51)</f>
        <v/>
      </c>
      <c r="D71" s="90" t="str">
        <f aca="false">IF(TRADE_LOG!AO51="","",TRADE_LOG!AO51)</f>
        <v/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false" outlineLevel="0" collapsed="false">
      <c r="A72" s="88" t="str">
        <f aca="false">IF(TRADE_LOG!A52="","",TRADE_LOG!A52)</f>
        <v/>
      </c>
      <c r="B72" s="89" t="str">
        <f aca="false">IF(TRADE_LOG!B52="","",TRADE_LOG!B52)</f>
        <v/>
      </c>
      <c r="C72" s="90" t="str">
        <f aca="false">IF(TRADE_LOG!AE52="","",TRADE_LOG!AE52)</f>
        <v/>
      </c>
      <c r="D72" s="90" t="str">
        <f aca="false">IF(TRADE_LOG!AO52="","",TRADE_LOG!AO52)</f>
        <v/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false" outlineLevel="0" collapsed="false">
      <c r="A73" s="88" t="str">
        <f aca="false">IF(TRADE_LOG!A53="","",TRADE_LOG!A53)</f>
        <v/>
      </c>
      <c r="B73" s="89" t="str">
        <f aca="false">IF(TRADE_LOG!B53="","",TRADE_LOG!B53)</f>
        <v/>
      </c>
      <c r="C73" s="90" t="str">
        <f aca="false">IF(TRADE_LOG!AE53="","",TRADE_LOG!AE53)</f>
        <v/>
      </c>
      <c r="D73" s="90" t="str">
        <f aca="false">IF(TRADE_LOG!AO53="","",TRADE_LOG!AO53)</f>
        <v/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false" outlineLevel="0" collapsed="false">
      <c r="A74" s="88" t="str">
        <f aca="false">IF(TRADE_LOG!A54="","",TRADE_LOG!A54)</f>
        <v/>
      </c>
      <c r="B74" s="89" t="str">
        <f aca="false">IF(TRADE_LOG!B54="","",TRADE_LOG!B54)</f>
        <v/>
      </c>
      <c r="C74" s="90" t="str">
        <f aca="false">IF(TRADE_LOG!AE54="","",TRADE_LOG!AE54)</f>
        <v/>
      </c>
      <c r="D74" s="90" t="str">
        <f aca="false">IF(TRADE_LOG!AO54="","",TRADE_LOG!AO54)</f>
        <v/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false" outlineLevel="0" collapsed="false">
      <c r="A75" s="88" t="str">
        <f aca="false">IF(TRADE_LOG!A55="","",TRADE_LOG!A55)</f>
        <v/>
      </c>
      <c r="B75" s="89" t="str">
        <f aca="false">IF(TRADE_LOG!B55="","",TRADE_LOG!B55)</f>
        <v/>
      </c>
      <c r="C75" s="90" t="str">
        <f aca="false">IF(TRADE_LOG!AE55="","",TRADE_LOG!AE55)</f>
        <v/>
      </c>
      <c r="D75" s="90" t="str">
        <f aca="false">IF(TRADE_LOG!AO55="","",TRADE_LOG!AO55)</f>
        <v/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false" outlineLevel="0" collapsed="false">
      <c r="A76" s="88" t="str">
        <f aca="false">IF(TRADE_LOG!A56="","",TRADE_LOG!A56)</f>
        <v/>
      </c>
      <c r="B76" s="89" t="str">
        <f aca="false">IF(TRADE_LOG!B56="","",TRADE_LOG!B56)</f>
        <v/>
      </c>
      <c r="C76" s="90" t="str">
        <f aca="false">IF(TRADE_LOG!AE56="","",TRADE_LOG!AE56)</f>
        <v/>
      </c>
      <c r="D76" s="90" t="str">
        <f aca="false">IF(TRADE_LOG!AO56="","",TRADE_LOG!AO56)</f>
        <v/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false" outlineLevel="0" collapsed="false">
      <c r="A77" s="88" t="str">
        <f aca="false">IF(TRADE_LOG!A57="","",TRADE_LOG!A57)</f>
        <v/>
      </c>
      <c r="B77" s="89" t="str">
        <f aca="false">IF(TRADE_LOG!B57="","",TRADE_LOG!B57)</f>
        <v/>
      </c>
      <c r="C77" s="90" t="str">
        <f aca="false">IF(TRADE_LOG!AE57="","",TRADE_LOG!AE57)</f>
        <v/>
      </c>
      <c r="D77" s="90" t="str">
        <f aca="false">IF(TRADE_LOG!AO57="","",TRADE_LOG!AO57)</f>
        <v/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" hidden="false" customHeight="false" outlineLevel="0" collapsed="false">
      <c r="A78" s="88" t="str">
        <f aca="false">IF(TRADE_LOG!A58="","",TRADE_LOG!A58)</f>
        <v/>
      </c>
      <c r="B78" s="89" t="str">
        <f aca="false">IF(TRADE_LOG!B58="","",TRADE_LOG!B58)</f>
        <v/>
      </c>
      <c r="C78" s="90" t="str">
        <f aca="false">IF(TRADE_LOG!AE58="","",TRADE_LOG!AE58)</f>
        <v/>
      </c>
      <c r="D78" s="90" t="str">
        <f aca="false">IF(TRADE_LOG!AO58="","",TRADE_LOG!AO58)</f>
        <v/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" hidden="false" customHeight="false" outlineLevel="0" collapsed="false">
      <c r="A79" s="88" t="str">
        <f aca="false">IF(TRADE_LOG!A59="","",TRADE_LOG!A59)</f>
        <v/>
      </c>
      <c r="B79" s="89" t="str">
        <f aca="false">IF(TRADE_LOG!B59="","",TRADE_LOG!B59)</f>
        <v/>
      </c>
      <c r="C79" s="90" t="str">
        <f aca="false">IF(TRADE_LOG!AE59="","",TRADE_LOG!AE59)</f>
        <v/>
      </c>
      <c r="D79" s="90" t="str">
        <f aca="false">IF(TRADE_LOG!AO59="","",TRADE_LOG!AO59)</f>
        <v/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" hidden="false" customHeight="false" outlineLevel="0" collapsed="false">
      <c r="A80" s="88" t="str">
        <f aca="false">IF(TRADE_LOG!A60="","",TRADE_LOG!A60)</f>
        <v/>
      </c>
      <c r="B80" s="89" t="str">
        <f aca="false">IF(TRADE_LOG!B60="","",TRADE_LOG!B60)</f>
        <v/>
      </c>
      <c r="C80" s="90" t="str">
        <f aca="false">IF(TRADE_LOG!AE60="","",TRADE_LOG!AE60)</f>
        <v/>
      </c>
      <c r="D80" s="90" t="str">
        <f aca="false">IF(TRADE_LOG!AO60="","",TRADE_LOG!AO60)</f>
        <v/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" hidden="false" customHeight="false" outlineLevel="0" collapsed="false">
      <c r="A81" s="88" t="str">
        <f aca="false">IF(TRADE_LOG!A61="","",TRADE_LOG!A61)</f>
        <v/>
      </c>
      <c r="B81" s="89" t="str">
        <f aca="false">IF(TRADE_LOG!B61="","",TRADE_LOG!B61)</f>
        <v/>
      </c>
      <c r="C81" s="90" t="str">
        <f aca="false">IF(TRADE_LOG!AE61="","",TRADE_LOG!AE61)</f>
        <v/>
      </c>
      <c r="D81" s="90" t="str">
        <f aca="false">IF(TRADE_LOG!AO61="","",TRADE_LOG!AO61)</f>
        <v/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" hidden="false" customHeight="false" outlineLevel="0" collapsed="false">
      <c r="A82" s="88" t="str">
        <f aca="false">IF(TRADE_LOG!A62="","",TRADE_LOG!A62)</f>
        <v/>
      </c>
      <c r="B82" s="89" t="str">
        <f aca="false">IF(TRADE_LOG!B62="","",TRADE_LOG!B62)</f>
        <v/>
      </c>
      <c r="C82" s="90" t="str">
        <f aca="false">IF(TRADE_LOG!AE62="","",TRADE_LOG!AE62)</f>
        <v/>
      </c>
      <c r="D82" s="90" t="str">
        <f aca="false">IF(TRADE_LOG!AO62="","",TRADE_LOG!AO62)</f>
        <v/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" hidden="false" customHeight="false" outlineLevel="0" collapsed="false">
      <c r="A83" s="88" t="str">
        <f aca="false">IF(TRADE_LOG!A63="","",TRADE_LOG!A63)</f>
        <v/>
      </c>
      <c r="B83" s="89" t="str">
        <f aca="false">IF(TRADE_LOG!B63="","",TRADE_LOG!B63)</f>
        <v/>
      </c>
      <c r="C83" s="90" t="str">
        <f aca="false">IF(TRADE_LOG!AE63="","",TRADE_LOG!AE63)</f>
        <v/>
      </c>
      <c r="D83" s="90" t="str">
        <f aca="false">IF(TRADE_LOG!AO63="","",TRADE_LOG!AO63)</f>
        <v/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" hidden="false" customHeight="false" outlineLevel="0" collapsed="false">
      <c r="A84" s="88" t="str">
        <f aca="false">IF(TRADE_LOG!A64="","",TRADE_LOG!A64)</f>
        <v/>
      </c>
      <c r="B84" s="89" t="str">
        <f aca="false">IF(TRADE_LOG!B64="","",TRADE_LOG!B64)</f>
        <v/>
      </c>
      <c r="C84" s="90" t="str">
        <f aca="false">IF(TRADE_LOG!AE64="","",TRADE_LOG!AE64)</f>
        <v/>
      </c>
      <c r="D84" s="90" t="str">
        <f aca="false">IF(TRADE_LOG!AO64="","",TRADE_LOG!AO64)</f>
        <v/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false" outlineLevel="0" collapsed="false">
      <c r="A85" s="88" t="str">
        <f aca="false">IF(TRADE_LOG!A65="","",TRADE_LOG!A65)</f>
        <v/>
      </c>
      <c r="B85" s="89" t="str">
        <f aca="false">IF(TRADE_LOG!B65="","",TRADE_LOG!B65)</f>
        <v/>
      </c>
      <c r="C85" s="90" t="str">
        <f aca="false">IF(TRADE_LOG!AE65="","",TRADE_LOG!AE65)</f>
        <v/>
      </c>
      <c r="D85" s="90" t="str">
        <f aca="false">IF(TRADE_LOG!AO65="","",TRADE_LOG!AO65)</f>
        <v/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" hidden="false" customHeight="false" outlineLevel="0" collapsed="false">
      <c r="A86" s="88" t="str">
        <f aca="false">IF(TRADE_LOG!A66="","",TRADE_LOG!A66)</f>
        <v/>
      </c>
      <c r="B86" s="89" t="str">
        <f aca="false">IF(TRADE_LOG!B66="","",TRADE_LOG!B66)</f>
        <v/>
      </c>
      <c r="C86" s="90" t="str">
        <f aca="false">IF(TRADE_LOG!AE66="","",TRADE_LOG!AE66)</f>
        <v/>
      </c>
      <c r="D86" s="90" t="str">
        <f aca="false">IF(TRADE_LOG!AO66="","",TRADE_LOG!AO66)</f>
        <v/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" hidden="false" customHeight="false" outlineLevel="0" collapsed="false">
      <c r="A87" s="88" t="str">
        <f aca="false">IF(TRADE_LOG!A67="","",TRADE_LOG!A67)</f>
        <v/>
      </c>
      <c r="B87" s="89" t="str">
        <f aca="false">IF(TRADE_LOG!B67="","",TRADE_LOG!B67)</f>
        <v/>
      </c>
      <c r="C87" s="90" t="str">
        <f aca="false">IF(TRADE_LOG!AE67="","",TRADE_LOG!AE67)</f>
        <v/>
      </c>
      <c r="D87" s="90" t="str">
        <f aca="false">IF(TRADE_LOG!AO67="","",TRADE_LOG!AO67)</f>
        <v/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" hidden="false" customHeight="false" outlineLevel="0" collapsed="false">
      <c r="A88" s="88" t="str">
        <f aca="false">IF(TRADE_LOG!A68="","",TRADE_LOG!A68)</f>
        <v/>
      </c>
      <c r="B88" s="89" t="str">
        <f aca="false">IF(TRADE_LOG!B68="","",TRADE_LOG!B68)</f>
        <v/>
      </c>
      <c r="C88" s="90" t="str">
        <f aca="false">IF(TRADE_LOG!AE68="","",TRADE_LOG!AE68)</f>
        <v/>
      </c>
      <c r="D88" s="90" t="str">
        <f aca="false">IF(TRADE_LOG!AO68="","",TRADE_LOG!AO68)</f>
        <v/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" hidden="false" customHeight="false" outlineLevel="0" collapsed="false">
      <c r="A89" s="88" t="str">
        <f aca="false">IF(TRADE_LOG!A69="","",TRADE_LOG!A69)</f>
        <v/>
      </c>
      <c r="B89" s="89" t="str">
        <f aca="false">IF(TRADE_LOG!B69="","",TRADE_LOG!B69)</f>
        <v/>
      </c>
      <c r="C89" s="90" t="str">
        <f aca="false">IF(TRADE_LOG!AE69="","",TRADE_LOG!AE69)</f>
        <v/>
      </c>
      <c r="D89" s="90" t="str">
        <f aca="false">IF(TRADE_LOG!AO69="","",TRADE_LOG!AO69)</f>
        <v/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" hidden="false" customHeight="false" outlineLevel="0" collapsed="false">
      <c r="A90" s="88" t="str">
        <f aca="false">IF(TRADE_LOG!A70="","",TRADE_LOG!A70)</f>
        <v/>
      </c>
      <c r="B90" s="89" t="str">
        <f aca="false">IF(TRADE_LOG!B70="","",TRADE_LOG!B70)</f>
        <v/>
      </c>
      <c r="C90" s="90" t="str">
        <f aca="false">IF(TRADE_LOG!AE70="","",TRADE_LOG!AE70)</f>
        <v/>
      </c>
      <c r="D90" s="90" t="str">
        <f aca="false">IF(TRADE_LOG!AO70="","",TRADE_LOG!AO70)</f>
        <v/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" hidden="false" customHeight="false" outlineLevel="0" collapsed="false">
      <c r="A91" s="88" t="str">
        <f aca="false">IF(TRADE_LOG!A71="","",TRADE_LOG!A71)</f>
        <v/>
      </c>
      <c r="B91" s="89" t="str">
        <f aca="false">IF(TRADE_LOG!B71="","",TRADE_LOG!B71)</f>
        <v/>
      </c>
      <c r="C91" s="90" t="str">
        <f aca="false">IF(TRADE_LOG!AE71="","",TRADE_LOG!AE71)</f>
        <v/>
      </c>
      <c r="D91" s="90" t="str">
        <f aca="false">IF(TRADE_LOG!AO71="","",TRADE_LOG!AO71)</f>
        <v/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" hidden="false" customHeight="false" outlineLevel="0" collapsed="false">
      <c r="A92" s="88" t="str">
        <f aca="false">IF(TRADE_LOG!A72="","",TRADE_LOG!A72)</f>
        <v/>
      </c>
      <c r="B92" s="89" t="str">
        <f aca="false">IF(TRADE_LOG!B72="","",TRADE_LOG!B72)</f>
        <v/>
      </c>
      <c r="C92" s="90" t="str">
        <f aca="false">IF(TRADE_LOG!AE72="","",TRADE_LOG!AE72)</f>
        <v/>
      </c>
      <c r="D92" s="90" t="str">
        <f aca="false">IF(TRADE_LOG!AO72="","",TRADE_LOG!AO72)</f>
        <v/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" hidden="false" customHeight="false" outlineLevel="0" collapsed="false">
      <c r="A93" s="88" t="str">
        <f aca="false">IF(TRADE_LOG!A73="","",TRADE_LOG!A73)</f>
        <v/>
      </c>
      <c r="B93" s="89" t="str">
        <f aca="false">IF(TRADE_LOG!B73="","",TRADE_LOG!B73)</f>
        <v/>
      </c>
      <c r="C93" s="90" t="str">
        <f aca="false">IF(TRADE_LOG!AE73="","",TRADE_LOG!AE73)</f>
        <v/>
      </c>
      <c r="D93" s="90" t="str">
        <f aca="false">IF(TRADE_LOG!AO73="","",TRADE_LOG!AO73)</f>
        <v/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" hidden="false" customHeight="false" outlineLevel="0" collapsed="false">
      <c r="A94" s="88" t="str">
        <f aca="false">IF(TRADE_LOG!A74="","",TRADE_LOG!A74)</f>
        <v/>
      </c>
      <c r="B94" s="89" t="str">
        <f aca="false">IF(TRADE_LOG!B74="","",TRADE_LOG!B74)</f>
        <v/>
      </c>
      <c r="C94" s="90" t="str">
        <f aca="false">IF(TRADE_LOG!AE74="","",TRADE_LOG!AE74)</f>
        <v/>
      </c>
      <c r="D94" s="90" t="str">
        <f aca="false">IF(TRADE_LOG!AO74="","",TRADE_LOG!AO74)</f>
        <v/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" hidden="false" customHeight="false" outlineLevel="0" collapsed="false">
      <c r="A95" s="88" t="str">
        <f aca="false">IF(TRADE_LOG!A75="","",TRADE_LOG!A75)</f>
        <v/>
      </c>
      <c r="B95" s="89" t="str">
        <f aca="false">IF(TRADE_LOG!B75="","",TRADE_LOG!B75)</f>
        <v/>
      </c>
      <c r="C95" s="90" t="str">
        <f aca="false">IF(TRADE_LOG!AE75="","",TRADE_LOG!AE75)</f>
        <v/>
      </c>
      <c r="D95" s="90" t="str">
        <f aca="false">IF(TRADE_LOG!AO75="","",TRADE_LOG!AO75)</f>
        <v/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" hidden="false" customHeight="false" outlineLevel="0" collapsed="false">
      <c r="A96" s="88" t="str">
        <f aca="false">IF(TRADE_LOG!A76="","",TRADE_LOG!A76)</f>
        <v/>
      </c>
      <c r="B96" s="89" t="str">
        <f aca="false">IF(TRADE_LOG!B76="","",TRADE_LOG!B76)</f>
        <v/>
      </c>
      <c r="C96" s="90" t="str">
        <f aca="false">IF(TRADE_LOG!AE76="","",TRADE_LOG!AE76)</f>
        <v/>
      </c>
      <c r="D96" s="90" t="str">
        <f aca="false">IF(TRADE_LOG!AO76="","",TRADE_LOG!AO76)</f>
        <v/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" hidden="false" customHeight="false" outlineLevel="0" collapsed="false">
      <c r="A97" s="88" t="str">
        <f aca="false">IF(TRADE_LOG!A77="","",TRADE_LOG!A77)</f>
        <v/>
      </c>
      <c r="B97" s="89" t="str">
        <f aca="false">IF(TRADE_LOG!B77="","",TRADE_LOG!B77)</f>
        <v/>
      </c>
      <c r="C97" s="90" t="str">
        <f aca="false">IF(TRADE_LOG!AE77="","",TRADE_LOG!AE77)</f>
        <v/>
      </c>
      <c r="D97" s="90" t="str">
        <f aca="false">IF(TRADE_LOG!AO77="","",TRADE_LOG!AO77)</f>
        <v/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" hidden="false" customHeight="false" outlineLevel="0" collapsed="false">
      <c r="A98" s="88" t="str">
        <f aca="false">IF(TRADE_LOG!A78="","",TRADE_LOG!A78)</f>
        <v/>
      </c>
      <c r="B98" s="89" t="str">
        <f aca="false">IF(TRADE_LOG!B78="","",TRADE_LOG!B78)</f>
        <v/>
      </c>
      <c r="C98" s="90" t="str">
        <f aca="false">IF(TRADE_LOG!AE78="","",TRADE_LOG!AE78)</f>
        <v/>
      </c>
      <c r="D98" s="90" t="str">
        <f aca="false">IF(TRADE_LOG!AO78="","",TRADE_LOG!AO78)</f>
        <v/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" hidden="false" customHeight="false" outlineLevel="0" collapsed="false">
      <c r="A99" s="88" t="str">
        <f aca="false">IF(TRADE_LOG!A79="","",TRADE_LOG!A79)</f>
        <v/>
      </c>
      <c r="B99" s="89" t="str">
        <f aca="false">IF(TRADE_LOG!B79="","",TRADE_LOG!B79)</f>
        <v/>
      </c>
      <c r="C99" s="90" t="str">
        <f aca="false">IF(TRADE_LOG!AE79="","",TRADE_LOG!AE79)</f>
        <v/>
      </c>
      <c r="D99" s="90" t="str">
        <f aca="false">IF(TRADE_LOG!AO79="","",TRADE_LOG!AO79)</f>
        <v/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" hidden="false" customHeight="false" outlineLevel="0" collapsed="false">
      <c r="A100" s="88" t="str">
        <f aca="false">IF(TRADE_LOG!A80="","",TRADE_LOG!A80)</f>
        <v/>
      </c>
      <c r="B100" s="89" t="str">
        <f aca="false">IF(TRADE_LOG!B80="","",TRADE_LOG!B80)</f>
        <v/>
      </c>
      <c r="C100" s="90" t="str">
        <f aca="false">IF(TRADE_LOG!AE80="","",TRADE_LOG!AE80)</f>
        <v/>
      </c>
      <c r="D100" s="90" t="str">
        <f aca="false">IF(TRADE_LOG!AO80="","",TRADE_LOG!AO80)</f>
        <v/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" hidden="false" customHeight="false" outlineLevel="0" collapsed="false">
      <c r="A101" s="88" t="str">
        <f aca="false">IF(TRADE_LOG!A81="","",TRADE_LOG!A81)</f>
        <v/>
      </c>
      <c r="B101" s="89" t="str">
        <f aca="false">IF(TRADE_LOG!B81="","",TRADE_LOG!B81)</f>
        <v/>
      </c>
      <c r="C101" s="90" t="str">
        <f aca="false">IF(TRADE_LOG!AE81="","",TRADE_LOG!AE81)</f>
        <v/>
      </c>
      <c r="D101" s="90" t="str">
        <f aca="false">IF(TRADE_LOG!AO81="","",TRADE_LOG!AO81)</f>
        <v/>
      </c>
    </row>
    <row r="102" customFormat="false" ht="15" hidden="false" customHeight="false" outlineLevel="0" collapsed="false">
      <c r="A102" s="88" t="str">
        <f aca="false">IF(TRADE_LOG!A82="","",TRADE_LOG!A82)</f>
        <v/>
      </c>
      <c r="B102" s="89" t="str">
        <f aca="false">IF(TRADE_LOG!B82="","",TRADE_LOG!B82)</f>
        <v/>
      </c>
      <c r="C102" s="90" t="str">
        <f aca="false">IF(TRADE_LOG!AE82="","",TRADE_LOG!AE82)</f>
        <v/>
      </c>
      <c r="D102" s="90" t="str">
        <f aca="false">IF(TRADE_LOG!AO82="","",TRADE_LOG!AO82)</f>
        <v/>
      </c>
    </row>
    <row r="103" customFormat="false" ht="15" hidden="false" customHeight="false" outlineLevel="0" collapsed="false">
      <c r="A103" s="88" t="str">
        <f aca="false">IF(TRADE_LOG!A83="","",TRADE_LOG!A83)</f>
        <v/>
      </c>
      <c r="B103" s="89" t="str">
        <f aca="false">IF(TRADE_LOG!B83="","",TRADE_LOG!B83)</f>
        <v/>
      </c>
      <c r="C103" s="90" t="str">
        <f aca="false">IF(TRADE_LOG!AE83="","",TRADE_LOG!AE83)</f>
        <v/>
      </c>
      <c r="D103" s="90" t="str">
        <f aca="false">IF(TRADE_LOG!AO83="","",TRADE_LOG!AO83)</f>
        <v/>
      </c>
    </row>
    <row r="104" customFormat="false" ht="15" hidden="false" customHeight="false" outlineLevel="0" collapsed="false">
      <c r="A104" s="88" t="str">
        <f aca="false">IF(TRADE_LOG!A84="","",TRADE_LOG!A84)</f>
        <v/>
      </c>
      <c r="B104" s="89" t="str">
        <f aca="false">IF(TRADE_LOG!B84="","",TRADE_LOG!B84)</f>
        <v/>
      </c>
      <c r="C104" s="90" t="str">
        <f aca="false">IF(TRADE_LOG!AE84="","",TRADE_LOG!AE84)</f>
        <v/>
      </c>
      <c r="D104" s="90" t="str">
        <f aca="false">IF(TRADE_LOG!AO84="","",TRADE_LOG!AO84)</f>
        <v/>
      </c>
    </row>
    <row r="105" customFormat="false" ht="15" hidden="false" customHeight="false" outlineLevel="0" collapsed="false">
      <c r="A105" s="88" t="str">
        <f aca="false">IF(TRADE_LOG!A85="","",TRADE_LOG!A85)</f>
        <v/>
      </c>
      <c r="B105" s="89" t="str">
        <f aca="false">IF(TRADE_LOG!B85="","",TRADE_LOG!B85)</f>
        <v/>
      </c>
      <c r="C105" s="90" t="str">
        <f aca="false">IF(TRADE_LOG!AE85="","",TRADE_LOG!AE85)</f>
        <v/>
      </c>
      <c r="D105" s="90" t="str">
        <f aca="false">IF(TRADE_LOG!AO85="","",TRADE_LOG!AO85)</f>
        <v/>
      </c>
    </row>
    <row r="106" customFormat="false" ht="15" hidden="false" customHeight="false" outlineLevel="0" collapsed="false">
      <c r="A106" s="88" t="str">
        <f aca="false">IF(TRADE_LOG!A86="","",TRADE_LOG!A86)</f>
        <v/>
      </c>
      <c r="B106" s="89" t="str">
        <f aca="false">IF(TRADE_LOG!B86="","",TRADE_LOG!B86)</f>
        <v/>
      </c>
      <c r="C106" s="90" t="str">
        <f aca="false">IF(TRADE_LOG!AE86="","",TRADE_LOG!AE86)</f>
        <v/>
      </c>
      <c r="D106" s="90" t="str">
        <f aca="false">IF(TRADE_LOG!AO86="","",TRADE_LOG!AO86)</f>
        <v/>
      </c>
    </row>
    <row r="107" customFormat="false" ht="15" hidden="false" customHeight="false" outlineLevel="0" collapsed="false">
      <c r="A107" s="88" t="str">
        <f aca="false">IF(TRADE_LOG!A87="","",TRADE_LOG!A87)</f>
        <v/>
      </c>
      <c r="B107" s="89" t="str">
        <f aca="false">IF(TRADE_LOG!B87="","",TRADE_LOG!B87)</f>
        <v/>
      </c>
      <c r="C107" s="90" t="str">
        <f aca="false">IF(TRADE_LOG!AE87="","",TRADE_LOG!AE87)</f>
        <v/>
      </c>
      <c r="D107" s="90" t="str">
        <f aca="false">IF(TRADE_LOG!AO87="","",TRADE_LOG!AO87)</f>
        <v/>
      </c>
    </row>
    <row r="108" customFormat="false" ht="15" hidden="false" customHeight="false" outlineLevel="0" collapsed="false">
      <c r="A108" s="88" t="str">
        <f aca="false">IF(TRADE_LOG!A88="","",TRADE_LOG!A88)</f>
        <v/>
      </c>
      <c r="B108" s="89" t="str">
        <f aca="false">IF(TRADE_LOG!B88="","",TRADE_LOG!B88)</f>
        <v/>
      </c>
      <c r="C108" s="90" t="str">
        <f aca="false">IF(TRADE_LOG!AE88="","",TRADE_LOG!AE88)</f>
        <v/>
      </c>
      <c r="D108" s="90" t="str">
        <f aca="false">IF(TRADE_LOG!AO88="","",TRADE_LOG!AO88)</f>
        <v/>
      </c>
    </row>
    <row r="109" customFormat="false" ht="15" hidden="false" customHeight="false" outlineLevel="0" collapsed="false">
      <c r="A109" s="88" t="str">
        <f aca="false">IF(TRADE_LOG!A89="","",TRADE_LOG!A89)</f>
        <v/>
      </c>
      <c r="B109" s="89" t="str">
        <f aca="false">IF(TRADE_LOG!B89="","",TRADE_LOG!B89)</f>
        <v/>
      </c>
      <c r="C109" s="90" t="str">
        <f aca="false">IF(TRADE_LOG!AE89="","",TRADE_LOG!AE89)</f>
        <v/>
      </c>
      <c r="D109" s="90" t="str">
        <f aca="false">IF(TRADE_LOG!AO89="","",TRADE_LOG!AO89)</f>
        <v/>
      </c>
    </row>
    <row r="110" customFormat="false" ht="15" hidden="false" customHeight="false" outlineLevel="0" collapsed="false">
      <c r="A110" s="88" t="str">
        <f aca="false">IF(TRADE_LOG!A90="","",TRADE_LOG!A90)</f>
        <v/>
      </c>
      <c r="B110" s="89" t="str">
        <f aca="false">IF(TRADE_LOG!B90="","",TRADE_LOG!B90)</f>
        <v/>
      </c>
      <c r="C110" s="90" t="str">
        <f aca="false">IF(TRADE_LOG!AE90="","",TRADE_LOG!AE90)</f>
        <v/>
      </c>
      <c r="D110" s="90" t="str">
        <f aca="false">IF(TRADE_LOG!AO90="","",TRADE_LOG!AO90)</f>
        <v/>
      </c>
    </row>
    <row r="111" customFormat="false" ht="15" hidden="false" customHeight="false" outlineLevel="0" collapsed="false">
      <c r="A111" s="88" t="str">
        <f aca="false">IF(TRADE_LOG!A91="","",TRADE_LOG!A91)</f>
        <v/>
      </c>
      <c r="B111" s="89" t="str">
        <f aca="false">IF(TRADE_LOG!B91="","",TRADE_LOG!B91)</f>
        <v/>
      </c>
      <c r="C111" s="90" t="str">
        <f aca="false">IF(TRADE_LOG!AE91="","",TRADE_LOG!AE91)</f>
        <v/>
      </c>
      <c r="D111" s="90" t="str">
        <f aca="false">IF(TRADE_LOG!AO91="","",TRADE_LOG!AO91)</f>
        <v/>
      </c>
    </row>
    <row r="112" customFormat="false" ht="15" hidden="false" customHeight="false" outlineLevel="0" collapsed="false">
      <c r="A112" s="88" t="str">
        <f aca="false">IF(TRADE_LOG!A92="","",TRADE_LOG!A92)</f>
        <v/>
      </c>
      <c r="B112" s="89" t="str">
        <f aca="false">IF(TRADE_LOG!B92="","",TRADE_LOG!B92)</f>
        <v/>
      </c>
      <c r="C112" s="90" t="str">
        <f aca="false">IF(TRADE_LOG!AE92="","",TRADE_LOG!AE92)</f>
        <v/>
      </c>
      <c r="D112" s="90" t="str">
        <f aca="false">IF(TRADE_LOG!AO92="","",TRADE_LOG!AO92)</f>
        <v/>
      </c>
    </row>
    <row r="113" customFormat="false" ht="15" hidden="false" customHeight="false" outlineLevel="0" collapsed="false">
      <c r="A113" s="88" t="str">
        <f aca="false">IF(TRADE_LOG!A93="","",TRADE_LOG!A93)</f>
        <v/>
      </c>
      <c r="B113" s="89" t="str">
        <f aca="false">IF(TRADE_LOG!B93="","",TRADE_LOG!B93)</f>
        <v/>
      </c>
      <c r="C113" s="90" t="str">
        <f aca="false">IF(TRADE_LOG!AE93="","",TRADE_LOG!AE93)</f>
        <v/>
      </c>
      <c r="D113" s="90" t="str">
        <f aca="false">IF(TRADE_LOG!AO93="","",TRADE_LOG!AO93)</f>
        <v/>
      </c>
    </row>
    <row r="114" customFormat="false" ht="15" hidden="false" customHeight="false" outlineLevel="0" collapsed="false">
      <c r="A114" s="88" t="str">
        <f aca="false">IF(TRADE_LOG!A94="","",TRADE_LOG!A94)</f>
        <v/>
      </c>
      <c r="B114" s="89" t="str">
        <f aca="false">IF(TRADE_LOG!B94="","",TRADE_LOG!B94)</f>
        <v/>
      </c>
      <c r="C114" s="90" t="str">
        <f aca="false">IF(TRADE_LOG!AE94="","",TRADE_LOG!AE94)</f>
        <v/>
      </c>
      <c r="D114" s="90" t="str">
        <f aca="false">IF(TRADE_LOG!AO94="","",TRADE_LOG!AO94)</f>
        <v/>
      </c>
    </row>
    <row r="115" customFormat="false" ht="15" hidden="false" customHeight="false" outlineLevel="0" collapsed="false">
      <c r="A115" s="88" t="str">
        <f aca="false">IF(TRADE_LOG!A95="","",TRADE_LOG!A95)</f>
        <v/>
      </c>
      <c r="B115" s="89" t="str">
        <f aca="false">IF(TRADE_LOG!B95="","",TRADE_LOG!B95)</f>
        <v/>
      </c>
      <c r="C115" s="90" t="str">
        <f aca="false">IF(TRADE_LOG!AE95="","",TRADE_LOG!AE95)</f>
        <v/>
      </c>
      <c r="D115" s="90" t="str">
        <f aca="false">IF(TRADE_LOG!AO95="","",TRADE_LOG!AO95)</f>
        <v/>
      </c>
    </row>
    <row r="116" customFormat="false" ht="15" hidden="false" customHeight="false" outlineLevel="0" collapsed="false">
      <c r="A116" s="88" t="str">
        <f aca="false">IF(TRADE_LOG!A96="","",TRADE_LOG!A96)</f>
        <v/>
      </c>
      <c r="B116" s="89" t="str">
        <f aca="false">IF(TRADE_LOG!B96="","",TRADE_LOG!B96)</f>
        <v/>
      </c>
      <c r="C116" s="90" t="str">
        <f aca="false">IF(TRADE_LOG!AE96="","",TRADE_LOG!AE96)</f>
        <v/>
      </c>
      <c r="D116" s="90" t="str">
        <f aca="false">IF(TRADE_LOG!AO96="","",TRADE_LOG!AO96)</f>
        <v/>
      </c>
    </row>
    <row r="117" customFormat="false" ht="15" hidden="false" customHeight="false" outlineLevel="0" collapsed="false">
      <c r="A117" s="88" t="str">
        <f aca="false">IF(TRADE_LOG!A97="","",TRADE_LOG!A97)</f>
        <v/>
      </c>
      <c r="B117" s="89" t="str">
        <f aca="false">IF(TRADE_LOG!B97="","",TRADE_LOG!B97)</f>
        <v/>
      </c>
      <c r="C117" s="90" t="str">
        <f aca="false">IF(TRADE_LOG!AE97="","",TRADE_LOG!AE97)</f>
        <v/>
      </c>
      <c r="D117" s="90" t="str">
        <f aca="false">IF(TRADE_LOG!AO97="","",TRADE_LOG!AO97)</f>
        <v/>
      </c>
    </row>
    <row r="118" customFormat="false" ht="15" hidden="false" customHeight="false" outlineLevel="0" collapsed="false">
      <c r="A118" s="88" t="str">
        <f aca="false">IF(TRADE_LOG!A98="","",TRADE_LOG!A98)</f>
        <v/>
      </c>
      <c r="B118" s="89" t="str">
        <f aca="false">IF(TRADE_LOG!B98="","",TRADE_LOG!B98)</f>
        <v/>
      </c>
      <c r="C118" s="90" t="str">
        <f aca="false">IF(TRADE_LOG!AE98="","",TRADE_LOG!AE98)</f>
        <v/>
      </c>
      <c r="D118" s="90" t="str">
        <f aca="false">IF(TRADE_LOG!AO98="","",TRADE_LOG!AO98)</f>
        <v/>
      </c>
    </row>
    <row r="119" customFormat="false" ht="15" hidden="false" customHeight="false" outlineLevel="0" collapsed="false">
      <c r="A119" s="88" t="str">
        <f aca="false">IF(TRADE_LOG!A99="","",TRADE_LOG!A99)</f>
        <v/>
      </c>
      <c r="B119" s="89" t="str">
        <f aca="false">IF(TRADE_LOG!B99="","",TRADE_LOG!B99)</f>
        <v/>
      </c>
      <c r="C119" s="90" t="str">
        <f aca="false">IF(TRADE_LOG!AE99="","",TRADE_LOG!AE99)</f>
        <v/>
      </c>
      <c r="D119" s="90" t="str">
        <f aca="false">IF(TRADE_LOG!AO99="","",TRADE_LOG!AO99)</f>
        <v/>
      </c>
    </row>
    <row r="120" customFormat="false" ht="15" hidden="false" customHeight="false" outlineLevel="0" collapsed="false">
      <c r="A120" s="88" t="str">
        <f aca="false">IF(TRADE_LOG!A100="","",TRADE_LOG!A100)</f>
        <v/>
      </c>
      <c r="B120" s="89" t="str">
        <f aca="false">IF(TRADE_LOG!B100="","",TRADE_LOG!B100)</f>
        <v/>
      </c>
      <c r="C120" s="90" t="str">
        <f aca="false">IF(TRADE_LOG!AE100="","",TRADE_LOG!AE100)</f>
        <v/>
      </c>
      <c r="D120" s="90" t="str">
        <f aca="false">IF(TRADE_LOG!AO100="","",TRADE_LOG!AO100)</f>
        <v/>
      </c>
    </row>
    <row r="121" customFormat="false" ht="15" hidden="false" customHeight="false" outlineLevel="0" collapsed="false">
      <c r="A121" s="88" t="str">
        <f aca="false">IF(TRADE_LOG!A101="","",TRADE_LOG!A101)</f>
        <v/>
      </c>
      <c r="B121" s="89" t="str">
        <f aca="false">IF(TRADE_LOG!B101="","",TRADE_LOG!B101)</f>
        <v/>
      </c>
      <c r="C121" s="90" t="str">
        <f aca="false">IF(TRADE_LOG!AE101="","",TRADE_LOG!AE101)</f>
        <v/>
      </c>
      <c r="D121" s="90" t="str">
        <f aca="false">IF(TRADE_LOG!AO101="","",TRADE_LOG!AO101)</f>
        <v/>
      </c>
    </row>
    <row r="122" customFormat="false" ht="15" hidden="false" customHeight="false" outlineLevel="0" collapsed="false">
      <c r="A122" s="88" t="str">
        <f aca="false">IF(TRADE_LOG!A102="","",TRADE_LOG!A102)</f>
        <v/>
      </c>
      <c r="B122" s="89" t="str">
        <f aca="false">IF(TRADE_LOG!B102="","",TRADE_LOG!B102)</f>
        <v/>
      </c>
      <c r="C122" s="90" t="str">
        <f aca="false">IF(TRADE_LOG!AE102="","",TRADE_LOG!AE102)</f>
        <v/>
      </c>
      <c r="D122" s="90" t="str">
        <f aca="false">IF(TRADE_LOG!AO102="","",TRADE_LOG!AO102)</f>
        <v/>
      </c>
    </row>
    <row r="123" customFormat="false" ht="15" hidden="false" customHeight="false" outlineLevel="0" collapsed="false">
      <c r="A123" s="88" t="str">
        <f aca="false">IF(TRADE_LOG!A103="","",TRADE_LOG!A103)</f>
        <v/>
      </c>
      <c r="B123" s="89" t="str">
        <f aca="false">IF(TRADE_LOG!B103="","",TRADE_LOG!B103)</f>
        <v/>
      </c>
      <c r="C123" s="90" t="str">
        <f aca="false">IF(TRADE_LOG!AE103="","",TRADE_LOG!AE103)</f>
        <v/>
      </c>
      <c r="D123" s="90" t="str">
        <f aca="false">IF(TRADE_LOG!AO103="","",TRADE_LOG!AO103)</f>
        <v/>
      </c>
    </row>
  </sheetData>
  <mergeCells count="5">
    <mergeCell ref="A1:V1"/>
    <mergeCell ref="A7:L7"/>
    <mergeCell ref="A14:H14"/>
    <mergeCell ref="A18:J18"/>
    <mergeCell ref="A22:D22"/>
  </mergeCells>
  <conditionalFormatting sqref="B9:N12">
    <cfRule type="colorScale" priority="2">
      <colorScale>
        <cfvo type="min" val="0"/>
        <cfvo type="num" val="0"/>
        <cfvo type="max" val="0"/>
        <color rgb="FFE63946"/>
        <color rgb="FF1A1A1A"/>
        <color rgb="FF2DC653"/>
      </colorScale>
    </cfRule>
  </conditionalFormatting>
  <conditionalFormatting sqref="A16:H16">
    <cfRule type="colorScale" priority="3">
      <colorScale>
        <cfvo type="min" val="0"/>
        <cfvo type="max" val="0"/>
        <color rgb="FF0D1B2A"/>
        <color rgb="FF00B4D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5" t="s">
        <v>259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91" t="s">
        <v>260</v>
      </c>
      <c r="B3" s="2"/>
      <c r="C3" s="2"/>
      <c r="D3" s="92" t="n">
        <v>1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87" t="s">
        <v>103</v>
      </c>
      <c r="B5" s="2"/>
      <c r="C5" s="2"/>
      <c r="D5" s="37" t="n">
        <f aca="false">IFERROR(INDEX(TRADE_LOG!A4:A5003,MATCH($D$3,TRADE_LOG!A4:A5003,0)),"Not Found")</f>
        <v>1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87" t="s">
        <v>104</v>
      </c>
      <c r="B6" s="2"/>
      <c r="C6" s="2"/>
      <c r="D6" s="93" t="n">
        <f aca="false">IFERROR(INDEX(TRADE_LOG!B4:B5003,MATCH($D$3,TRADE_LOG!A4:A5003,0)),"")</f>
        <v>45306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87" t="s">
        <v>193</v>
      </c>
      <c r="B7" s="2"/>
      <c r="C7" s="2"/>
      <c r="D7" s="37" t="str">
        <f aca="false">IFERROR(INDEX(TRADE_LOG!E4:E5003,MATCH($D$3,TRADE_LOG!A4:A5003,0)),"")</f>
        <v>EUR/USD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87" t="s">
        <v>108</v>
      </c>
      <c r="B8" s="2"/>
      <c r="C8" s="2"/>
      <c r="D8" s="37" t="str">
        <f aca="false">IFERROR(INDEX(TRADE_LOG!F4:F5003,MATCH($D$3,TRADE_LOG!A4:A5003,0)),"")</f>
        <v>Buy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87" t="s">
        <v>110</v>
      </c>
      <c r="B9" s="2"/>
      <c r="C9" s="2"/>
      <c r="D9" s="37" t="str">
        <f aca="false">IFERROR(INDEX(TRADE_LOG!H4:H5003,MATCH($D$3,TRADE_LOG!A4:A5003,0)),"")</f>
        <v>Trend Follow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87" t="s">
        <v>112</v>
      </c>
      <c r="B10" s="2"/>
      <c r="C10" s="2"/>
      <c r="D10" s="37" t="n">
        <f aca="false">IFERROR(INDEX(TRADE_LOG!K4:K5003,MATCH($D$3,TRADE_LOG!A4:A5003,0)),"")</f>
        <v>1.0852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87" t="s">
        <v>113</v>
      </c>
      <c r="B11" s="2"/>
      <c r="C11" s="2"/>
      <c r="D11" s="37" t="n">
        <f aca="false">IFERROR(INDEX(TRADE_LOG!L4:L5003,MATCH($D$3,TRADE_LOG!A4:A5003,0)),"")</f>
        <v>1.0832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87" t="s">
        <v>119</v>
      </c>
      <c r="B12" s="2"/>
      <c r="C12" s="2"/>
      <c r="D12" s="37" t="n">
        <f aca="false">IFERROR(INDEX(TRADE_LOG!R4:R5003,MATCH($D$3,TRADE_LOG!A4:A5003,0)),"")</f>
        <v>2.5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87" t="s">
        <v>131</v>
      </c>
      <c r="B13" s="2"/>
      <c r="C13" s="2"/>
      <c r="D13" s="94" t="n">
        <f aca="false">IFERROR(INDEX(TRADE_LOG!AD4:AD5003,MATCH($D$3,TRADE_LOG!A4:A5003,0)),"")</f>
        <v>1.08975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87" t="s">
        <v>132</v>
      </c>
      <c r="B14" s="2"/>
      <c r="C14" s="2"/>
      <c r="D14" s="95" t="n">
        <f aca="false">IFERROR(INDEX(TRADE_LOG!AE4:AE5003,MATCH($D$3,TRADE_LOG!A4:A5003,0)),"")</f>
        <v>1137.50000000001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87" t="s">
        <v>134</v>
      </c>
      <c r="B15" s="2"/>
      <c r="C15" s="2"/>
      <c r="D15" s="96" t="n">
        <f aca="false">IFERROR(INDEX(TRADE_LOG!AG4:AG5003,MATCH($D$3,TRADE_LOG!A4:A5003,0)),"")</f>
        <v>2.27500000000003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87" t="s">
        <v>135</v>
      </c>
      <c r="B16" s="2"/>
      <c r="C16" s="2"/>
      <c r="D16" s="37" t="str">
        <f aca="false">IFERROR(INDEX(TRADE_LOG!AH4:AH5003,MATCH($D$3,TRADE_LOG!A4:A5003,0)),"")</f>
        <v>Win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87" t="s">
        <v>136</v>
      </c>
      <c r="B17" s="2"/>
      <c r="C17" s="2"/>
      <c r="D17" s="97" t="n">
        <f aca="false">IFERROR(INDEX(TRADE_LOG!AI4:AI5003,MATCH($D$3,TRADE_LOG!A4:A5003,0)),"")</f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87" t="s">
        <v>137</v>
      </c>
      <c r="B18" s="2"/>
      <c r="C18" s="2"/>
      <c r="D18" s="37" t="n">
        <f aca="false">IFERROR(INDEX(TRADE_LOG!AJ4:AJ5003,MATCH($D$3,TRADE_LOG!A4:A5003,0)),"")</f>
        <v>45.5000000000005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87" t="s">
        <v>15</v>
      </c>
      <c r="B19" s="2"/>
      <c r="C19" s="2"/>
      <c r="D19" s="37" t="str">
        <f aca="false">IFERROR(INDEX(TRADE_LOG!AK4:AK5003,MATCH($D$3,TRADE_LOG!A4:A5003,0)),"")</f>
        <v>Clean breakout setup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87" t="s">
        <v>139</v>
      </c>
      <c r="B20" s="2"/>
      <c r="C20" s="2"/>
      <c r="D20" s="37" t="n">
        <f aca="false">IFERROR(INDEX(TRADE_LOG!AM4:AM5003,MATCH($D$3,TRADE_LOG!A4:A5003,0)),"")</f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87" t="s">
        <v>140</v>
      </c>
      <c r="B21" s="2"/>
      <c r="C21" s="2"/>
      <c r="D21" s="37" t="n">
        <f aca="false">IFERROR(INDEX(TRADE_LOG!AN4:AN5003,MATCH($D$3,TRADE_LOG!A4:A5003,0)),"")</f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2026-04-19T14:30:59Z</dcterms:created>
  <dc:creator>openpyxl</dc:creator>
  <dc:description/>
  <dc:language>en-US</dc:language>
  <cp:lastModifiedBy/>
  <dcterms:modified xsi:type="dcterms:W3CDTF">2026-04-19T14:31:17Z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